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defaultThemeVersion="124226"/>
  <mc:AlternateContent xmlns:mc="http://schemas.openxmlformats.org/markup-compatibility/2006">
    <mc:Choice Requires="x15">
      <x15ac:absPath xmlns:x15ac="http://schemas.microsoft.com/office/spreadsheetml/2010/11/ac" url="C:\Users\Poste 13\Desktop\"/>
    </mc:Choice>
  </mc:AlternateContent>
  <xr:revisionPtr revIDLastSave="0" documentId="13_ncr:1_{2BFDF49A-74DA-488F-8182-4BEE3DCD81B5}" xr6:coauthVersionLast="47" xr6:coauthVersionMax="47" xr10:uidLastSave="{00000000-0000-0000-0000-000000000000}"/>
  <bookViews>
    <workbookView xWindow="-108" yWindow="-108" windowWidth="23256" windowHeight="12456" firstSheet="3" activeTab="10" xr2:uid="{00000000-000D-0000-FFFF-FFFF00000000}"/>
  </bookViews>
  <sheets>
    <sheet name="RECAP" sheetId="3" r:id="rId1"/>
    <sheet name="LOT 00" sheetId="31" r:id="rId2"/>
    <sheet name="LOT 01" sheetId="8" r:id="rId3"/>
    <sheet name="LOT 02" sheetId="32" r:id="rId4"/>
    <sheet name="LOT 03" sheetId="33" r:id="rId5"/>
    <sheet name="LOT 04" sheetId="34" r:id="rId6"/>
    <sheet name="LOT 05" sheetId="14" r:id="rId7"/>
    <sheet name="LOT 06" sheetId="35" r:id="rId8"/>
    <sheet name="LOT 07" sheetId="16" r:id="rId9"/>
    <sheet name="LOT 08" sheetId="17" r:id="rId10"/>
    <sheet name="LOT 09" sheetId="18" r:id="rId11"/>
    <sheet name="LOT 13" sheetId="40" r:id="rId12"/>
    <sheet name="LOT 10" sheetId="21" r:id="rId13"/>
    <sheet name="LOT 11" sheetId="36" r:id="rId14"/>
    <sheet name="LOT 12" sheetId="41" r:id="rId15"/>
    <sheet name="LOT 14" sheetId="30" r:id="rId16"/>
  </sheets>
  <externalReferences>
    <externalReference r:id="rId17"/>
    <externalReference r:id="rId18"/>
    <externalReference r:id="rId19"/>
  </externalReferences>
  <definedNames>
    <definedName name="_Hlk199673906" localSheetId="0">RECAP!#REF!</definedName>
    <definedName name="Cfour" localSheetId="14">'LOT 12'!#REF!</definedName>
    <definedName name="Cfour" localSheetId="11">'LOT 13'!$C$2</definedName>
    <definedName name="Cfour">#REF!</definedName>
    <definedName name="Cmar" localSheetId="14">'LOT 12'!#REF!</definedName>
    <definedName name="Cmar" localSheetId="11">'[1]LOT 12'!#REF!</definedName>
    <definedName name="Cmar">#REF!</definedName>
    <definedName name="Cmo" localSheetId="14">'LOT 12'!#REF!</definedName>
    <definedName name="Cmo" localSheetId="11">'LOT 13'!$C$3</definedName>
    <definedName name="Cmo">#REF!</definedName>
    <definedName name="Crem" localSheetId="14">'LOT 12'!#REF!</definedName>
    <definedName name="Crem" localSheetId="11">'[1]LOT 12'!#REF!</definedName>
    <definedName name="Crem">#REF!</definedName>
    <definedName name="Cst" localSheetId="14">'LOT 12'!#REF!</definedName>
    <definedName name="Cst" localSheetId="11">'LOT 13'!$C$4</definedName>
    <definedName name="Cst">#REF!</definedName>
    <definedName name="_xlnm.Print_Titles" localSheetId="2">'LOT 01'!$3:$4</definedName>
    <definedName name="_xlnm.Print_Titles" localSheetId="4">'LOT 03'!$3:$4</definedName>
    <definedName name="_xlnm.Print_Titles" localSheetId="5">'LOT 04'!$3:$4</definedName>
    <definedName name="_xlnm.Print_Titles" localSheetId="6">'LOT 05'!$3:$4</definedName>
    <definedName name="_xlnm.Print_Titles" localSheetId="7">'LOT 06'!$3:$4</definedName>
    <definedName name="_xlnm.Print_Titles" localSheetId="8">'LOT 07'!$3:$4</definedName>
    <definedName name="_xlnm.Print_Titles" localSheetId="9">'LOT 08'!$3:$4</definedName>
    <definedName name="_xlnm.Print_Titles" localSheetId="10">'LOT 09'!$3:$4</definedName>
    <definedName name="_xlnm.Print_Titles" localSheetId="12">'LOT 10'!$3:$4</definedName>
    <definedName name="_xlnm.Print_Titles" localSheetId="15">'LOT 14'!$3:$4</definedName>
    <definedName name="_xlnm.Print_Titles" localSheetId="0">RECAP!$1:$1</definedName>
    <definedName name="mo" localSheetId="14">'LOT 12'!#REF!</definedName>
    <definedName name="_xlnm.Print_Area" localSheetId="2">'LOT 01'!$A$1:$H$126</definedName>
    <definedName name="_xlnm.Print_Area" localSheetId="6">'LOT 05'!$A$1:$H$87</definedName>
    <definedName name="_xlnm.Print_Area" localSheetId="7">'LOT 06'!$A$1:$H$66</definedName>
    <definedName name="_xlnm.Print_Area" localSheetId="8">'LOT 07'!$A$1:$H$136</definedName>
    <definedName name="_xlnm.Print_Area" localSheetId="9">'LOT 08'!$A$1:$H$138</definedName>
    <definedName name="_xlnm.Print_Area" localSheetId="10">'LOT 09'!$A$1:$H$71</definedName>
    <definedName name="_xlnm.Print_Area" localSheetId="12">'LOT 10'!$A$1:$H$83</definedName>
    <definedName name="_xlnm.Print_Area" localSheetId="15">'LOT 14'!$A$1:$H$57</definedName>
    <definedName name="_xlnm.Print_Area" localSheetId="0">RECAP!$A$1:$D$22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1888" i="41" l="1"/>
  <c r="G1888" i="41"/>
  <c r="C1888" i="41"/>
  <c r="A1887" i="41"/>
  <c r="M1886" i="41"/>
  <c r="K1886" i="41"/>
  <c r="N1886" i="41" s="1"/>
  <c r="J1886" i="41"/>
  <c r="L1886" i="41" s="1"/>
  <c r="O1886" i="41" s="1"/>
  <c r="I1886" i="41"/>
  <c r="M1885" i="41"/>
  <c r="K1885" i="41"/>
  <c r="N1885" i="41" s="1"/>
  <c r="J1885" i="41"/>
  <c r="L1885" i="41" s="1"/>
  <c r="I1885" i="41"/>
  <c r="O1885" i="41" s="1"/>
  <c r="B1885" i="41"/>
  <c r="M1884" i="41"/>
  <c r="K1884" i="41"/>
  <c r="N1884" i="41" s="1"/>
  <c r="J1884" i="41"/>
  <c r="L1884" i="41" s="1"/>
  <c r="O1884" i="41" s="1"/>
  <c r="I1884" i="41"/>
  <c r="M1883" i="41"/>
  <c r="L1883" i="41"/>
  <c r="K1883" i="41"/>
  <c r="N1883" i="41" s="1"/>
  <c r="J1883" i="41"/>
  <c r="I1883" i="41"/>
  <c r="M1882" i="41"/>
  <c r="L1882" i="41"/>
  <c r="K1882" i="41"/>
  <c r="N1882" i="41" s="1"/>
  <c r="J1882" i="41"/>
  <c r="I1882" i="41"/>
  <c r="N1881" i="41"/>
  <c r="M1881" i="41"/>
  <c r="O1881" i="41" s="1"/>
  <c r="L1881" i="41"/>
  <c r="K1881" i="41"/>
  <c r="J1881" i="41"/>
  <c r="I1881" i="41"/>
  <c r="G1881" i="41"/>
  <c r="H1885" i="41" s="1"/>
  <c r="A1881" i="41"/>
  <c r="N1880" i="41"/>
  <c r="M1880" i="41"/>
  <c r="K1880" i="41"/>
  <c r="J1880" i="41"/>
  <c r="L1880" i="41" s="1"/>
  <c r="O1880" i="41" s="1"/>
  <c r="I1880" i="41"/>
  <c r="N1879" i="41"/>
  <c r="M1879" i="41"/>
  <c r="L1879" i="41"/>
  <c r="K1879" i="41"/>
  <c r="J1879" i="41"/>
  <c r="I1879" i="41"/>
  <c r="H1879" i="41"/>
  <c r="B1879" i="41"/>
  <c r="O1878" i="41"/>
  <c r="M1878" i="41"/>
  <c r="L1878" i="41"/>
  <c r="K1878" i="41"/>
  <c r="N1878" i="41" s="1"/>
  <c r="J1878" i="41"/>
  <c r="I1878" i="41"/>
  <c r="M1877" i="41"/>
  <c r="L1877" i="41"/>
  <c r="K1877" i="41"/>
  <c r="N1877" i="41" s="1"/>
  <c r="J1877" i="41"/>
  <c r="I1877" i="41"/>
  <c r="N1876" i="41"/>
  <c r="M1876" i="41"/>
  <c r="K1876" i="41"/>
  <c r="J1876" i="41"/>
  <c r="L1876" i="41" s="1"/>
  <c r="I1876" i="41"/>
  <c r="N1875" i="41"/>
  <c r="M1875" i="41"/>
  <c r="O1875" i="41" s="1"/>
  <c r="L1875" i="41"/>
  <c r="K1875" i="41"/>
  <c r="J1875" i="41"/>
  <c r="I1875" i="41"/>
  <c r="M1874" i="41"/>
  <c r="L1874" i="41"/>
  <c r="K1874" i="41"/>
  <c r="N1874" i="41" s="1"/>
  <c r="J1874" i="41"/>
  <c r="I1874" i="41"/>
  <c r="N1873" i="41"/>
  <c r="M1873" i="41"/>
  <c r="L1873" i="41"/>
  <c r="K1873" i="41"/>
  <c r="J1873" i="41"/>
  <c r="I1873" i="41"/>
  <c r="G1873" i="41"/>
  <c r="A1873" i="41"/>
  <c r="O1872" i="41"/>
  <c r="N1872" i="41"/>
  <c r="M1872" i="41"/>
  <c r="K1872" i="41"/>
  <c r="J1872" i="41"/>
  <c r="L1872" i="41" s="1"/>
  <c r="I1872" i="41"/>
  <c r="N1871" i="41"/>
  <c r="M1871" i="41"/>
  <c r="L1871" i="41"/>
  <c r="O1871" i="41" s="1"/>
  <c r="K1871" i="41"/>
  <c r="J1871" i="41"/>
  <c r="I1871" i="41"/>
  <c r="B1871" i="41"/>
  <c r="M1870" i="41"/>
  <c r="K1870" i="41"/>
  <c r="N1870" i="41" s="1"/>
  <c r="J1870" i="41"/>
  <c r="L1870" i="41" s="1"/>
  <c r="I1870" i="41"/>
  <c r="M1869" i="41"/>
  <c r="O1869" i="41" s="1"/>
  <c r="L1869" i="41"/>
  <c r="K1869" i="41"/>
  <c r="N1869" i="41" s="1"/>
  <c r="J1869" i="41"/>
  <c r="I1869" i="41"/>
  <c r="M1868" i="41"/>
  <c r="O1868" i="41" s="1"/>
  <c r="K1868" i="41"/>
  <c r="N1868" i="41" s="1"/>
  <c r="J1868" i="41"/>
  <c r="L1868" i="41" s="1"/>
  <c r="I1868" i="41"/>
  <c r="M1867" i="41"/>
  <c r="L1867" i="41"/>
  <c r="O1867" i="41" s="1"/>
  <c r="K1867" i="41"/>
  <c r="N1867" i="41" s="1"/>
  <c r="J1867" i="41"/>
  <c r="I1867" i="41"/>
  <c r="M1866" i="41"/>
  <c r="K1866" i="41"/>
  <c r="N1866" i="41" s="1"/>
  <c r="J1866" i="41"/>
  <c r="L1866" i="41" s="1"/>
  <c r="I1866" i="41"/>
  <c r="M1865" i="41"/>
  <c r="L1865" i="41"/>
  <c r="K1865" i="41"/>
  <c r="N1865" i="41" s="1"/>
  <c r="J1865" i="41"/>
  <c r="I1865" i="41"/>
  <c r="O1864" i="41"/>
  <c r="N1864" i="41"/>
  <c r="M1864" i="41"/>
  <c r="L1864" i="41"/>
  <c r="K1864" i="41"/>
  <c r="J1864" i="41"/>
  <c r="I1864" i="41"/>
  <c r="M1863" i="41"/>
  <c r="K1863" i="41"/>
  <c r="N1863" i="41" s="1"/>
  <c r="J1863" i="41"/>
  <c r="L1863" i="41" s="1"/>
  <c r="I1863" i="41"/>
  <c r="M1862" i="41"/>
  <c r="L1862" i="41"/>
  <c r="K1862" i="41"/>
  <c r="N1862" i="41" s="1"/>
  <c r="J1862" i="41"/>
  <c r="I1862" i="41"/>
  <c r="G1862" i="41"/>
  <c r="H1871" i="41" s="1"/>
  <c r="A1862" i="41"/>
  <c r="M1861" i="41"/>
  <c r="K1861" i="41"/>
  <c r="N1861" i="41" s="1"/>
  <c r="J1861" i="41"/>
  <c r="L1861" i="41" s="1"/>
  <c r="O1861" i="41" s="1"/>
  <c r="I1861" i="41"/>
  <c r="M1860" i="41"/>
  <c r="L1860" i="41"/>
  <c r="K1860" i="41"/>
  <c r="N1860" i="41" s="1"/>
  <c r="J1860" i="41"/>
  <c r="I1860" i="41"/>
  <c r="M1859" i="41"/>
  <c r="L1859" i="41"/>
  <c r="K1859" i="41"/>
  <c r="N1859" i="41" s="1"/>
  <c r="J1859" i="41"/>
  <c r="I1859" i="41"/>
  <c r="M1858" i="41"/>
  <c r="K1858" i="41"/>
  <c r="N1858" i="41" s="1"/>
  <c r="J1858" i="41"/>
  <c r="L1858" i="41" s="1"/>
  <c r="I1858" i="41"/>
  <c r="N1857" i="41"/>
  <c r="M1857" i="41"/>
  <c r="O1857" i="41" s="1"/>
  <c r="K1857" i="41"/>
  <c r="J1857" i="41"/>
  <c r="L1857" i="41" s="1"/>
  <c r="I1857" i="41"/>
  <c r="H1857" i="41"/>
  <c r="B1857" i="41"/>
  <c r="N1856" i="41"/>
  <c r="M1856" i="41"/>
  <c r="O1856" i="41" s="1"/>
  <c r="K1856" i="41"/>
  <c r="J1856" i="41"/>
  <c r="L1856" i="41" s="1"/>
  <c r="I1856" i="41"/>
  <c r="M1855" i="41"/>
  <c r="K1855" i="41"/>
  <c r="N1855" i="41" s="1"/>
  <c r="J1855" i="41"/>
  <c r="L1855" i="41" s="1"/>
  <c r="O1855" i="41" s="1"/>
  <c r="I1855" i="41"/>
  <c r="N1854" i="41"/>
  <c r="M1854" i="41"/>
  <c r="O1854" i="41" s="1"/>
  <c r="L1854" i="41"/>
  <c r="K1854" i="41"/>
  <c r="J1854" i="41"/>
  <c r="I1854" i="41"/>
  <c r="N1853" i="41"/>
  <c r="M1853" i="41"/>
  <c r="K1853" i="41"/>
  <c r="J1853" i="41"/>
  <c r="L1853" i="41" s="1"/>
  <c r="I1853" i="41"/>
  <c r="M1852" i="41"/>
  <c r="K1852" i="41"/>
  <c r="N1852" i="41" s="1"/>
  <c r="J1852" i="41"/>
  <c r="L1852" i="41" s="1"/>
  <c r="O1852" i="41" s="1"/>
  <c r="I1852" i="41"/>
  <c r="N1851" i="41"/>
  <c r="M1851" i="41"/>
  <c r="O1851" i="41" s="1"/>
  <c r="K1851" i="41"/>
  <c r="J1851" i="41"/>
  <c r="L1851" i="41" s="1"/>
  <c r="I1851" i="41"/>
  <c r="M1850" i="41"/>
  <c r="K1850" i="41"/>
  <c r="N1850" i="41" s="1"/>
  <c r="J1850" i="41"/>
  <c r="L1850" i="41" s="1"/>
  <c r="I1850" i="41"/>
  <c r="O1850" i="41" s="1"/>
  <c r="O1849" i="41"/>
  <c r="N1849" i="41"/>
  <c r="M1849" i="41"/>
  <c r="K1849" i="41"/>
  <c r="J1849" i="41"/>
  <c r="L1849" i="41" s="1"/>
  <c r="I1849" i="41"/>
  <c r="M1848" i="41"/>
  <c r="O1848" i="41" s="1"/>
  <c r="L1848" i="41"/>
  <c r="K1848" i="41"/>
  <c r="N1848" i="41" s="1"/>
  <c r="J1848" i="41"/>
  <c r="I1848" i="41"/>
  <c r="M1847" i="41"/>
  <c r="O1847" i="41" s="1"/>
  <c r="K1847" i="41"/>
  <c r="N1847" i="41" s="1"/>
  <c r="J1847" i="41"/>
  <c r="L1847" i="41" s="1"/>
  <c r="I1847" i="41"/>
  <c r="N1846" i="41"/>
  <c r="M1846" i="41"/>
  <c r="L1846" i="41"/>
  <c r="K1846" i="41"/>
  <c r="J1846" i="41"/>
  <c r="I1846" i="41"/>
  <c r="M1845" i="41"/>
  <c r="K1845" i="41"/>
  <c r="N1845" i="41" s="1"/>
  <c r="J1845" i="41"/>
  <c r="L1845" i="41" s="1"/>
  <c r="O1845" i="41" s="1"/>
  <c r="I1845" i="41"/>
  <c r="M1844" i="41"/>
  <c r="L1844" i="41"/>
  <c r="K1844" i="41"/>
  <c r="N1844" i="41" s="1"/>
  <c r="J1844" i="41"/>
  <c r="I1844" i="41"/>
  <c r="G1844" i="41"/>
  <c r="A1844" i="41"/>
  <c r="N1843" i="41"/>
  <c r="M1843" i="41"/>
  <c r="K1843" i="41"/>
  <c r="J1843" i="41"/>
  <c r="L1843" i="41" s="1"/>
  <c r="I1843" i="41"/>
  <c r="O1842" i="41"/>
  <c r="N1842" i="41"/>
  <c r="M1842" i="41"/>
  <c r="K1842" i="41"/>
  <c r="J1842" i="41"/>
  <c r="L1842" i="41" s="1"/>
  <c r="I1842" i="41"/>
  <c r="B1842" i="41"/>
  <c r="N1841" i="41"/>
  <c r="M1841" i="41"/>
  <c r="O1841" i="41" s="1"/>
  <c r="L1841" i="41"/>
  <c r="K1841" i="41"/>
  <c r="J1841" i="41"/>
  <c r="I1841" i="41"/>
  <c r="M1840" i="41"/>
  <c r="L1840" i="41"/>
  <c r="K1840" i="41"/>
  <c r="N1840" i="41" s="1"/>
  <c r="J1840" i="41"/>
  <c r="I1840" i="41"/>
  <c r="M1839" i="41"/>
  <c r="K1839" i="41"/>
  <c r="N1839" i="41" s="1"/>
  <c r="J1839" i="41"/>
  <c r="L1839" i="41" s="1"/>
  <c r="I1839" i="41"/>
  <c r="M1838" i="41"/>
  <c r="K1838" i="41"/>
  <c r="N1838" i="41" s="1"/>
  <c r="J1838" i="41"/>
  <c r="L1838" i="41" s="1"/>
  <c r="I1838" i="41"/>
  <c r="O1837" i="41"/>
  <c r="N1837" i="41"/>
  <c r="M1837" i="41"/>
  <c r="K1837" i="41"/>
  <c r="J1837" i="41"/>
  <c r="L1837" i="41" s="1"/>
  <c r="I1837" i="41"/>
  <c r="M1836" i="41"/>
  <c r="K1836" i="41"/>
  <c r="N1836" i="41" s="1"/>
  <c r="J1836" i="41"/>
  <c r="L1836" i="41" s="1"/>
  <c r="I1836" i="41"/>
  <c r="M1835" i="41"/>
  <c r="L1835" i="41"/>
  <c r="K1835" i="41"/>
  <c r="N1835" i="41" s="1"/>
  <c r="J1835" i="41"/>
  <c r="I1835" i="41"/>
  <c r="N1834" i="41"/>
  <c r="M1834" i="41"/>
  <c r="L1834" i="41"/>
  <c r="K1834" i="41"/>
  <c r="J1834" i="41"/>
  <c r="I1834" i="41"/>
  <c r="M1833" i="41"/>
  <c r="L1833" i="41"/>
  <c r="K1833" i="41"/>
  <c r="N1833" i="41" s="1"/>
  <c r="J1833" i="41"/>
  <c r="I1833" i="41"/>
  <c r="O1832" i="41"/>
  <c r="M1832" i="41"/>
  <c r="K1832" i="41"/>
  <c r="N1832" i="41" s="1"/>
  <c r="J1832" i="41"/>
  <c r="L1832" i="41" s="1"/>
  <c r="I1832" i="41"/>
  <c r="N1831" i="41"/>
  <c r="M1831" i="41"/>
  <c r="L1831" i="41"/>
  <c r="K1831" i="41"/>
  <c r="J1831" i="41"/>
  <c r="I1831" i="41"/>
  <c r="M1830" i="41"/>
  <c r="L1830" i="41"/>
  <c r="K1830" i="41"/>
  <c r="N1830" i="41" s="1"/>
  <c r="J1830" i="41"/>
  <c r="I1830" i="41"/>
  <c r="G1830" i="41"/>
  <c r="A1830" i="41"/>
  <c r="M1828" i="41"/>
  <c r="L1828" i="41"/>
  <c r="K1828" i="41"/>
  <c r="N1828" i="41" s="1"/>
  <c r="J1828" i="41"/>
  <c r="I1828" i="41"/>
  <c r="O1827" i="41"/>
  <c r="M1827" i="41"/>
  <c r="K1827" i="41"/>
  <c r="N1827" i="41" s="1"/>
  <c r="J1827" i="41"/>
  <c r="L1827" i="41" s="1"/>
  <c r="I1827" i="41"/>
  <c r="M1826" i="41"/>
  <c r="K1826" i="41"/>
  <c r="N1826" i="41" s="1"/>
  <c r="J1826" i="41"/>
  <c r="L1826" i="41" s="1"/>
  <c r="I1826" i="41"/>
  <c r="M1825" i="41"/>
  <c r="K1825" i="41"/>
  <c r="N1825" i="41" s="1"/>
  <c r="J1825" i="41"/>
  <c r="L1825" i="41" s="1"/>
  <c r="I1825" i="41"/>
  <c r="O1825" i="41" s="1"/>
  <c r="G1825" i="41"/>
  <c r="A1825" i="41"/>
  <c r="N1823" i="41"/>
  <c r="M1823" i="41"/>
  <c r="O1823" i="41" s="1"/>
  <c r="K1823" i="41"/>
  <c r="J1823" i="41"/>
  <c r="L1823" i="41" s="1"/>
  <c r="I1823" i="41"/>
  <c r="M1822" i="41"/>
  <c r="K1822" i="41"/>
  <c r="N1822" i="41" s="1"/>
  <c r="J1822" i="41"/>
  <c r="L1822" i="41" s="1"/>
  <c r="I1822" i="41"/>
  <c r="O1821" i="41"/>
  <c r="N1821" i="41"/>
  <c r="M1821" i="41"/>
  <c r="L1821" i="41"/>
  <c r="K1821" i="41"/>
  <c r="J1821" i="41"/>
  <c r="I1821" i="41"/>
  <c r="M1820" i="41"/>
  <c r="K1820" i="41"/>
  <c r="N1820" i="41" s="1"/>
  <c r="J1820" i="41"/>
  <c r="L1820" i="41" s="1"/>
  <c r="I1820" i="41"/>
  <c r="G1820" i="41"/>
  <c r="A1820" i="41"/>
  <c r="M1819" i="41"/>
  <c r="K1819" i="41"/>
  <c r="N1819" i="41" s="1"/>
  <c r="J1819" i="41"/>
  <c r="L1819" i="41" s="1"/>
  <c r="I1819" i="41"/>
  <c r="A1819" i="41"/>
  <c r="M1818" i="41"/>
  <c r="L1818" i="41"/>
  <c r="K1818" i="41"/>
  <c r="N1818" i="41" s="1"/>
  <c r="J1818" i="41"/>
  <c r="I1818" i="41"/>
  <c r="M1817" i="41"/>
  <c r="K1817" i="41"/>
  <c r="N1817" i="41" s="1"/>
  <c r="J1817" i="41"/>
  <c r="L1817" i="41" s="1"/>
  <c r="I1817" i="41"/>
  <c r="H1817" i="41"/>
  <c r="B1817" i="41"/>
  <c r="N1816" i="41"/>
  <c r="M1816" i="41"/>
  <c r="L1816" i="41"/>
  <c r="K1816" i="41"/>
  <c r="J1816" i="41"/>
  <c r="I1816" i="41"/>
  <c r="N1815" i="41"/>
  <c r="M1815" i="41"/>
  <c r="O1815" i="41" s="1"/>
  <c r="L1815" i="41"/>
  <c r="K1815" i="41"/>
  <c r="J1815" i="41"/>
  <c r="I1815" i="41"/>
  <c r="M1814" i="41"/>
  <c r="O1814" i="41" s="1"/>
  <c r="L1814" i="41"/>
  <c r="K1814" i="41"/>
  <c r="N1814" i="41" s="1"/>
  <c r="J1814" i="41"/>
  <c r="I1814" i="41"/>
  <c r="N1813" i="41"/>
  <c r="M1813" i="41"/>
  <c r="O1813" i="41" s="1"/>
  <c r="K1813" i="41"/>
  <c r="J1813" i="41"/>
  <c r="L1813" i="41" s="1"/>
  <c r="I1813" i="41"/>
  <c r="O1812" i="41"/>
  <c r="N1812" i="41"/>
  <c r="M1812" i="41"/>
  <c r="L1812" i="41"/>
  <c r="K1812" i="41"/>
  <c r="J1812" i="41"/>
  <c r="I1812" i="41"/>
  <c r="M1811" i="41"/>
  <c r="K1811" i="41"/>
  <c r="N1811" i="41" s="1"/>
  <c r="J1811" i="41"/>
  <c r="L1811" i="41" s="1"/>
  <c r="I1811" i="41"/>
  <c r="G1811" i="41"/>
  <c r="A1811" i="41"/>
  <c r="M1810" i="41"/>
  <c r="O1810" i="41" s="1"/>
  <c r="L1810" i="41"/>
  <c r="K1810" i="41"/>
  <c r="N1810" i="41" s="1"/>
  <c r="J1810" i="41"/>
  <c r="I1810" i="41"/>
  <c r="N1809" i="41"/>
  <c r="M1809" i="41"/>
  <c r="K1809" i="41"/>
  <c r="J1809" i="41"/>
  <c r="L1809" i="41" s="1"/>
  <c r="I1809" i="41"/>
  <c r="M1808" i="41"/>
  <c r="K1808" i="41"/>
  <c r="N1808" i="41" s="1"/>
  <c r="J1808" i="41"/>
  <c r="L1808" i="41" s="1"/>
  <c r="I1808" i="41"/>
  <c r="M1807" i="41"/>
  <c r="K1807" i="41"/>
  <c r="N1807" i="41" s="1"/>
  <c r="J1807" i="41"/>
  <c r="L1807" i="41" s="1"/>
  <c r="I1807" i="41"/>
  <c r="N1806" i="41"/>
  <c r="M1806" i="41"/>
  <c r="O1806" i="41" s="1"/>
  <c r="L1806" i="41"/>
  <c r="K1806" i="41"/>
  <c r="J1806" i="41"/>
  <c r="I1806" i="41"/>
  <c r="O1805" i="41"/>
  <c r="N1805" i="41"/>
  <c r="M1805" i="41"/>
  <c r="L1805" i="41"/>
  <c r="K1805" i="41"/>
  <c r="J1805" i="41"/>
  <c r="I1805" i="41"/>
  <c r="G1805" i="41"/>
  <c r="A1805" i="41"/>
  <c r="N1804" i="41"/>
  <c r="M1804" i="41"/>
  <c r="K1804" i="41"/>
  <c r="J1804" i="41"/>
  <c r="L1804" i="41" s="1"/>
  <c r="I1804" i="41"/>
  <c r="A1804" i="41"/>
  <c r="M1803" i="41"/>
  <c r="L1803" i="41"/>
  <c r="K1803" i="41"/>
  <c r="N1803" i="41" s="1"/>
  <c r="J1803" i="41"/>
  <c r="I1803" i="41"/>
  <c r="M1802" i="41"/>
  <c r="K1802" i="41"/>
  <c r="N1802" i="41" s="1"/>
  <c r="J1802" i="41"/>
  <c r="L1802" i="41" s="1"/>
  <c r="I1802" i="41"/>
  <c r="O1802" i="41" s="1"/>
  <c r="M1801" i="41"/>
  <c r="O1801" i="41" s="1"/>
  <c r="L1801" i="41"/>
  <c r="K1801" i="41"/>
  <c r="N1801" i="41" s="1"/>
  <c r="J1801" i="41"/>
  <c r="I1801" i="41"/>
  <c r="M1800" i="41"/>
  <c r="K1800" i="41"/>
  <c r="N1800" i="41" s="1"/>
  <c r="J1800" i="41"/>
  <c r="L1800" i="41" s="1"/>
  <c r="I1800" i="41"/>
  <c r="B1800" i="41"/>
  <c r="O1799" i="41"/>
  <c r="N1799" i="41"/>
  <c r="M1799" i="41"/>
  <c r="K1799" i="41"/>
  <c r="J1799" i="41"/>
  <c r="L1799" i="41" s="1"/>
  <c r="I1799" i="41"/>
  <c r="M1798" i="41"/>
  <c r="L1798" i="41"/>
  <c r="K1798" i="41"/>
  <c r="N1798" i="41" s="1"/>
  <c r="J1798" i="41"/>
  <c r="I1798" i="41"/>
  <c r="N1797" i="41"/>
  <c r="M1797" i="41"/>
  <c r="O1797" i="41" s="1"/>
  <c r="K1797" i="41"/>
  <c r="J1797" i="41"/>
  <c r="L1797" i="41" s="1"/>
  <c r="I1797" i="41"/>
  <c r="N1796" i="41"/>
  <c r="M1796" i="41"/>
  <c r="L1796" i="41"/>
  <c r="O1796" i="41" s="1"/>
  <c r="K1796" i="41"/>
  <c r="J1796" i="41"/>
  <c r="I1796" i="41"/>
  <c r="M1795" i="41"/>
  <c r="O1795" i="41" s="1"/>
  <c r="L1795" i="41"/>
  <c r="K1795" i="41"/>
  <c r="N1795" i="41" s="1"/>
  <c r="J1795" i="41"/>
  <c r="I1795" i="41"/>
  <c r="O1794" i="41"/>
  <c r="M1794" i="41"/>
  <c r="K1794" i="41"/>
  <c r="N1794" i="41" s="1"/>
  <c r="J1794" i="41"/>
  <c r="L1794" i="41" s="1"/>
  <c r="I1794" i="41"/>
  <c r="N1793" i="41"/>
  <c r="M1793" i="41"/>
  <c r="K1793" i="41"/>
  <c r="J1793" i="41"/>
  <c r="L1793" i="41" s="1"/>
  <c r="O1793" i="41" s="1"/>
  <c r="I1793" i="41"/>
  <c r="M1792" i="41"/>
  <c r="O1792" i="41" s="1"/>
  <c r="L1792" i="41"/>
  <c r="K1792" i="41"/>
  <c r="N1792" i="41" s="1"/>
  <c r="J1792" i="41"/>
  <c r="I1792" i="41"/>
  <c r="M1791" i="41"/>
  <c r="K1791" i="41"/>
  <c r="N1791" i="41" s="1"/>
  <c r="J1791" i="41"/>
  <c r="L1791" i="41" s="1"/>
  <c r="O1791" i="41" s="1"/>
  <c r="I1791" i="41"/>
  <c r="N1790" i="41"/>
  <c r="M1790" i="41"/>
  <c r="L1790" i="41"/>
  <c r="O1790" i="41" s="1"/>
  <c r="K1790" i="41"/>
  <c r="J1790" i="41"/>
  <c r="I1790" i="41"/>
  <c r="M1789" i="41"/>
  <c r="L1789" i="41"/>
  <c r="K1789" i="41"/>
  <c r="N1789" i="41" s="1"/>
  <c r="J1789" i="41"/>
  <c r="I1789" i="41"/>
  <c r="M1788" i="41"/>
  <c r="O1788" i="41" s="1"/>
  <c r="K1788" i="41"/>
  <c r="N1788" i="41" s="1"/>
  <c r="J1788" i="41"/>
  <c r="L1788" i="41" s="1"/>
  <c r="I1788" i="41"/>
  <c r="G1788" i="41"/>
  <c r="A1788" i="41"/>
  <c r="M1787" i="41"/>
  <c r="O1787" i="41" s="1"/>
  <c r="L1787" i="41"/>
  <c r="K1787" i="41"/>
  <c r="N1787" i="41" s="1"/>
  <c r="J1787" i="41"/>
  <c r="I1787" i="41"/>
  <c r="N1786" i="41"/>
  <c r="M1786" i="41"/>
  <c r="O1786" i="41" s="1"/>
  <c r="L1786" i="41"/>
  <c r="K1786" i="41"/>
  <c r="J1786" i="41"/>
  <c r="I1786" i="41"/>
  <c r="O1785" i="41"/>
  <c r="M1785" i="41"/>
  <c r="L1785" i="41"/>
  <c r="K1785" i="41"/>
  <c r="N1785" i="41" s="1"/>
  <c r="J1785" i="41"/>
  <c r="I1785" i="41"/>
  <c r="M1784" i="41"/>
  <c r="L1784" i="41"/>
  <c r="K1784" i="41"/>
  <c r="N1784" i="41" s="1"/>
  <c r="J1784" i="41"/>
  <c r="I1784" i="41"/>
  <c r="N1783" i="41"/>
  <c r="M1783" i="41"/>
  <c r="O1783" i="41" s="1"/>
  <c r="K1783" i="41"/>
  <c r="J1783" i="41"/>
  <c r="L1783" i="41" s="1"/>
  <c r="I1783" i="41"/>
  <c r="N1782" i="41"/>
  <c r="M1782" i="41"/>
  <c r="L1782" i="41"/>
  <c r="O1782" i="41" s="1"/>
  <c r="K1782" i="41"/>
  <c r="J1782" i="41"/>
  <c r="I1782" i="41"/>
  <c r="M1781" i="41"/>
  <c r="K1781" i="41"/>
  <c r="N1781" i="41" s="1"/>
  <c r="J1781" i="41"/>
  <c r="L1781" i="41" s="1"/>
  <c r="I1781" i="41"/>
  <c r="N1780" i="41"/>
  <c r="M1780" i="41"/>
  <c r="K1780" i="41"/>
  <c r="J1780" i="41"/>
  <c r="L1780" i="41" s="1"/>
  <c r="I1780" i="41"/>
  <c r="O1780" i="41" s="1"/>
  <c r="O1779" i="41"/>
  <c r="N1779" i="41"/>
  <c r="M1779" i="41"/>
  <c r="K1779" i="41"/>
  <c r="J1779" i="41"/>
  <c r="L1779" i="41" s="1"/>
  <c r="I1779" i="41"/>
  <c r="N1778" i="41"/>
  <c r="M1778" i="41"/>
  <c r="K1778" i="41"/>
  <c r="J1778" i="41"/>
  <c r="L1778" i="41" s="1"/>
  <c r="I1778" i="41"/>
  <c r="G1778" i="41"/>
  <c r="N1777" i="41"/>
  <c r="M1777" i="41"/>
  <c r="K1777" i="41"/>
  <c r="J1777" i="41"/>
  <c r="L1777" i="41" s="1"/>
  <c r="I1777" i="41"/>
  <c r="O1776" i="41"/>
  <c r="N1776" i="41"/>
  <c r="M1776" i="41"/>
  <c r="L1776" i="41"/>
  <c r="K1776" i="41"/>
  <c r="J1776" i="41"/>
  <c r="I1776" i="41"/>
  <c r="N1775" i="41"/>
  <c r="M1775" i="41"/>
  <c r="O1775" i="41" s="1"/>
  <c r="L1775" i="41"/>
  <c r="K1775" i="41"/>
  <c r="J1775" i="41"/>
  <c r="I1775" i="41"/>
  <c r="M1774" i="41"/>
  <c r="K1774" i="41"/>
  <c r="N1774" i="41" s="1"/>
  <c r="J1774" i="41"/>
  <c r="L1774" i="41" s="1"/>
  <c r="O1774" i="41" s="1"/>
  <c r="I1774" i="41"/>
  <c r="N1773" i="41"/>
  <c r="M1773" i="41"/>
  <c r="L1773" i="41"/>
  <c r="K1773" i="41"/>
  <c r="J1773" i="41"/>
  <c r="I1773" i="41"/>
  <c r="N1772" i="41"/>
  <c r="M1772" i="41"/>
  <c r="O1772" i="41" s="1"/>
  <c r="L1772" i="41"/>
  <c r="K1772" i="41"/>
  <c r="J1772" i="41"/>
  <c r="I1772" i="41"/>
  <c r="M1771" i="41"/>
  <c r="K1771" i="41"/>
  <c r="N1771" i="41" s="1"/>
  <c r="J1771" i="41"/>
  <c r="L1771" i="41" s="1"/>
  <c r="I1771" i="41"/>
  <c r="N1770" i="41"/>
  <c r="M1770" i="41"/>
  <c r="K1770" i="41"/>
  <c r="J1770" i="41"/>
  <c r="L1770" i="41" s="1"/>
  <c r="O1770" i="41" s="1"/>
  <c r="I1770" i="41"/>
  <c r="O1769" i="41"/>
  <c r="N1769" i="41"/>
  <c r="M1769" i="41"/>
  <c r="K1769" i="41"/>
  <c r="J1769" i="41"/>
  <c r="L1769" i="41" s="1"/>
  <c r="I1769" i="41"/>
  <c r="M1768" i="41"/>
  <c r="K1768" i="41"/>
  <c r="N1768" i="41" s="1"/>
  <c r="J1768" i="41"/>
  <c r="L1768" i="41" s="1"/>
  <c r="I1768" i="41"/>
  <c r="G1768" i="41"/>
  <c r="A1768" i="41"/>
  <c r="O1767" i="41"/>
  <c r="M1767" i="41"/>
  <c r="K1767" i="41"/>
  <c r="N1767" i="41" s="1"/>
  <c r="J1767" i="41"/>
  <c r="L1767" i="41" s="1"/>
  <c r="I1767" i="41"/>
  <c r="A1767" i="41"/>
  <c r="M1766" i="41"/>
  <c r="O1766" i="41" s="1"/>
  <c r="L1766" i="41"/>
  <c r="K1766" i="41"/>
  <c r="N1766" i="41" s="1"/>
  <c r="J1766" i="41"/>
  <c r="I1766" i="41"/>
  <c r="M1765" i="41"/>
  <c r="K1765" i="41"/>
  <c r="N1765" i="41" s="1"/>
  <c r="J1765" i="41"/>
  <c r="L1765" i="41" s="1"/>
  <c r="I1765" i="41"/>
  <c r="H1765" i="41"/>
  <c r="B1765" i="41"/>
  <c r="N1764" i="41"/>
  <c r="M1764" i="41"/>
  <c r="K1764" i="41"/>
  <c r="J1764" i="41"/>
  <c r="L1764" i="41" s="1"/>
  <c r="I1764" i="41"/>
  <c r="N1763" i="41"/>
  <c r="M1763" i="41"/>
  <c r="K1763" i="41"/>
  <c r="J1763" i="41"/>
  <c r="L1763" i="41" s="1"/>
  <c r="I1763" i="41"/>
  <c r="M1762" i="41"/>
  <c r="O1762" i="41" s="1"/>
  <c r="K1762" i="41"/>
  <c r="N1762" i="41" s="1"/>
  <c r="J1762" i="41"/>
  <c r="L1762" i="41" s="1"/>
  <c r="I1762" i="41"/>
  <c r="M1761" i="41"/>
  <c r="K1761" i="41"/>
  <c r="N1761" i="41" s="1"/>
  <c r="J1761" i="41"/>
  <c r="L1761" i="41" s="1"/>
  <c r="I1761" i="41"/>
  <c r="O1761" i="41" s="1"/>
  <c r="N1760" i="41"/>
  <c r="M1760" i="41"/>
  <c r="K1760" i="41"/>
  <c r="J1760" i="41"/>
  <c r="L1760" i="41" s="1"/>
  <c r="I1760" i="41"/>
  <c r="M1759" i="41"/>
  <c r="K1759" i="41"/>
  <c r="N1759" i="41" s="1"/>
  <c r="J1759" i="41"/>
  <c r="L1759" i="41" s="1"/>
  <c r="I1759" i="41"/>
  <c r="M1758" i="41"/>
  <c r="K1758" i="41"/>
  <c r="N1758" i="41" s="1"/>
  <c r="J1758" i="41"/>
  <c r="L1758" i="41" s="1"/>
  <c r="O1758" i="41" s="1"/>
  <c r="I1758" i="41"/>
  <c r="N1757" i="41"/>
  <c r="M1757" i="41"/>
  <c r="K1757" i="41"/>
  <c r="J1757" i="41"/>
  <c r="L1757" i="41" s="1"/>
  <c r="I1757" i="41"/>
  <c r="O1757" i="41" s="1"/>
  <c r="M1756" i="41"/>
  <c r="K1756" i="41"/>
  <c r="N1756" i="41" s="1"/>
  <c r="J1756" i="41"/>
  <c r="L1756" i="41" s="1"/>
  <c r="O1756" i="41" s="1"/>
  <c r="I1756" i="41"/>
  <c r="M1755" i="41"/>
  <c r="L1755" i="41"/>
  <c r="K1755" i="41"/>
  <c r="N1755" i="41" s="1"/>
  <c r="J1755" i="41"/>
  <c r="I1755" i="41"/>
  <c r="N1754" i="41"/>
  <c r="M1754" i="41"/>
  <c r="L1754" i="41"/>
  <c r="K1754" i="41"/>
  <c r="J1754" i="41"/>
  <c r="I1754" i="41"/>
  <c r="N1753" i="41"/>
  <c r="M1753" i="41"/>
  <c r="K1753" i="41"/>
  <c r="J1753" i="41"/>
  <c r="L1753" i="41" s="1"/>
  <c r="O1753" i="41" s="1"/>
  <c r="I1753" i="41"/>
  <c r="M1752" i="41"/>
  <c r="O1752" i="41" s="1"/>
  <c r="L1752" i="41"/>
  <c r="K1752" i="41"/>
  <c r="N1752" i="41" s="1"/>
  <c r="J1752" i="41"/>
  <c r="I1752" i="41"/>
  <c r="O1751" i="41"/>
  <c r="N1751" i="41"/>
  <c r="M1751" i="41"/>
  <c r="L1751" i="41"/>
  <c r="K1751" i="41"/>
  <c r="J1751" i="41"/>
  <c r="I1751" i="41"/>
  <c r="G1751" i="41"/>
  <c r="A1751" i="41"/>
  <c r="N1750" i="41"/>
  <c r="M1750" i="41"/>
  <c r="K1750" i="41"/>
  <c r="J1750" i="41"/>
  <c r="L1750" i="41" s="1"/>
  <c r="O1750" i="41" s="1"/>
  <c r="I1750" i="41"/>
  <c r="N1749" i="41"/>
  <c r="M1749" i="41"/>
  <c r="K1749" i="41"/>
  <c r="J1749" i="41"/>
  <c r="L1749" i="41" s="1"/>
  <c r="O1749" i="41" s="1"/>
  <c r="I1749" i="41"/>
  <c r="H1749" i="41"/>
  <c r="B1749" i="41"/>
  <c r="M1748" i="41"/>
  <c r="O1748" i="41" s="1"/>
  <c r="K1748" i="41"/>
  <c r="N1748" i="41" s="1"/>
  <c r="J1748" i="41"/>
  <c r="L1748" i="41" s="1"/>
  <c r="I1748" i="41"/>
  <c r="M1747" i="41"/>
  <c r="L1747" i="41"/>
  <c r="K1747" i="41"/>
  <c r="N1747" i="41" s="1"/>
  <c r="J1747" i="41"/>
  <c r="I1747" i="41"/>
  <c r="N1746" i="41"/>
  <c r="M1746" i="41"/>
  <c r="O1746" i="41" s="1"/>
  <c r="L1746" i="41"/>
  <c r="K1746" i="41"/>
  <c r="J1746" i="41"/>
  <c r="I1746" i="41"/>
  <c r="M1745" i="41"/>
  <c r="K1745" i="41"/>
  <c r="N1745" i="41" s="1"/>
  <c r="J1745" i="41"/>
  <c r="L1745" i="41" s="1"/>
  <c r="O1745" i="41" s="1"/>
  <c r="I1745" i="41"/>
  <c r="N1744" i="41"/>
  <c r="M1744" i="41"/>
  <c r="O1744" i="41" s="1"/>
  <c r="L1744" i="41"/>
  <c r="K1744" i="41"/>
  <c r="J1744" i="41"/>
  <c r="I1744" i="41"/>
  <c r="M1743" i="41"/>
  <c r="K1743" i="41"/>
  <c r="N1743" i="41" s="1"/>
  <c r="J1743" i="41"/>
  <c r="L1743" i="41" s="1"/>
  <c r="I1743" i="41"/>
  <c r="G1743" i="41"/>
  <c r="A1743" i="41"/>
  <c r="N1742" i="41"/>
  <c r="M1742" i="41"/>
  <c r="K1742" i="41"/>
  <c r="J1742" i="41"/>
  <c r="L1742" i="41" s="1"/>
  <c r="I1742" i="41"/>
  <c r="N1741" i="41"/>
  <c r="M1741" i="41"/>
  <c r="O1741" i="41" s="1"/>
  <c r="K1741" i="41"/>
  <c r="J1741" i="41"/>
  <c r="L1741" i="41" s="1"/>
  <c r="I1741" i="41"/>
  <c r="M1740" i="41"/>
  <c r="K1740" i="41"/>
  <c r="N1740" i="41" s="1"/>
  <c r="J1740" i="41"/>
  <c r="L1740" i="41" s="1"/>
  <c r="I1740" i="41"/>
  <c r="M1739" i="41"/>
  <c r="K1739" i="41"/>
  <c r="N1739" i="41" s="1"/>
  <c r="J1739" i="41"/>
  <c r="L1739" i="41" s="1"/>
  <c r="I1739" i="41"/>
  <c r="N1738" i="41"/>
  <c r="M1738" i="41"/>
  <c r="L1738" i="41"/>
  <c r="O1738" i="41" s="1"/>
  <c r="K1738" i="41"/>
  <c r="J1738" i="41"/>
  <c r="I1738" i="41"/>
  <c r="H1738" i="41"/>
  <c r="B1738" i="41"/>
  <c r="N1737" i="41"/>
  <c r="M1737" i="41"/>
  <c r="O1737" i="41" s="1"/>
  <c r="L1737" i="41"/>
  <c r="K1737" i="41"/>
  <c r="J1737" i="41"/>
  <c r="I1737" i="41"/>
  <c r="M1736" i="41"/>
  <c r="L1736" i="41"/>
  <c r="K1736" i="41"/>
  <c r="N1736" i="41" s="1"/>
  <c r="J1736" i="41"/>
  <c r="I1736" i="41"/>
  <c r="M1735" i="41"/>
  <c r="K1735" i="41"/>
  <c r="N1735" i="41" s="1"/>
  <c r="J1735" i="41"/>
  <c r="L1735" i="41" s="1"/>
  <c r="O1735" i="41" s="1"/>
  <c r="I1735" i="41"/>
  <c r="N1734" i="41"/>
  <c r="M1734" i="41"/>
  <c r="L1734" i="41"/>
  <c r="K1734" i="41"/>
  <c r="J1734" i="41"/>
  <c r="I1734" i="41"/>
  <c r="O1734" i="41" s="1"/>
  <c r="M1733" i="41"/>
  <c r="L1733" i="41"/>
  <c r="K1733" i="41"/>
  <c r="N1733" i="41" s="1"/>
  <c r="J1733" i="41"/>
  <c r="I1733" i="41"/>
  <c r="G1733" i="41"/>
  <c r="A1733" i="41"/>
  <c r="M1732" i="41"/>
  <c r="K1732" i="41"/>
  <c r="N1732" i="41" s="1"/>
  <c r="J1732" i="41"/>
  <c r="L1732" i="41" s="1"/>
  <c r="I1732" i="41"/>
  <c r="M1731" i="41"/>
  <c r="K1731" i="41"/>
  <c r="N1731" i="41" s="1"/>
  <c r="J1731" i="41"/>
  <c r="L1731" i="41" s="1"/>
  <c r="I1731" i="41"/>
  <c r="B1731" i="41"/>
  <c r="M1730" i="41"/>
  <c r="L1730" i="41"/>
  <c r="K1730" i="41"/>
  <c r="N1730" i="41" s="1"/>
  <c r="J1730" i="41"/>
  <c r="I1730" i="41"/>
  <c r="N1729" i="41"/>
  <c r="M1729" i="41"/>
  <c r="L1729" i="41"/>
  <c r="K1729" i="41"/>
  <c r="J1729" i="41"/>
  <c r="I1729" i="41"/>
  <c r="M1728" i="41"/>
  <c r="L1728" i="41"/>
  <c r="K1728" i="41"/>
  <c r="N1728" i="41" s="1"/>
  <c r="J1728" i="41"/>
  <c r="I1728" i="41"/>
  <c r="M1727" i="41"/>
  <c r="L1727" i="41"/>
  <c r="K1727" i="41"/>
  <c r="N1727" i="41" s="1"/>
  <c r="J1727" i="41"/>
  <c r="I1727" i="41"/>
  <c r="N1726" i="41"/>
  <c r="M1726" i="41"/>
  <c r="L1726" i="41"/>
  <c r="K1726" i="41"/>
  <c r="J1726" i="41"/>
  <c r="I1726" i="41"/>
  <c r="N1725" i="41"/>
  <c r="M1725" i="41"/>
  <c r="K1725" i="41"/>
  <c r="J1725" i="41"/>
  <c r="L1725" i="41" s="1"/>
  <c r="I1725" i="41"/>
  <c r="O1724" i="41"/>
  <c r="N1724" i="41"/>
  <c r="M1724" i="41"/>
  <c r="L1724" i="41"/>
  <c r="K1724" i="41"/>
  <c r="J1724" i="41"/>
  <c r="I1724" i="41"/>
  <c r="N1723" i="41"/>
  <c r="M1723" i="41"/>
  <c r="K1723" i="41"/>
  <c r="J1723" i="41"/>
  <c r="L1723" i="41" s="1"/>
  <c r="I1723" i="41"/>
  <c r="O1723" i="41" s="1"/>
  <c r="M1722" i="41"/>
  <c r="K1722" i="41"/>
  <c r="N1722" i="41" s="1"/>
  <c r="J1722" i="41"/>
  <c r="L1722" i="41" s="1"/>
  <c r="I1722" i="41"/>
  <c r="G1722" i="41"/>
  <c r="H1731" i="41" s="1"/>
  <c r="H1693" i="41" s="1"/>
  <c r="A1722" i="41"/>
  <c r="N1721" i="41"/>
  <c r="M1721" i="41"/>
  <c r="K1721" i="41"/>
  <c r="J1721" i="41"/>
  <c r="L1721" i="41" s="1"/>
  <c r="I1721" i="41"/>
  <c r="M1720" i="41"/>
  <c r="K1720" i="41"/>
  <c r="N1720" i="41" s="1"/>
  <c r="J1720" i="41"/>
  <c r="L1720" i="41" s="1"/>
  <c r="I1720" i="41"/>
  <c r="H1720" i="41"/>
  <c r="B1720" i="41"/>
  <c r="O1719" i="41"/>
  <c r="N1719" i="41"/>
  <c r="M1719" i="41"/>
  <c r="K1719" i="41"/>
  <c r="J1719" i="41"/>
  <c r="L1719" i="41" s="1"/>
  <c r="I1719" i="41"/>
  <c r="O1718" i="41"/>
  <c r="N1718" i="41"/>
  <c r="M1718" i="41"/>
  <c r="L1718" i="41"/>
  <c r="K1718" i="41"/>
  <c r="J1718" i="41"/>
  <c r="I1718" i="41"/>
  <c r="N1717" i="41"/>
  <c r="M1717" i="41"/>
  <c r="L1717" i="41"/>
  <c r="K1717" i="41"/>
  <c r="J1717" i="41"/>
  <c r="I1717" i="41"/>
  <c r="N1716" i="41"/>
  <c r="M1716" i="41"/>
  <c r="L1716" i="41"/>
  <c r="O1716" i="41" s="1"/>
  <c r="K1716" i="41"/>
  <c r="J1716" i="41"/>
  <c r="I1716" i="41"/>
  <c r="O1715" i="41"/>
  <c r="N1715" i="41"/>
  <c r="M1715" i="41"/>
  <c r="K1715" i="41"/>
  <c r="J1715" i="41"/>
  <c r="L1715" i="41" s="1"/>
  <c r="I1715" i="41"/>
  <c r="N1714" i="41"/>
  <c r="M1714" i="41"/>
  <c r="O1714" i="41" s="1"/>
  <c r="K1714" i="41"/>
  <c r="J1714" i="41"/>
  <c r="L1714" i="41" s="1"/>
  <c r="I1714" i="41"/>
  <c r="M1713" i="41"/>
  <c r="K1713" i="41"/>
  <c r="N1713" i="41" s="1"/>
  <c r="J1713" i="41"/>
  <c r="L1713" i="41" s="1"/>
  <c r="O1713" i="41" s="1"/>
  <c r="I1713" i="41"/>
  <c r="O1712" i="41"/>
  <c r="N1712" i="41"/>
  <c r="M1712" i="41"/>
  <c r="K1712" i="41"/>
  <c r="J1712" i="41"/>
  <c r="L1712" i="41" s="1"/>
  <c r="I1712" i="41"/>
  <c r="M1711" i="41"/>
  <c r="K1711" i="41"/>
  <c r="N1711" i="41" s="1"/>
  <c r="J1711" i="41"/>
  <c r="L1711" i="41" s="1"/>
  <c r="I1711" i="41"/>
  <c r="O1710" i="41"/>
  <c r="M1710" i="41"/>
  <c r="L1710" i="41"/>
  <c r="K1710" i="41"/>
  <c r="N1710" i="41" s="1"/>
  <c r="J1710" i="41"/>
  <c r="I1710" i="41"/>
  <c r="M1709" i="41"/>
  <c r="L1709" i="41"/>
  <c r="O1709" i="41" s="1"/>
  <c r="K1709" i="41"/>
  <c r="N1709" i="41" s="1"/>
  <c r="J1709" i="41"/>
  <c r="I1709" i="41"/>
  <c r="G1709" i="41"/>
  <c r="N1708" i="41"/>
  <c r="M1708" i="41"/>
  <c r="K1708" i="41"/>
  <c r="J1708" i="41"/>
  <c r="L1708" i="41" s="1"/>
  <c r="I1708" i="41"/>
  <c r="A1708" i="41"/>
  <c r="N1706" i="41"/>
  <c r="M1706" i="41"/>
  <c r="O1706" i="41" s="1"/>
  <c r="L1706" i="41"/>
  <c r="K1706" i="41"/>
  <c r="J1706" i="41"/>
  <c r="I1706" i="41"/>
  <c r="H1706" i="41"/>
  <c r="B1706" i="41"/>
  <c r="M1705" i="41"/>
  <c r="K1705" i="41"/>
  <c r="N1705" i="41" s="1"/>
  <c r="J1705" i="41"/>
  <c r="L1705" i="41" s="1"/>
  <c r="I1705" i="41"/>
  <c r="O1705" i="41" s="1"/>
  <c r="O1704" i="41"/>
  <c r="N1704" i="41"/>
  <c r="M1704" i="41"/>
  <c r="L1704" i="41"/>
  <c r="K1704" i="41"/>
  <c r="J1704" i="41"/>
  <c r="I1704" i="41"/>
  <c r="O1703" i="41"/>
  <c r="N1703" i="41"/>
  <c r="M1703" i="41"/>
  <c r="K1703" i="41"/>
  <c r="J1703" i="41"/>
  <c r="L1703" i="41" s="1"/>
  <c r="I1703" i="41"/>
  <c r="M1702" i="41"/>
  <c r="L1702" i="41"/>
  <c r="O1702" i="41" s="1"/>
  <c r="K1702" i="41"/>
  <c r="N1702" i="41" s="1"/>
  <c r="J1702" i="41"/>
  <c r="I1702" i="41"/>
  <c r="O1701" i="41"/>
  <c r="N1701" i="41"/>
  <c r="M1701" i="41"/>
  <c r="K1701" i="41"/>
  <c r="J1701" i="41"/>
  <c r="L1701" i="41" s="1"/>
  <c r="I1701" i="41"/>
  <c r="M1700" i="41"/>
  <c r="L1700" i="41"/>
  <c r="O1700" i="41" s="1"/>
  <c r="K1700" i="41"/>
  <c r="N1700" i="41" s="1"/>
  <c r="J1700" i="41"/>
  <c r="I1700" i="41"/>
  <c r="M1699" i="41"/>
  <c r="L1699" i="41"/>
  <c r="O1699" i="41" s="1"/>
  <c r="K1699" i="41"/>
  <c r="N1699" i="41" s="1"/>
  <c r="J1699" i="41"/>
  <c r="I1699" i="41"/>
  <c r="N1698" i="41"/>
  <c r="M1698" i="41"/>
  <c r="O1698" i="41" s="1"/>
  <c r="L1698" i="41"/>
  <c r="K1698" i="41"/>
  <c r="J1698" i="41"/>
  <c r="I1698" i="41"/>
  <c r="M1697" i="41"/>
  <c r="K1697" i="41"/>
  <c r="N1697" i="41" s="1"/>
  <c r="J1697" i="41"/>
  <c r="L1697" i="41" s="1"/>
  <c r="I1697" i="41"/>
  <c r="O1696" i="41"/>
  <c r="M1696" i="41"/>
  <c r="K1696" i="41"/>
  <c r="N1696" i="41" s="1"/>
  <c r="J1696" i="41"/>
  <c r="L1696" i="41" s="1"/>
  <c r="I1696" i="41"/>
  <c r="M1695" i="41"/>
  <c r="O1695" i="41" s="1"/>
  <c r="L1695" i="41"/>
  <c r="K1695" i="41"/>
  <c r="N1695" i="41" s="1"/>
  <c r="J1695" i="41"/>
  <c r="I1695" i="41"/>
  <c r="G1695" i="41"/>
  <c r="A1695" i="41"/>
  <c r="M1694" i="41"/>
  <c r="L1694" i="41"/>
  <c r="K1694" i="41"/>
  <c r="N1694" i="41" s="1"/>
  <c r="J1694" i="41"/>
  <c r="I1694" i="41"/>
  <c r="I1693" i="41"/>
  <c r="N1692" i="41"/>
  <c r="M1692" i="41"/>
  <c r="K1692" i="41"/>
  <c r="J1692" i="41"/>
  <c r="L1692" i="41" s="1"/>
  <c r="O1692" i="41" s="1"/>
  <c r="I1692" i="41"/>
  <c r="M1691" i="41"/>
  <c r="K1691" i="41"/>
  <c r="N1691" i="41" s="1"/>
  <c r="J1691" i="41"/>
  <c r="L1691" i="41" s="1"/>
  <c r="O1691" i="41" s="1"/>
  <c r="I1691" i="41"/>
  <c r="B1691" i="41"/>
  <c r="N1690" i="41"/>
  <c r="M1690" i="41"/>
  <c r="K1690" i="41"/>
  <c r="J1690" i="41"/>
  <c r="L1690" i="41" s="1"/>
  <c r="I1690" i="41"/>
  <c r="O1689" i="41"/>
  <c r="N1689" i="41"/>
  <c r="M1689" i="41"/>
  <c r="L1689" i="41"/>
  <c r="K1689" i="41"/>
  <c r="J1689" i="41"/>
  <c r="I1689" i="41"/>
  <c r="O1688" i="41"/>
  <c r="N1688" i="41"/>
  <c r="M1688" i="41"/>
  <c r="L1688" i="41"/>
  <c r="K1688" i="41"/>
  <c r="J1688" i="41"/>
  <c r="I1688" i="41"/>
  <c r="M1687" i="41"/>
  <c r="L1687" i="41"/>
  <c r="K1687" i="41"/>
  <c r="N1687" i="41" s="1"/>
  <c r="J1687" i="41"/>
  <c r="I1687" i="41"/>
  <c r="O1686" i="41"/>
  <c r="N1686" i="41"/>
  <c r="M1686" i="41"/>
  <c r="L1686" i="41"/>
  <c r="K1686" i="41"/>
  <c r="J1686" i="41"/>
  <c r="I1686" i="41"/>
  <c r="O1685" i="41"/>
  <c r="N1685" i="41"/>
  <c r="M1685" i="41"/>
  <c r="L1685" i="41"/>
  <c r="K1685" i="41"/>
  <c r="J1685" i="41"/>
  <c r="I1685" i="41"/>
  <c r="M1684" i="41"/>
  <c r="L1684" i="41"/>
  <c r="K1684" i="41"/>
  <c r="N1684" i="41" s="1"/>
  <c r="J1684" i="41"/>
  <c r="I1684" i="41"/>
  <c r="O1683" i="41"/>
  <c r="N1683" i="41"/>
  <c r="M1683" i="41"/>
  <c r="K1683" i="41"/>
  <c r="J1683" i="41"/>
  <c r="L1683" i="41" s="1"/>
  <c r="I1683" i="41"/>
  <c r="N1682" i="41"/>
  <c r="M1682" i="41"/>
  <c r="O1682" i="41" s="1"/>
  <c r="L1682" i="41"/>
  <c r="K1682" i="41"/>
  <c r="J1682" i="41"/>
  <c r="I1682" i="41"/>
  <c r="M1681" i="41"/>
  <c r="K1681" i="41"/>
  <c r="N1681" i="41" s="1"/>
  <c r="J1681" i="41"/>
  <c r="L1681" i="41" s="1"/>
  <c r="I1681" i="41"/>
  <c r="O1680" i="41"/>
  <c r="N1680" i="41"/>
  <c r="M1680" i="41"/>
  <c r="K1680" i="41"/>
  <c r="J1680" i="41"/>
  <c r="L1680" i="41" s="1"/>
  <c r="I1680" i="41"/>
  <c r="M1679" i="41"/>
  <c r="K1679" i="41"/>
  <c r="N1679" i="41" s="1"/>
  <c r="J1679" i="41"/>
  <c r="L1679" i="41" s="1"/>
  <c r="I1679" i="41"/>
  <c r="M1678" i="41"/>
  <c r="K1678" i="41"/>
  <c r="N1678" i="41" s="1"/>
  <c r="J1678" i="41"/>
  <c r="L1678" i="41" s="1"/>
  <c r="I1678" i="41"/>
  <c r="M1677" i="41"/>
  <c r="K1677" i="41"/>
  <c r="N1677" i="41" s="1"/>
  <c r="J1677" i="41"/>
  <c r="L1677" i="41" s="1"/>
  <c r="I1677" i="41"/>
  <c r="O1675" i="41"/>
  <c r="M1675" i="41"/>
  <c r="K1675" i="41"/>
  <c r="N1675" i="41" s="1"/>
  <c r="J1675" i="41"/>
  <c r="L1675" i="41" s="1"/>
  <c r="I1675" i="41"/>
  <c r="M1674" i="41"/>
  <c r="L1674" i="41"/>
  <c r="K1674" i="41"/>
  <c r="N1674" i="41" s="1"/>
  <c r="J1674" i="41"/>
  <c r="I1674" i="41"/>
  <c r="M1673" i="41"/>
  <c r="O1673" i="41" s="1"/>
  <c r="L1673" i="41"/>
  <c r="K1673" i="41"/>
  <c r="N1673" i="41" s="1"/>
  <c r="J1673" i="41"/>
  <c r="I1673" i="41"/>
  <c r="N1672" i="41"/>
  <c r="M1672" i="41"/>
  <c r="L1672" i="41"/>
  <c r="K1672" i="41"/>
  <c r="J1672" i="41"/>
  <c r="I1672" i="41"/>
  <c r="M1671" i="41"/>
  <c r="K1671" i="41"/>
  <c r="N1671" i="41" s="1"/>
  <c r="J1671" i="41"/>
  <c r="L1671" i="41" s="1"/>
  <c r="O1671" i="41" s="1"/>
  <c r="I1671" i="41"/>
  <c r="M1670" i="41"/>
  <c r="L1670" i="41"/>
  <c r="K1670" i="41"/>
  <c r="N1670" i="41" s="1"/>
  <c r="J1670" i="41"/>
  <c r="I1670" i="41"/>
  <c r="O1669" i="41"/>
  <c r="M1669" i="41"/>
  <c r="L1669" i="41"/>
  <c r="K1669" i="41"/>
  <c r="N1669" i="41" s="1"/>
  <c r="J1669" i="41"/>
  <c r="I1669" i="41"/>
  <c r="M1668" i="41"/>
  <c r="L1668" i="41"/>
  <c r="O1668" i="41" s="1"/>
  <c r="K1668" i="41"/>
  <c r="N1668" i="41" s="1"/>
  <c r="J1668" i="41"/>
  <c r="I1668" i="41"/>
  <c r="N1667" i="41"/>
  <c r="M1667" i="41"/>
  <c r="O1667" i="41" s="1"/>
  <c r="K1667" i="41"/>
  <c r="J1667" i="41"/>
  <c r="L1667" i="41" s="1"/>
  <c r="I1667" i="41"/>
  <c r="O1666" i="41"/>
  <c r="N1666" i="41"/>
  <c r="M1666" i="41"/>
  <c r="L1666" i="41"/>
  <c r="K1666" i="41"/>
  <c r="J1666" i="41"/>
  <c r="I1666" i="41"/>
  <c r="N1665" i="41"/>
  <c r="M1665" i="41"/>
  <c r="L1665" i="41"/>
  <c r="K1665" i="41"/>
  <c r="J1665" i="41"/>
  <c r="I1665" i="41"/>
  <c r="G1665" i="41"/>
  <c r="A1665" i="41"/>
  <c r="M1664" i="41"/>
  <c r="K1664" i="41"/>
  <c r="N1664" i="41" s="1"/>
  <c r="J1664" i="41"/>
  <c r="L1664" i="41" s="1"/>
  <c r="I1664" i="41"/>
  <c r="O1663" i="41"/>
  <c r="N1663" i="41"/>
  <c r="M1663" i="41"/>
  <c r="L1663" i="41"/>
  <c r="K1663" i="41"/>
  <c r="J1663" i="41"/>
  <c r="I1663" i="41"/>
  <c r="M1662" i="41"/>
  <c r="K1662" i="41"/>
  <c r="N1662" i="41" s="1"/>
  <c r="J1662" i="41"/>
  <c r="L1662" i="41" s="1"/>
  <c r="I1662" i="41"/>
  <c r="M1661" i="41"/>
  <c r="O1661" i="41" s="1"/>
  <c r="L1661" i="41"/>
  <c r="K1661" i="41"/>
  <c r="N1661" i="41" s="1"/>
  <c r="J1661" i="41"/>
  <c r="I1661" i="41"/>
  <c r="N1660" i="41"/>
  <c r="M1660" i="41"/>
  <c r="O1660" i="41" s="1"/>
  <c r="L1660" i="41"/>
  <c r="K1660" i="41"/>
  <c r="J1660" i="41"/>
  <c r="I1660" i="41"/>
  <c r="M1659" i="41"/>
  <c r="K1659" i="41"/>
  <c r="N1659" i="41" s="1"/>
  <c r="J1659" i="41"/>
  <c r="L1659" i="41" s="1"/>
  <c r="I1659" i="41"/>
  <c r="M1658" i="41"/>
  <c r="K1658" i="41"/>
  <c r="N1658" i="41" s="1"/>
  <c r="J1658" i="41"/>
  <c r="L1658" i="41" s="1"/>
  <c r="O1658" i="41" s="1"/>
  <c r="I1658" i="41"/>
  <c r="N1657" i="41"/>
  <c r="M1657" i="41"/>
  <c r="L1657" i="41"/>
  <c r="K1657" i="41"/>
  <c r="J1657" i="41"/>
  <c r="I1657" i="41"/>
  <c r="M1656" i="41"/>
  <c r="K1656" i="41"/>
  <c r="N1656" i="41" s="1"/>
  <c r="J1656" i="41"/>
  <c r="L1656" i="41" s="1"/>
  <c r="I1656" i="41"/>
  <c r="M1655" i="41"/>
  <c r="K1655" i="41"/>
  <c r="N1655" i="41" s="1"/>
  <c r="J1655" i="41"/>
  <c r="L1655" i="41" s="1"/>
  <c r="I1655" i="41"/>
  <c r="O1654" i="41"/>
  <c r="M1654" i="41"/>
  <c r="L1654" i="41"/>
  <c r="K1654" i="41"/>
  <c r="N1654" i="41" s="1"/>
  <c r="J1654" i="41"/>
  <c r="I1654" i="41"/>
  <c r="M1653" i="41"/>
  <c r="L1653" i="41"/>
  <c r="K1653" i="41"/>
  <c r="N1653" i="41" s="1"/>
  <c r="J1653" i="41"/>
  <c r="I1653" i="41"/>
  <c r="O1652" i="41"/>
  <c r="M1652" i="41"/>
  <c r="K1652" i="41"/>
  <c r="N1652" i="41" s="1"/>
  <c r="J1652" i="41"/>
  <c r="L1652" i="41" s="1"/>
  <c r="I1652" i="41"/>
  <c r="N1651" i="41"/>
  <c r="M1651" i="41"/>
  <c r="L1651" i="41"/>
  <c r="K1651" i="41"/>
  <c r="J1651" i="41"/>
  <c r="I1651" i="41"/>
  <c r="M1650" i="41"/>
  <c r="K1650" i="41"/>
  <c r="N1650" i="41" s="1"/>
  <c r="J1650" i="41"/>
  <c r="L1650" i="41" s="1"/>
  <c r="I1650" i="41"/>
  <c r="N1649" i="41"/>
  <c r="M1649" i="41"/>
  <c r="L1649" i="41"/>
  <c r="K1649" i="41"/>
  <c r="J1649" i="41"/>
  <c r="I1649" i="41"/>
  <c r="O1648" i="41"/>
  <c r="N1648" i="41"/>
  <c r="M1648" i="41"/>
  <c r="K1648" i="41"/>
  <c r="J1648" i="41"/>
  <c r="L1648" i="41" s="1"/>
  <c r="I1648" i="41"/>
  <c r="M1647" i="41"/>
  <c r="O1647" i="41" s="1"/>
  <c r="L1647" i="41"/>
  <c r="K1647" i="41"/>
  <c r="N1647" i="41" s="1"/>
  <c r="J1647" i="41"/>
  <c r="I1647" i="41"/>
  <c r="M1646" i="41"/>
  <c r="K1646" i="41"/>
  <c r="N1646" i="41" s="1"/>
  <c r="J1646" i="41"/>
  <c r="L1646" i="41" s="1"/>
  <c r="I1646" i="41"/>
  <c r="N1645" i="41"/>
  <c r="M1645" i="41"/>
  <c r="K1645" i="41"/>
  <c r="J1645" i="41"/>
  <c r="L1645" i="41" s="1"/>
  <c r="I1645" i="41"/>
  <c r="O1645" i="41" s="1"/>
  <c r="M1644" i="41"/>
  <c r="K1644" i="41"/>
  <c r="N1644" i="41" s="1"/>
  <c r="J1644" i="41"/>
  <c r="L1644" i="41" s="1"/>
  <c r="O1644" i="41" s="1"/>
  <c r="I1644" i="41"/>
  <c r="N1643" i="41"/>
  <c r="M1643" i="41"/>
  <c r="K1643" i="41"/>
  <c r="J1643" i="41"/>
  <c r="L1643" i="41" s="1"/>
  <c r="I1643" i="41"/>
  <c r="M1642" i="41"/>
  <c r="L1642" i="41"/>
  <c r="O1642" i="41" s="1"/>
  <c r="K1642" i="41"/>
  <c r="N1642" i="41" s="1"/>
  <c r="J1642" i="41"/>
  <c r="I1642" i="41"/>
  <c r="O1641" i="41"/>
  <c r="N1641" i="41"/>
  <c r="M1641" i="41"/>
  <c r="K1641" i="41"/>
  <c r="J1641" i="41"/>
  <c r="L1641" i="41" s="1"/>
  <c r="I1641" i="41"/>
  <c r="M1640" i="41"/>
  <c r="L1640" i="41"/>
  <c r="K1640" i="41"/>
  <c r="N1640" i="41" s="1"/>
  <c r="J1640" i="41"/>
  <c r="I1640" i="41"/>
  <c r="M1639" i="41"/>
  <c r="L1639" i="41"/>
  <c r="K1639" i="41"/>
  <c r="N1639" i="41" s="1"/>
  <c r="J1639" i="41"/>
  <c r="I1639" i="41"/>
  <c r="O1638" i="41"/>
  <c r="N1638" i="41"/>
  <c r="M1638" i="41"/>
  <c r="L1638" i="41"/>
  <c r="K1638" i="41"/>
  <c r="J1638" i="41"/>
  <c r="I1638" i="41"/>
  <c r="G1638" i="41"/>
  <c r="A1638" i="41"/>
  <c r="N1637" i="41"/>
  <c r="M1637" i="41"/>
  <c r="L1637" i="41"/>
  <c r="K1637" i="41"/>
  <c r="J1637" i="41"/>
  <c r="I1637" i="41"/>
  <c r="M1636" i="41"/>
  <c r="K1636" i="41"/>
  <c r="N1636" i="41" s="1"/>
  <c r="J1636" i="41"/>
  <c r="L1636" i="41" s="1"/>
  <c r="I1636" i="41"/>
  <c r="N1635" i="41"/>
  <c r="M1635" i="41"/>
  <c r="L1635" i="41"/>
  <c r="K1635" i="41"/>
  <c r="J1635" i="41"/>
  <c r="I1635" i="41"/>
  <c r="O1635" i="41" s="1"/>
  <c r="N1634" i="41"/>
  <c r="M1634" i="41"/>
  <c r="O1634" i="41" s="1"/>
  <c r="K1634" i="41"/>
  <c r="J1634" i="41"/>
  <c r="L1634" i="41" s="1"/>
  <c r="I1634" i="41"/>
  <c r="M1633" i="41"/>
  <c r="K1633" i="41"/>
  <c r="N1633" i="41" s="1"/>
  <c r="J1633" i="41"/>
  <c r="L1633" i="41" s="1"/>
  <c r="I1633" i="41"/>
  <c r="N1632" i="41"/>
  <c r="M1632" i="41"/>
  <c r="O1632" i="41" s="1"/>
  <c r="L1632" i="41"/>
  <c r="K1632" i="41"/>
  <c r="J1632" i="41"/>
  <c r="I1632" i="41"/>
  <c r="O1631" i="41"/>
  <c r="N1631" i="41"/>
  <c r="M1631" i="41"/>
  <c r="K1631" i="41"/>
  <c r="J1631" i="41"/>
  <c r="L1631" i="41" s="1"/>
  <c r="I1631" i="41"/>
  <c r="M1630" i="41"/>
  <c r="K1630" i="41"/>
  <c r="N1630" i="41" s="1"/>
  <c r="J1630" i="41"/>
  <c r="L1630" i="41" s="1"/>
  <c r="O1630" i="41" s="1"/>
  <c r="I1630" i="41"/>
  <c r="N1629" i="41"/>
  <c r="M1629" i="41"/>
  <c r="L1629" i="41"/>
  <c r="O1629" i="41" s="1"/>
  <c r="K1629" i="41"/>
  <c r="J1629" i="41"/>
  <c r="I1629" i="41"/>
  <c r="M1628" i="41"/>
  <c r="K1628" i="41"/>
  <c r="N1628" i="41" s="1"/>
  <c r="J1628" i="41"/>
  <c r="L1628" i="41" s="1"/>
  <c r="O1628" i="41" s="1"/>
  <c r="I1628" i="41"/>
  <c r="M1627" i="41"/>
  <c r="K1627" i="41"/>
  <c r="N1627" i="41" s="1"/>
  <c r="J1627" i="41"/>
  <c r="L1627" i="41" s="1"/>
  <c r="I1627" i="41"/>
  <c r="N1626" i="41"/>
  <c r="M1626" i="41"/>
  <c r="L1626" i="41"/>
  <c r="K1626" i="41"/>
  <c r="J1626" i="41"/>
  <c r="I1626" i="41"/>
  <c r="M1625" i="41"/>
  <c r="K1625" i="41"/>
  <c r="N1625" i="41" s="1"/>
  <c r="J1625" i="41"/>
  <c r="L1625" i="41" s="1"/>
  <c r="I1625" i="41"/>
  <c r="O1624" i="41"/>
  <c r="N1624" i="41"/>
  <c r="M1624" i="41"/>
  <c r="K1624" i="41"/>
  <c r="J1624" i="41"/>
  <c r="L1624" i="41" s="1"/>
  <c r="I1624" i="41"/>
  <c r="N1623" i="41"/>
  <c r="M1623" i="41"/>
  <c r="K1623" i="41"/>
  <c r="J1623" i="41"/>
  <c r="L1623" i="41" s="1"/>
  <c r="O1623" i="41" s="1"/>
  <c r="I1623" i="41"/>
  <c r="M1622" i="41"/>
  <c r="K1622" i="41"/>
  <c r="N1622" i="41" s="1"/>
  <c r="J1622" i="41"/>
  <c r="L1622" i="41" s="1"/>
  <c r="I1622" i="41"/>
  <c r="N1621" i="41"/>
  <c r="M1621" i="41"/>
  <c r="K1621" i="41"/>
  <c r="J1621" i="41"/>
  <c r="L1621" i="41" s="1"/>
  <c r="I1621" i="41"/>
  <c r="M1620" i="41"/>
  <c r="O1620" i="41" s="1"/>
  <c r="L1620" i="41"/>
  <c r="K1620" i="41"/>
  <c r="N1620" i="41" s="1"/>
  <c r="J1620" i="41"/>
  <c r="I1620" i="41"/>
  <c r="M1619" i="41"/>
  <c r="K1619" i="41"/>
  <c r="N1619" i="41" s="1"/>
  <c r="J1619" i="41"/>
  <c r="L1619" i="41" s="1"/>
  <c r="O1619" i="41" s="1"/>
  <c r="I1619" i="41"/>
  <c r="O1618" i="41"/>
  <c r="N1618" i="41"/>
  <c r="M1618" i="41"/>
  <c r="K1618" i="41"/>
  <c r="J1618" i="41"/>
  <c r="L1618" i="41" s="1"/>
  <c r="I1618" i="41"/>
  <c r="N1617" i="41"/>
  <c r="M1617" i="41"/>
  <c r="L1617" i="41"/>
  <c r="K1617" i="41"/>
  <c r="J1617" i="41"/>
  <c r="I1617" i="41"/>
  <c r="O1617" i="41" s="1"/>
  <c r="O1616" i="41"/>
  <c r="M1616" i="41"/>
  <c r="K1616" i="41"/>
  <c r="N1616" i="41" s="1"/>
  <c r="J1616" i="41"/>
  <c r="L1616" i="41" s="1"/>
  <c r="I1616" i="41"/>
  <c r="M1615" i="41"/>
  <c r="K1615" i="41"/>
  <c r="N1615" i="41" s="1"/>
  <c r="J1615" i="41"/>
  <c r="L1615" i="41" s="1"/>
  <c r="O1615" i="41" s="1"/>
  <c r="I1615" i="41"/>
  <c r="N1614" i="41"/>
  <c r="M1614" i="41"/>
  <c r="O1614" i="41" s="1"/>
  <c r="K1614" i="41"/>
  <c r="J1614" i="41"/>
  <c r="L1614" i="41" s="1"/>
  <c r="I1614" i="41"/>
  <c r="N1613" i="41"/>
  <c r="M1613" i="41"/>
  <c r="K1613" i="41"/>
  <c r="J1613" i="41"/>
  <c r="L1613" i="41" s="1"/>
  <c r="I1613" i="41"/>
  <c r="M1612" i="41"/>
  <c r="L1612" i="41"/>
  <c r="K1612" i="41"/>
  <c r="N1612" i="41" s="1"/>
  <c r="J1612" i="41"/>
  <c r="I1612" i="41"/>
  <c r="G1612" i="41"/>
  <c r="H1691" i="41" s="1"/>
  <c r="A1612" i="41"/>
  <c r="M1611" i="41"/>
  <c r="O1611" i="41" s="1"/>
  <c r="K1611" i="41"/>
  <c r="N1611" i="41" s="1"/>
  <c r="J1611" i="41"/>
  <c r="L1611" i="41" s="1"/>
  <c r="I1611" i="41"/>
  <c r="A1611" i="41"/>
  <c r="M1610" i="41"/>
  <c r="K1610" i="41"/>
  <c r="N1610" i="41" s="1"/>
  <c r="J1610" i="41"/>
  <c r="L1610" i="41" s="1"/>
  <c r="O1610" i="41" s="1"/>
  <c r="I1610" i="41"/>
  <c r="N1609" i="41"/>
  <c r="M1609" i="41"/>
  <c r="O1609" i="41" s="1"/>
  <c r="L1609" i="41"/>
  <c r="K1609" i="41"/>
  <c r="J1609" i="41"/>
  <c r="I1609" i="41"/>
  <c r="B1609" i="41"/>
  <c r="N1608" i="41"/>
  <c r="M1608" i="41"/>
  <c r="K1608" i="41"/>
  <c r="J1608" i="41"/>
  <c r="L1608" i="41" s="1"/>
  <c r="I1608" i="41"/>
  <c r="N1607" i="41"/>
  <c r="M1607" i="41"/>
  <c r="K1607" i="41"/>
  <c r="J1607" i="41"/>
  <c r="L1607" i="41" s="1"/>
  <c r="I1607" i="41"/>
  <c r="O1606" i="41"/>
  <c r="N1606" i="41"/>
  <c r="M1606" i="41"/>
  <c r="K1606" i="41"/>
  <c r="J1606" i="41"/>
  <c r="L1606" i="41" s="1"/>
  <c r="I1606" i="41"/>
  <c r="M1605" i="41"/>
  <c r="K1605" i="41"/>
  <c r="N1605" i="41" s="1"/>
  <c r="J1605" i="41"/>
  <c r="L1605" i="41" s="1"/>
  <c r="I1605" i="41"/>
  <c r="N1604" i="41"/>
  <c r="M1604" i="41"/>
  <c r="K1604" i="41"/>
  <c r="J1604" i="41"/>
  <c r="L1604" i="41" s="1"/>
  <c r="I1604" i="41"/>
  <c r="O1604" i="41" s="1"/>
  <c r="M1603" i="41"/>
  <c r="K1603" i="41"/>
  <c r="N1603" i="41" s="1"/>
  <c r="J1603" i="41"/>
  <c r="L1603" i="41" s="1"/>
  <c r="O1603" i="41" s="1"/>
  <c r="I1603" i="41"/>
  <c r="M1602" i="41"/>
  <c r="L1602" i="41"/>
  <c r="K1602" i="41"/>
  <c r="N1602" i="41" s="1"/>
  <c r="J1602" i="41"/>
  <c r="I1602" i="41"/>
  <c r="O1601" i="41"/>
  <c r="N1601" i="41"/>
  <c r="M1601" i="41"/>
  <c r="K1601" i="41"/>
  <c r="J1601" i="41"/>
  <c r="L1601" i="41" s="1"/>
  <c r="I1601" i="41"/>
  <c r="M1600" i="41"/>
  <c r="L1600" i="41"/>
  <c r="K1600" i="41"/>
  <c r="N1600" i="41" s="1"/>
  <c r="J1600" i="41"/>
  <c r="I1600" i="41"/>
  <c r="M1599" i="41"/>
  <c r="O1599" i="41" s="1"/>
  <c r="K1599" i="41"/>
  <c r="N1599" i="41" s="1"/>
  <c r="J1599" i="41"/>
  <c r="L1599" i="41" s="1"/>
  <c r="I1599" i="41"/>
  <c r="O1598" i="41"/>
  <c r="N1598" i="41"/>
  <c r="M1598" i="41"/>
  <c r="L1598" i="41"/>
  <c r="K1598" i="41"/>
  <c r="J1598" i="41"/>
  <c r="I1598" i="41"/>
  <c r="M1597" i="41"/>
  <c r="K1597" i="41"/>
  <c r="N1597" i="41" s="1"/>
  <c r="J1597" i="41"/>
  <c r="L1597" i="41" s="1"/>
  <c r="I1597" i="41"/>
  <c r="M1596" i="41"/>
  <c r="O1596" i="41" s="1"/>
  <c r="K1596" i="41"/>
  <c r="N1596" i="41" s="1"/>
  <c r="J1596" i="41"/>
  <c r="L1596" i="41" s="1"/>
  <c r="I1596" i="41"/>
  <c r="N1595" i="41"/>
  <c r="M1595" i="41"/>
  <c r="O1595" i="41" s="1"/>
  <c r="L1595" i="41"/>
  <c r="K1595" i="41"/>
  <c r="J1595" i="41"/>
  <c r="I1595" i="41"/>
  <c r="O1594" i="41"/>
  <c r="M1594" i="41"/>
  <c r="K1594" i="41"/>
  <c r="N1594" i="41" s="1"/>
  <c r="J1594" i="41"/>
  <c r="L1594" i="41" s="1"/>
  <c r="I1594" i="41"/>
  <c r="N1593" i="41"/>
  <c r="M1593" i="41"/>
  <c r="K1593" i="41"/>
  <c r="J1593" i="41"/>
  <c r="L1593" i="41" s="1"/>
  <c r="I1593" i="41"/>
  <c r="N1592" i="41"/>
  <c r="M1592" i="41"/>
  <c r="L1592" i="41"/>
  <c r="K1592" i="41"/>
  <c r="J1592" i="41"/>
  <c r="I1592" i="41"/>
  <c r="O1592" i="41" s="1"/>
  <c r="M1591" i="41"/>
  <c r="O1591" i="41" s="1"/>
  <c r="K1591" i="41"/>
  <c r="N1591" i="41" s="1"/>
  <c r="J1591" i="41"/>
  <c r="L1591" i="41" s="1"/>
  <c r="I1591" i="41"/>
  <c r="M1590" i="41"/>
  <c r="K1590" i="41"/>
  <c r="N1590" i="41" s="1"/>
  <c r="J1590" i="41"/>
  <c r="L1590" i="41" s="1"/>
  <c r="I1590" i="41"/>
  <c r="N1589" i="41"/>
  <c r="M1589" i="41"/>
  <c r="K1589" i="41"/>
  <c r="J1589" i="41"/>
  <c r="L1589" i="41" s="1"/>
  <c r="I1589" i="41"/>
  <c r="O1589" i="41" s="1"/>
  <c r="M1588" i="41"/>
  <c r="K1588" i="41"/>
  <c r="N1588" i="41" s="1"/>
  <c r="J1588" i="41"/>
  <c r="L1588" i="41" s="1"/>
  <c r="I1588" i="41"/>
  <c r="O1587" i="41"/>
  <c r="M1587" i="41"/>
  <c r="K1587" i="41"/>
  <c r="N1587" i="41" s="1"/>
  <c r="J1587" i="41"/>
  <c r="L1587" i="41" s="1"/>
  <c r="I1587" i="41"/>
  <c r="N1586" i="41"/>
  <c r="M1586" i="41"/>
  <c r="K1586" i="41"/>
  <c r="J1586" i="41"/>
  <c r="L1586" i="41" s="1"/>
  <c r="O1586" i="41" s="1"/>
  <c r="I1586" i="41"/>
  <c r="O1585" i="41"/>
  <c r="M1585" i="41"/>
  <c r="K1585" i="41"/>
  <c r="N1585" i="41" s="1"/>
  <c r="J1585" i="41"/>
  <c r="L1585" i="41" s="1"/>
  <c r="I1585" i="41"/>
  <c r="M1584" i="41"/>
  <c r="O1584" i="41" s="1"/>
  <c r="K1584" i="41"/>
  <c r="N1584" i="41" s="1"/>
  <c r="J1584" i="41"/>
  <c r="L1584" i="41" s="1"/>
  <c r="I1584" i="41"/>
  <c r="O1583" i="41"/>
  <c r="M1583" i="41"/>
  <c r="K1583" i="41"/>
  <c r="N1583" i="41" s="1"/>
  <c r="J1583" i="41"/>
  <c r="L1583" i="41" s="1"/>
  <c r="I1583" i="41"/>
  <c r="G1583" i="41"/>
  <c r="H1609" i="41" s="1"/>
  <c r="A1583" i="41"/>
  <c r="N1582" i="41"/>
  <c r="M1582" i="41"/>
  <c r="K1582" i="41"/>
  <c r="J1582" i="41"/>
  <c r="L1582" i="41" s="1"/>
  <c r="I1582" i="41"/>
  <c r="M1581" i="41"/>
  <c r="L1581" i="41"/>
  <c r="O1581" i="41" s="1"/>
  <c r="K1581" i="41"/>
  <c r="N1581" i="41" s="1"/>
  <c r="J1581" i="41"/>
  <c r="I1581" i="41"/>
  <c r="M1580" i="41"/>
  <c r="O1580" i="41" s="1"/>
  <c r="K1580" i="41"/>
  <c r="N1580" i="41" s="1"/>
  <c r="J1580" i="41"/>
  <c r="L1580" i="41" s="1"/>
  <c r="I1580" i="41"/>
  <c r="M1579" i="41"/>
  <c r="K1579" i="41"/>
  <c r="N1579" i="41" s="1"/>
  <c r="J1579" i="41"/>
  <c r="L1579" i="41" s="1"/>
  <c r="I1579" i="41"/>
  <c r="N1578" i="41"/>
  <c r="M1578" i="41"/>
  <c r="O1578" i="41" s="1"/>
  <c r="L1578" i="41"/>
  <c r="K1578" i="41"/>
  <c r="J1578" i="41"/>
  <c r="I1578" i="41"/>
  <c r="M1577" i="41"/>
  <c r="O1577" i="41" s="1"/>
  <c r="L1577" i="41"/>
  <c r="K1577" i="41"/>
  <c r="N1577" i="41" s="1"/>
  <c r="J1577" i="41"/>
  <c r="I1577" i="41"/>
  <c r="N1576" i="41"/>
  <c r="M1576" i="41"/>
  <c r="L1576" i="41"/>
  <c r="O1576" i="41" s="1"/>
  <c r="K1576" i="41"/>
  <c r="J1576" i="41"/>
  <c r="I1576" i="41"/>
  <c r="N1575" i="41"/>
  <c r="M1575" i="41"/>
  <c r="O1575" i="41" s="1"/>
  <c r="K1575" i="41"/>
  <c r="J1575" i="41"/>
  <c r="L1575" i="41" s="1"/>
  <c r="I1575" i="41"/>
  <c r="N1574" i="41"/>
  <c r="M1574" i="41"/>
  <c r="K1574" i="41"/>
  <c r="J1574" i="41"/>
  <c r="L1574" i="41" s="1"/>
  <c r="I1574" i="41"/>
  <c r="M1573" i="41"/>
  <c r="K1573" i="41"/>
  <c r="N1573" i="41" s="1"/>
  <c r="J1573" i="41"/>
  <c r="L1573" i="41" s="1"/>
  <c r="I1573" i="41"/>
  <c r="M1572" i="41"/>
  <c r="K1572" i="41"/>
  <c r="N1572" i="41" s="1"/>
  <c r="J1572" i="41"/>
  <c r="L1572" i="41" s="1"/>
  <c r="O1572" i="41" s="1"/>
  <c r="I1572" i="41"/>
  <c r="M1571" i="41"/>
  <c r="K1571" i="41"/>
  <c r="N1571" i="41" s="1"/>
  <c r="J1571" i="41"/>
  <c r="L1571" i="41" s="1"/>
  <c r="I1571" i="41"/>
  <c r="N1570" i="41"/>
  <c r="M1570" i="41"/>
  <c r="K1570" i="41"/>
  <c r="J1570" i="41"/>
  <c r="L1570" i="41" s="1"/>
  <c r="O1570" i="41" s="1"/>
  <c r="I1570" i="41"/>
  <c r="M1569" i="41"/>
  <c r="K1569" i="41"/>
  <c r="N1569" i="41" s="1"/>
  <c r="J1569" i="41"/>
  <c r="L1569" i="41" s="1"/>
  <c r="O1569" i="41" s="1"/>
  <c r="I1569" i="41"/>
  <c r="M1568" i="41"/>
  <c r="L1568" i="41"/>
  <c r="K1568" i="41"/>
  <c r="N1568" i="41" s="1"/>
  <c r="J1568" i="41"/>
  <c r="I1568" i="41"/>
  <c r="N1567" i="41"/>
  <c r="M1567" i="41"/>
  <c r="L1567" i="41"/>
  <c r="K1567" i="41"/>
  <c r="J1567" i="41"/>
  <c r="I1567" i="41"/>
  <c r="O1567" i="41" s="1"/>
  <c r="M1566" i="41"/>
  <c r="K1566" i="41"/>
  <c r="N1566" i="41" s="1"/>
  <c r="J1566" i="41"/>
  <c r="L1566" i="41" s="1"/>
  <c r="I1566" i="41"/>
  <c r="M1565" i="41"/>
  <c r="K1565" i="41"/>
  <c r="N1565" i="41" s="1"/>
  <c r="J1565" i="41"/>
  <c r="L1565" i="41" s="1"/>
  <c r="I1565" i="41"/>
  <c r="M1564" i="41"/>
  <c r="K1564" i="41"/>
  <c r="N1564" i="41" s="1"/>
  <c r="J1564" i="41"/>
  <c r="L1564" i="41" s="1"/>
  <c r="I1564" i="41"/>
  <c r="M1563" i="41"/>
  <c r="K1563" i="41"/>
  <c r="N1563" i="41" s="1"/>
  <c r="J1563" i="41"/>
  <c r="L1563" i="41" s="1"/>
  <c r="I1563" i="41"/>
  <c r="M1562" i="41"/>
  <c r="K1562" i="41"/>
  <c r="N1562" i="41" s="1"/>
  <c r="J1562" i="41"/>
  <c r="L1562" i="41" s="1"/>
  <c r="I1562" i="41"/>
  <c r="M1561" i="41"/>
  <c r="O1561" i="41" s="1"/>
  <c r="L1561" i="41"/>
  <c r="K1561" i="41"/>
  <c r="N1561" i="41" s="1"/>
  <c r="J1561" i="41"/>
  <c r="I1561" i="41"/>
  <c r="N1560" i="41"/>
  <c r="M1560" i="41"/>
  <c r="L1560" i="41"/>
  <c r="K1560" i="41"/>
  <c r="J1560" i="41"/>
  <c r="I1560" i="41"/>
  <c r="N1559" i="41"/>
  <c r="M1559" i="41"/>
  <c r="L1559" i="41"/>
  <c r="K1559" i="41"/>
  <c r="J1559" i="41"/>
  <c r="I1559" i="41"/>
  <c r="N1558" i="41"/>
  <c r="M1558" i="41"/>
  <c r="L1558" i="41"/>
  <c r="K1558" i="41"/>
  <c r="J1558" i="41"/>
  <c r="I1558" i="41"/>
  <c r="G1558" i="41"/>
  <c r="A1558" i="41"/>
  <c r="O1557" i="41"/>
  <c r="N1557" i="41"/>
  <c r="M1557" i="41"/>
  <c r="K1557" i="41"/>
  <c r="J1557" i="41"/>
  <c r="L1557" i="41" s="1"/>
  <c r="I1557" i="41"/>
  <c r="M1556" i="41"/>
  <c r="O1556" i="41" s="1"/>
  <c r="L1556" i="41"/>
  <c r="K1556" i="41"/>
  <c r="N1556" i="41" s="1"/>
  <c r="J1556" i="41"/>
  <c r="I1556" i="41"/>
  <c r="M1555" i="41"/>
  <c r="K1555" i="41"/>
  <c r="N1555" i="41" s="1"/>
  <c r="J1555" i="41"/>
  <c r="L1555" i="41" s="1"/>
  <c r="O1555" i="41" s="1"/>
  <c r="I1555" i="41"/>
  <c r="N1554" i="41"/>
  <c r="M1554" i="41"/>
  <c r="O1554" i="41" s="1"/>
  <c r="K1554" i="41"/>
  <c r="J1554" i="41"/>
  <c r="L1554" i="41" s="1"/>
  <c r="I1554" i="41"/>
  <c r="G1554" i="41"/>
  <c r="A1554" i="41"/>
  <c r="N1553" i="41"/>
  <c r="M1553" i="41"/>
  <c r="L1553" i="41"/>
  <c r="K1553" i="41"/>
  <c r="J1553" i="41"/>
  <c r="I1553" i="41"/>
  <c r="A1553" i="41"/>
  <c r="N1551" i="41"/>
  <c r="M1551" i="41"/>
  <c r="O1551" i="41" s="1"/>
  <c r="K1551" i="41"/>
  <c r="J1551" i="41"/>
  <c r="L1551" i="41" s="1"/>
  <c r="I1551" i="41"/>
  <c r="B1551" i="41"/>
  <c r="M1550" i="41"/>
  <c r="K1550" i="41"/>
  <c r="N1550" i="41" s="1"/>
  <c r="J1550" i="41"/>
  <c r="L1550" i="41" s="1"/>
  <c r="I1550" i="41"/>
  <c r="M1549" i="41"/>
  <c r="K1549" i="41"/>
  <c r="N1549" i="41" s="1"/>
  <c r="J1549" i="41"/>
  <c r="L1549" i="41" s="1"/>
  <c r="O1549" i="41" s="1"/>
  <c r="I1549" i="41"/>
  <c r="N1548" i="41"/>
  <c r="M1548" i="41"/>
  <c r="L1548" i="41"/>
  <c r="O1548" i="41" s="1"/>
  <c r="K1548" i="41"/>
  <c r="J1548" i="41"/>
  <c r="I1548" i="41"/>
  <c r="N1547" i="41"/>
  <c r="M1547" i="41"/>
  <c r="L1547" i="41"/>
  <c r="K1547" i="41"/>
  <c r="J1547" i="41"/>
  <c r="I1547" i="41"/>
  <c r="M1546" i="41"/>
  <c r="K1546" i="41"/>
  <c r="N1546" i="41" s="1"/>
  <c r="J1546" i="41"/>
  <c r="L1546" i="41" s="1"/>
  <c r="I1546" i="41"/>
  <c r="M1545" i="41"/>
  <c r="L1545" i="41"/>
  <c r="O1545" i="41" s="1"/>
  <c r="K1545" i="41"/>
  <c r="N1545" i="41" s="1"/>
  <c r="J1545" i="41"/>
  <c r="I1545" i="41"/>
  <c r="O1544" i="41"/>
  <c r="M1544" i="41"/>
  <c r="K1544" i="41"/>
  <c r="N1544" i="41" s="1"/>
  <c r="J1544" i="41"/>
  <c r="L1544" i="41" s="1"/>
  <c r="I1544" i="41"/>
  <c r="N1543" i="41"/>
  <c r="M1543" i="41"/>
  <c r="K1543" i="41"/>
  <c r="J1543" i="41"/>
  <c r="L1543" i="41" s="1"/>
  <c r="I1543" i="41"/>
  <c r="N1542" i="41"/>
  <c r="M1542" i="41"/>
  <c r="O1542" i="41" s="1"/>
  <c r="L1542" i="41"/>
  <c r="K1542" i="41"/>
  <c r="J1542" i="41"/>
  <c r="I1542" i="41"/>
  <c r="M1541" i="41"/>
  <c r="O1541" i="41" s="1"/>
  <c r="L1541" i="41"/>
  <c r="K1541" i="41"/>
  <c r="N1541" i="41" s="1"/>
  <c r="J1541" i="41"/>
  <c r="I1541" i="41"/>
  <c r="O1540" i="41"/>
  <c r="M1540" i="41"/>
  <c r="K1540" i="41"/>
  <c r="N1540" i="41" s="1"/>
  <c r="J1540" i="41"/>
  <c r="L1540" i="41" s="1"/>
  <c r="I1540" i="41"/>
  <c r="N1539" i="41"/>
  <c r="M1539" i="41"/>
  <c r="L1539" i="41"/>
  <c r="K1539" i="41"/>
  <c r="J1539" i="41"/>
  <c r="I1539" i="41"/>
  <c r="N1538" i="41"/>
  <c r="M1538" i="41"/>
  <c r="L1538" i="41"/>
  <c r="K1538" i="41"/>
  <c r="J1538" i="41"/>
  <c r="I1538" i="41"/>
  <c r="O1538" i="41" s="1"/>
  <c r="N1537" i="41"/>
  <c r="M1537" i="41"/>
  <c r="K1537" i="41"/>
  <c r="J1537" i="41"/>
  <c r="L1537" i="41" s="1"/>
  <c r="I1537" i="41"/>
  <c r="N1536" i="41"/>
  <c r="M1536" i="41"/>
  <c r="K1536" i="41"/>
  <c r="J1536" i="41"/>
  <c r="L1536" i="41" s="1"/>
  <c r="I1536" i="41"/>
  <c r="O1536" i="41" s="1"/>
  <c r="O1535" i="41"/>
  <c r="N1535" i="41"/>
  <c r="M1535" i="41"/>
  <c r="K1535" i="41"/>
  <c r="J1535" i="41"/>
  <c r="L1535" i="41" s="1"/>
  <c r="I1535" i="41"/>
  <c r="N1534" i="41"/>
  <c r="M1534" i="41"/>
  <c r="L1534" i="41"/>
  <c r="K1534" i="41"/>
  <c r="J1534" i="41"/>
  <c r="I1534" i="41"/>
  <c r="O1533" i="41"/>
  <c r="N1533" i="41"/>
  <c r="M1533" i="41"/>
  <c r="K1533" i="41"/>
  <c r="J1533" i="41"/>
  <c r="L1533" i="41" s="1"/>
  <c r="I1533" i="41"/>
  <c r="M1532" i="41"/>
  <c r="K1532" i="41"/>
  <c r="N1532" i="41" s="1"/>
  <c r="J1532" i="41"/>
  <c r="L1532" i="41" s="1"/>
  <c r="I1532" i="41"/>
  <c r="O1532" i="41" s="1"/>
  <c r="M1531" i="41"/>
  <c r="K1531" i="41"/>
  <c r="N1531" i="41" s="1"/>
  <c r="J1531" i="41"/>
  <c r="L1531" i="41" s="1"/>
  <c r="I1531" i="41"/>
  <c r="N1530" i="41"/>
  <c r="M1530" i="41"/>
  <c r="K1530" i="41"/>
  <c r="J1530" i="41"/>
  <c r="L1530" i="41" s="1"/>
  <c r="I1530" i="41"/>
  <c r="O1529" i="41"/>
  <c r="M1529" i="41"/>
  <c r="K1529" i="41"/>
  <c r="N1529" i="41" s="1"/>
  <c r="J1529" i="41"/>
  <c r="L1529" i="41" s="1"/>
  <c r="I1529" i="41"/>
  <c r="M1528" i="41"/>
  <c r="K1528" i="41"/>
  <c r="N1528" i="41" s="1"/>
  <c r="J1528" i="41"/>
  <c r="L1528" i="41" s="1"/>
  <c r="I1528" i="41"/>
  <c r="O1527" i="41"/>
  <c r="N1527" i="41"/>
  <c r="M1527" i="41"/>
  <c r="K1527" i="41"/>
  <c r="J1527" i="41"/>
  <c r="L1527" i="41" s="1"/>
  <c r="I1527" i="41"/>
  <c r="M1526" i="41"/>
  <c r="L1526" i="41"/>
  <c r="K1526" i="41"/>
  <c r="N1526" i="41" s="1"/>
  <c r="J1526" i="41"/>
  <c r="I1526" i="41"/>
  <c r="G1526" i="41"/>
  <c r="N1525" i="41"/>
  <c r="M1525" i="41"/>
  <c r="K1525" i="41"/>
  <c r="J1525" i="41"/>
  <c r="L1525" i="41" s="1"/>
  <c r="O1525" i="41" s="1"/>
  <c r="I1525" i="41"/>
  <c r="O1524" i="41"/>
  <c r="N1524" i="41"/>
  <c r="M1524" i="41"/>
  <c r="L1524" i="41"/>
  <c r="K1524" i="41"/>
  <c r="J1524" i="41"/>
  <c r="I1524" i="41"/>
  <c r="M1523" i="41"/>
  <c r="L1523" i="41"/>
  <c r="K1523" i="41"/>
  <c r="N1523" i="41" s="1"/>
  <c r="J1523" i="41"/>
  <c r="I1523" i="41"/>
  <c r="M1522" i="41"/>
  <c r="K1522" i="41"/>
  <c r="N1522" i="41" s="1"/>
  <c r="J1522" i="41"/>
  <c r="L1522" i="41" s="1"/>
  <c r="I1522" i="41"/>
  <c r="N1521" i="41"/>
  <c r="M1521" i="41"/>
  <c r="K1521" i="41"/>
  <c r="J1521" i="41"/>
  <c r="L1521" i="41" s="1"/>
  <c r="O1521" i="41" s="1"/>
  <c r="I1521" i="41"/>
  <c r="M1520" i="41"/>
  <c r="O1520" i="41" s="1"/>
  <c r="L1520" i="41"/>
  <c r="K1520" i="41"/>
  <c r="N1520" i="41" s="1"/>
  <c r="J1520" i="41"/>
  <c r="I1520" i="41"/>
  <c r="M1519" i="41"/>
  <c r="K1519" i="41"/>
  <c r="N1519" i="41" s="1"/>
  <c r="J1519" i="41"/>
  <c r="L1519" i="41" s="1"/>
  <c r="I1519" i="41"/>
  <c r="M1518" i="41"/>
  <c r="K1518" i="41"/>
  <c r="N1518" i="41" s="1"/>
  <c r="J1518" i="41"/>
  <c r="L1518" i="41" s="1"/>
  <c r="I1518" i="41"/>
  <c r="O1518" i="41" s="1"/>
  <c r="N1517" i="41"/>
  <c r="M1517" i="41"/>
  <c r="O1517" i="41" s="1"/>
  <c r="L1517" i="41"/>
  <c r="K1517" i="41"/>
  <c r="J1517" i="41"/>
  <c r="I1517" i="41"/>
  <c r="N1516" i="41"/>
  <c r="M1516" i="41"/>
  <c r="L1516" i="41"/>
  <c r="K1516" i="41"/>
  <c r="J1516" i="41"/>
  <c r="I1516" i="41"/>
  <c r="O1515" i="41"/>
  <c r="M1515" i="41"/>
  <c r="K1515" i="41"/>
  <c r="N1515" i="41" s="1"/>
  <c r="J1515" i="41"/>
  <c r="L1515" i="41" s="1"/>
  <c r="I1515" i="41"/>
  <c r="N1514" i="41"/>
  <c r="M1514" i="41"/>
  <c r="L1514" i="41"/>
  <c r="K1514" i="41"/>
  <c r="J1514" i="41"/>
  <c r="I1514" i="41"/>
  <c r="M1513" i="41"/>
  <c r="O1513" i="41" s="1"/>
  <c r="K1513" i="41"/>
  <c r="N1513" i="41" s="1"/>
  <c r="J1513" i="41"/>
  <c r="L1513" i="41" s="1"/>
  <c r="I1513" i="41"/>
  <c r="M1512" i="41"/>
  <c r="K1512" i="41"/>
  <c r="N1512" i="41" s="1"/>
  <c r="J1512" i="41"/>
  <c r="L1512" i="41" s="1"/>
  <c r="I1512" i="41"/>
  <c r="M1511" i="41"/>
  <c r="L1511" i="41"/>
  <c r="O1511" i="41" s="1"/>
  <c r="K1511" i="41"/>
  <c r="N1511" i="41" s="1"/>
  <c r="J1511" i="41"/>
  <c r="I1511" i="41"/>
  <c r="O1510" i="41"/>
  <c r="M1510" i="41"/>
  <c r="L1510" i="41"/>
  <c r="K1510" i="41"/>
  <c r="N1510" i="41" s="1"/>
  <c r="J1510" i="41"/>
  <c r="I1510" i="41"/>
  <c r="N1509" i="41"/>
  <c r="M1509" i="41"/>
  <c r="O1509" i="41" s="1"/>
  <c r="K1509" i="41"/>
  <c r="J1509" i="41"/>
  <c r="L1509" i="41" s="1"/>
  <c r="I1509" i="41"/>
  <c r="N1508" i="41"/>
  <c r="M1508" i="41"/>
  <c r="K1508" i="41"/>
  <c r="J1508" i="41"/>
  <c r="L1508" i="41" s="1"/>
  <c r="O1508" i="41" s="1"/>
  <c r="I1508" i="41"/>
  <c r="O1507" i="41"/>
  <c r="N1507" i="41"/>
  <c r="M1507" i="41"/>
  <c r="L1507" i="41"/>
  <c r="K1507" i="41"/>
  <c r="J1507" i="41"/>
  <c r="I1507" i="41"/>
  <c r="O1506" i="41"/>
  <c r="M1506" i="41"/>
  <c r="K1506" i="41"/>
  <c r="N1506" i="41" s="1"/>
  <c r="J1506" i="41"/>
  <c r="L1506" i="41" s="1"/>
  <c r="I1506" i="41"/>
  <c r="O1505" i="41"/>
  <c r="N1505" i="41"/>
  <c r="M1505" i="41"/>
  <c r="L1505" i="41"/>
  <c r="K1505" i="41"/>
  <c r="J1505" i="41"/>
  <c r="I1505" i="41"/>
  <c r="O1504" i="41"/>
  <c r="N1504" i="41"/>
  <c r="M1504" i="41"/>
  <c r="L1504" i="41"/>
  <c r="K1504" i="41"/>
  <c r="J1504" i="41"/>
  <c r="I1504" i="41"/>
  <c r="M1503" i="41"/>
  <c r="L1503" i="41"/>
  <c r="O1503" i="41" s="1"/>
  <c r="K1503" i="41"/>
  <c r="N1503" i="41" s="1"/>
  <c r="J1503" i="41"/>
  <c r="I1503" i="41"/>
  <c r="O1502" i="41"/>
  <c r="N1502" i="41"/>
  <c r="M1502" i="41"/>
  <c r="K1502" i="41"/>
  <c r="J1502" i="41"/>
  <c r="L1502" i="41" s="1"/>
  <c r="I1502" i="41"/>
  <c r="O1501" i="41"/>
  <c r="N1501" i="41"/>
  <c r="M1501" i="41"/>
  <c r="K1501" i="41"/>
  <c r="J1501" i="41"/>
  <c r="L1501" i="41" s="1"/>
  <c r="I1501" i="41"/>
  <c r="G1501" i="41"/>
  <c r="M1500" i="41"/>
  <c r="L1500" i="41"/>
  <c r="K1500" i="41"/>
  <c r="N1500" i="41" s="1"/>
  <c r="J1500" i="41"/>
  <c r="I1500" i="41"/>
  <c r="O1499" i="41"/>
  <c r="N1499" i="41"/>
  <c r="M1499" i="41"/>
  <c r="K1499" i="41"/>
  <c r="J1499" i="41"/>
  <c r="L1499" i="41" s="1"/>
  <c r="I1499" i="41"/>
  <c r="M1498" i="41"/>
  <c r="O1498" i="41" s="1"/>
  <c r="L1498" i="41"/>
  <c r="K1498" i="41"/>
  <c r="N1498" i="41" s="1"/>
  <c r="J1498" i="41"/>
  <c r="I1498" i="41"/>
  <c r="M1496" i="41"/>
  <c r="K1496" i="41"/>
  <c r="N1496" i="41" s="1"/>
  <c r="J1496" i="41"/>
  <c r="L1496" i="41" s="1"/>
  <c r="I1496" i="41"/>
  <c r="N1495" i="41"/>
  <c r="M1495" i="41"/>
  <c r="K1495" i="41"/>
  <c r="J1495" i="41"/>
  <c r="L1495" i="41" s="1"/>
  <c r="I1495" i="41"/>
  <c r="N1494" i="41"/>
  <c r="M1494" i="41"/>
  <c r="K1494" i="41"/>
  <c r="J1494" i="41"/>
  <c r="L1494" i="41" s="1"/>
  <c r="I1494" i="41"/>
  <c r="A1494" i="41"/>
  <c r="N1493" i="41"/>
  <c r="M1493" i="41"/>
  <c r="K1493" i="41"/>
  <c r="J1493" i="41"/>
  <c r="L1493" i="41" s="1"/>
  <c r="I1493" i="41"/>
  <c r="I1492" i="41"/>
  <c r="N1491" i="41"/>
  <c r="M1491" i="41"/>
  <c r="K1491" i="41"/>
  <c r="J1491" i="41"/>
  <c r="L1491" i="41" s="1"/>
  <c r="O1491" i="41" s="1"/>
  <c r="I1491" i="41"/>
  <c r="O1484" i="41"/>
  <c r="N1484" i="41"/>
  <c r="M1484" i="41"/>
  <c r="L1484" i="41"/>
  <c r="K1484" i="41"/>
  <c r="J1484" i="41"/>
  <c r="I1484" i="41"/>
  <c r="H1484" i="41"/>
  <c r="B1484" i="41"/>
  <c r="M1483" i="41"/>
  <c r="O1483" i="41" s="1"/>
  <c r="L1483" i="41"/>
  <c r="K1483" i="41"/>
  <c r="N1483" i="41" s="1"/>
  <c r="J1483" i="41"/>
  <c r="I1483" i="41"/>
  <c r="N1482" i="41"/>
  <c r="M1482" i="41"/>
  <c r="K1482" i="41"/>
  <c r="J1482" i="41"/>
  <c r="L1482" i="41" s="1"/>
  <c r="I1482" i="41"/>
  <c r="O1481" i="41"/>
  <c r="N1481" i="41"/>
  <c r="M1481" i="41"/>
  <c r="K1481" i="41"/>
  <c r="J1481" i="41"/>
  <c r="L1481" i="41" s="1"/>
  <c r="I1481" i="41"/>
  <c r="O1480" i="41"/>
  <c r="N1480" i="41"/>
  <c r="M1480" i="41"/>
  <c r="L1480" i="41"/>
  <c r="K1480" i="41"/>
  <c r="J1480" i="41"/>
  <c r="I1480" i="41"/>
  <c r="N1479" i="41"/>
  <c r="M1479" i="41"/>
  <c r="O1479" i="41" s="1"/>
  <c r="K1479" i="41"/>
  <c r="J1479" i="41"/>
  <c r="L1479" i="41" s="1"/>
  <c r="I1479" i="41"/>
  <c r="M1478" i="41"/>
  <c r="L1478" i="41"/>
  <c r="O1478" i="41" s="1"/>
  <c r="K1478" i="41"/>
  <c r="N1478" i="41" s="1"/>
  <c r="J1478" i="41"/>
  <c r="I1478" i="41"/>
  <c r="N1477" i="41"/>
  <c r="M1477" i="41"/>
  <c r="L1477" i="41"/>
  <c r="K1477" i="41"/>
  <c r="J1477" i="41"/>
  <c r="I1477" i="41"/>
  <c r="O1477" i="41" s="1"/>
  <c r="N1476" i="41"/>
  <c r="M1476" i="41"/>
  <c r="K1476" i="41"/>
  <c r="J1476" i="41"/>
  <c r="L1476" i="41" s="1"/>
  <c r="I1476" i="41"/>
  <c r="G1476" i="41"/>
  <c r="A1476" i="41"/>
  <c r="O1475" i="41"/>
  <c r="N1475" i="41"/>
  <c r="M1475" i="41"/>
  <c r="L1475" i="41"/>
  <c r="K1475" i="41"/>
  <c r="J1475" i="41"/>
  <c r="I1475" i="41"/>
  <c r="M1474" i="41"/>
  <c r="K1474" i="41"/>
  <c r="N1474" i="41" s="1"/>
  <c r="J1474" i="41"/>
  <c r="L1474" i="41" s="1"/>
  <c r="O1474" i="41" s="1"/>
  <c r="I1474" i="41"/>
  <c r="M1472" i="41"/>
  <c r="L1472" i="41"/>
  <c r="O1472" i="41" s="1"/>
  <c r="K1472" i="41"/>
  <c r="N1472" i="41" s="1"/>
  <c r="J1472" i="41"/>
  <c r="I1472" i="41"/>
  <c r="M1471" i="41"/>
  <c r="O1471" i="41" s="1"/>
  <c r="L1471" i="41"/>
  <c r="K1471" i="41"/>
  <c r="N1471" i="41" s="1"/>
  <c r="J1471" i="41"/>
  <c r="I1471" i="41"/>
  <c r="M1470" i="41"/>
  <c r="K1470" i="41"/>
  <c r="N1470" i="41" s="1"/>
  <c r="J1470" i="41"/>
  <c r="L1470" i="41" s="1"/>
  <c r="I1470" i="41"/>
  <c r="N1469" i="41"/>
  <c r="M1469" i="41"/>
  <c r="O1469" i="41" s="1"/>
  <c r="K1469" i="41"/>
  <c r="J1469" i="41"/>
  <c r="L1469" i="41" s="1"/>
  <c r="I1469" i="41"/>
  <c r="M1466" i="41"/>
  <c r="K1466" i="41"/>
  <c r="N1466" i="41" s="1"/>
  <c r="J1466" i="41"/>
  <c r="L1466" i="41" s="1"/>
  <c r="I1466" i="41"/>
  <c r="N1465" i="41"/>
  <c r="M1465" i="41"/>
  <c r="K1465" i="41"/>
  <c r="J1465" i="41"/>
  <c r="L1465" i="41" s="1"/>
  <c r="I1465" i="41"/>
  <c r="N1464" i="41"/>
  <c r="M1464" i="41"/>
  <c r="O1464" i="41" s="1"/>
  <c r="L1464" i="41"/>
  <c r="K1464" i="41"/>
  <c r="J1464" i="41"/>
  <c r="I1464" i="41"/>
  <c r="N1463" i="41"/>
  <c r="M1463" i="41"/>
  <c r="L1463" i="41"/>
  <c r="K1463" i="41"/>
  <c r="J1463" i="41"/>
  <c r="I1463" i="41"/>
  <c r="O1462" i="41"/>
  <c r="N1462" i="41"/>
  <c r="M1462" i="41"/>
  <c r="K1462" i="41"/>
  <c r="J1462" i="41"/>
  <c r="L1462" i="41" s="1"/>
  <c r="I1462" i="41"/>
  <c r="M1461" i="41"/>
  <c r="L1461" i="41"/>
  <c r="K1461" i="41"/>
  <c r="N1461" i="41" s="1"/>
  <c r="J1461" i="41"/>
  <c r="I1461" i="41"/>
  <c r="N1460" i="41"/>
  <c r="M1460" i="41"/>
  <c r="L1460" i="41"/>
  <c r="K1460" i="41"/>
  <c r="J1460" i="41"/>
  <c r="I1460" i="41"/>
  <c r="M1459" i="41"/>
  <c r="O1459" i="41" s="1"/>
  <c r="K1459" i="41"/>
  <c r="N1459" i="41" s="1"/>
  <c r="J1459" i="41"/>
  <c r="L1459" i="41" s="1"/>
  <c r="I1459" i="41"/>
  <c r="N1458" i="41"/>
  <c r="M1458" i="41"/>
  <c r="L1458" i="41"/>
  <c r="K1458" i="41"/>
  <c r="J1458" i="41"/>
  <c r="I1458" i="41"/>
  <c r="N1457" i="41"/>
  <c r="M1457" i="41"/>
  <c r="O1457" i="41" s="1"/>
  <c r="K1457" i="41"/>
  <c r="J1457" i="41"/>
  <c r="L1457" i="41" s="1"/>
  <c r="I1457" i="41"/>
  <c r="M1456" i="41"/>
  <c r="O1456" i="41" s="1"/>
  <c r="L1456" i="41"/>
  <c r="K1456" i="41"/>
  <c r="N1456" i="41" s="1"/>
  <c r="J1456" i="41"/>
  <c r="I1456" i="41"/>
  <c r="N1455" i="41"/>
  <c r="M1455" i="41"/>
  <c r="L1455" i="41"/>
  <c r="K1455" i="41"/>
  <c r="J1455" i="41"/>
  <c r="I1455" i="41"/>
  <c r="M1454" i="41"/>
  <c r="K1454" i="41"/>
  <c r="N1454" i="41" s="1"/>
  <c r="J1454" i="41"/>
  <c r="L1454" i="41" s="1"/>
  <c r="O1454" i="41" s="1"/>
  <c r="I1454" i="41"/>
  <c r="O1453" i="41"/>
  <c r="M1453" i="41"/>
  <c r="L1453" i="41"/>
  <c r="K1453" i="41"/>
  <c r="N1453" i="41" s="1"/>
  <c r="J1453" i="41"/>
  <c r="I1453" i="41"/>
  <c r="N1452" i="41"/>
  <c r="M1452" i="41"/>
  <c r="L1452" i="41"/>
  <c r="K1452" i="41"/>
  <c r="J1452" i="41"/>
  <c r="I1452" i="41"/>
  <c r="M1451" i="41"/>
  <c r="K1451" i="41"/>
  <c r="N1451" i="41" s="1"/>
  <c r="J1451" i="41"/>
  <c r="L1451" i="41" s="1"/>
  <c r="O1451" i="41" s="1"/>
  <c r="I1451" i="41"/>
  <c r="M1450" i="41"/>
  <c r="O1450" i="41" s="1"/>
  <c r="K1450" i="41"/>
  <c r="N1450" i="41" s="1"/>
  <c r="J1450" i="41"/>
  <c r="L1450" i="41" s="1"/>
  <c r="I1450" i="41"/>
  <c r="N1449" i="41"/>
  <c r="M1449" i="41"/>
  <c r="L1449" i="41"/>
  <c r="K1449" i="41"/>
  <c r="J1449" i="41"/>
  <c r="I1449" i="41"/>
  <c r="M1448" i="41"/>
  <c r="K1448" i="41"/>
  <c r="N1448" i="41" s="1"/>
  <c r="J1448" i="41"/>
  <c r="L1448" i="41" s="1"/>
  <c r="I1448" i="41"/>
  <c r="N1447" i="41"/>
  <c r="M1447" i="41"/>
  <c r="L1447" i="41"/>
  <c r="O1447" i="41" s="1"/>
  <c r="K1447" i="41"/>
  <c r="J1447" i="41"/>
  <c r="I1447" i="41"/>
  <c r="O1446" i="41"/>
  <c r="M1446" i="41"/>
  <c r="L1446" i="41"/>
  <c r="K1446" i="41"/>
  <c r="N1446" i="41" s="1"/>
  <c r="J1446" i="41"/>
  <c r="I1446" i="41"/>
  <c r="N1445" i="41"/>
  <c r="M1445" i="41"/>
  <c r="L1445" i="41"/>
  <c r="K1445" i="41"/>
  <c r="J1445" i="41"/>
  <c r="I1445" i="41"/>
  <c r="N1444" i="41"/>
  <c r="M1444" i="41"/>
  <c r="K1444" i="41"/>
  <c r="J1444" i="41"/>
  <c r="L1444" i="41" s="1"/>
  <c r="O1444" i="41" s="1"/>
  <c r="I1444" i="41"/>
  <c r="M1443" i="41"/>
  <c r="O1443" i="41" s="1"/>
  <c r="L1443" i="41"/>
  <c r="K1443" i="41"/>
  <c r="N1443" i="41" s="1"/>
  <c r="J1443" i="41"/>
  <c r="I1443" i="41"/>
  <c r="N1442" i="41"/>
  <c r="M1442" i="41"/>
  <c r="O1442" i="41" s="1"/>
  <c r="K1442" i="41"/>
  <c r="J1442" i="41"/>
  <c r="L1442" i="41" s="1"/>
  <c r="I1442" i="41"/>
  <c r="M1441" i="41"/>
  <c r="K1441" i="41"/>
  <c r="N1441" i="41" s="1"/>
  <c r="J1441" i="41"/>
  <c r="L1441" i="41" s="1"/>
  <c r="I1441" i="41"/>
  <c r="N1440" i="41"/>
  <c r="M1440" i="41"/>
  <c r="O1440" i="41" s="1"/>
  <c r="L1440" i="41"/>
  <c r="K1440" i="41"/>
  <c r="J1440" i="41"/>
  <c r="I1440" i="41"/>
  <c r="M1439" i="41"/>
  <c r="K1439" i="41"/>
  <c r="N1439" i="41" s="1"/>
  <c r="J1439" i="41"/>
  <c r="L1439" i="41" s="1"/>
  <c r="I1439" i="41"/>
  <c r="N1438" i="41"/>
  <c r="M1438" i="41"/>
  <c r="O1438" i="41" s="1"/>
  <c r="K1438" i="41"/>
  <c r="J1438" i="41"/>
  <c r="L1438" i="41" s="1"/>
  <c r="I1438" i="41"/>
  <c r="N1437" i="41"/>
  <c r="M1437" i="41"/>
  <c r="K1437" i="41"/>
  <c r="J1437" i="41"/>
  <c r="L1437" i="41" s="1"/>
  <c r="I1437" i="41"/>
  <c r="N1436" i="41"/>
  <c r="M1436" i="41"/>
  <c r="K1436" i="41"/>
  <c r="J1436" i="41"/>
  <c r="L1436" i="41" s="1"/>
  <c r="I1436" i="41"/>
  <c r="N1435" i="41"/>
  <c r="M1435" i="41"/>
  <c r="K1435" i="41"/>
  <c r="J1435" i="41"/>
  <c r="L1435" i="41" s="1"/>
  <c r="I1435" i="41"/>
  <c r="N1434" i="41"/>
  <c r="M1434" i="41"/>
  <c r="K1434" i="41"/>
  <c r="J1434" i="41"/>
  <c r="L1434" i="41" s="1"/>
  <c r="I1434" i="41"/>
  <c r="O1434" i="41" s="1"/>
  <c r="N1433" i="41"/>
  <c r="M1433" i="41"/>
  <c r="L1433" i="41"/>
  <c r="K1433" i="41"/>
  <c r="J1433" i="41"/>
  <c r="I1433" i="41"/>
  <c r="O1433" i="41" s="1"/>
  <c r="M1432" i="41"/>
  <c r="O1432" i="41" s="1"/>
  <c r="L1432" i="41"/>
  <c r="K1432" i="41"/>
  <c r="N1432" i="41" s="1"/>
  <c r="J1432" i="41"/>
  <c r="I1432" i="41"/>
  <c r="O1431" i="41"/>
  <c r="M1431" i="41"/>
  <c r="L1431" i="41"/>
  <c r="K1431" i="41"/>
  <c r="N1431" i="41" s="1"/>
  <c r="J1431" i="41"/>
  <c r="I1431" i="41"/>
  <c r="N1430" i="41"/>
  <c r="M1430" i="41"/>
  <c r="O1430" i="41" s="1"/>
  <c r="K1430" i="41"/>
  <c r="J1430" i="41"/>
  <c r="L1430" i="41" s="1"/>
  <c r="I1430" i="41"/>
  <c r="M1429" i="41"/>
  <c r="K1429" i="41"/>
  <c r="N1429" i="41" s="1"/>
  <c r="J1429" i="41"/>
  <c r="L1429" i="41" s="1"/>
  <c r="I1429" i="41"/>
  <c r="M1428" i="41"/>
  <c r="O1428" i="41" s="1"/>
  <c r="L1428" i="41"/>
  <c r="K1428" i="41"/>
  <c r="N1428" i="41" s="1"/>
  <c r="J1428" i="41"/>
  <c r="I1428" i="41"/>
  <c r="M1427" i="41"/>
  <c r="K1427" i="41"/>
  <c r="N1427" i="41" s="1"/>
  <c r="J1427" i="41"/>
  <c r="L1427" i="41" s="1"/>
  <c r="I1427" i="41"/>
  <c r="M1426" i="41"/>
  <c r="K1426" i="41"/>
  <c r="N1426" i="41" s="1"/>
  <c r="J1426" i="41"/>
  <c r="L1426" i="41" s="1"/>
  <c r="O1426" i="41" s="1"/>
  <c r="I1426" i="41"/>
  <c r="M1425" i="41"/>
  <c r="O1425" i="41" s="1"/>
  <c r="L1425" i="41"/>
  <c r="K1425" i="41"/>
  <c r="N1425" i="41" s="1"/>
  <c r="J1425" i="41"/>
  <c r="I1425" i="41"/>
  <c r="N1424" i="41"/>
  <c r="M1424" i="41"/>
  <c r="K1424" i="41"/>
  <c r="J1424" i="41"/>
  <c r="L1424" i="41" s="1"/>
  <c r="I1424" i="41"/>
  <c r="O1423" i="41"/>
  <c r="M1423" i="41"/>
  <c r="L1423" i="41"/>
  <c r="K1423" i="41"/>
  <c r="N1423" i="41" s="1"/>
  <c r="J1423" i="41"/>
  <c r="I1423" i="41"/>
  <c r="N1421" i="41"/>
  <c r="M1421" i="41"/>
  <c r="O1421" i="41" s="1"/>
  <c r="L1421" i="41"/>
  <c r="K1421" i="41"/>
  <c r="J1421" i="41"/>
  <c r="I1421" i="41"/>
  <c r="G1421" i="41"/>
  <c r="A1421" i="41"/>
  <c r="M1420" i="41"/>
  <c r="L1420" i="41"/>
  <c r="K1420" i="41"/>
  <c r="N1420" i="41" s="1"/>
  <c r="J1420" i="41"/>
  <c r="I1420" i="41"/>
  <c r="A1420" i="41"/>
  <c r="M1419" i="41"/>
  <c r="K1419" i="41"/>
  <c r="N1419" i="41" s="1"/>
  <c r="J1419" i="41"/>
  <c r="L1419" i="41" s="1"/>
  <c r="O1419" i="41" s="1"/>
  <c r="I1419" i="41"/>
  <c r="M1418" i="41"/>
  <c r="L1418" i="41"/>
  <c r="K1418" i="41"/>
  <c r="N1418" i="41" s="1"/>
  <c r="J1418" i="41"/>
  <c r="I1418" i="41"/>
  <c r="O1418" i="41" s="1"/>
  <c r="I1417" i="41"/>
  <c r="H1417" i="41"/>
  <c r="M1416" i="41"/>
  <c r="L1416" i="41"/>
  <c r="O1416" i="41" s="1"/>
  <c r="K1416" i="41"/>
  <c r="N1416" i="41" s="1"/>
  <c r="J1416" i="41"/>
  <c r="I1416" i="41"/>
  <c r="N1415" i="41"/>
  <c r="M1415" i="41"/>
  <c r="O1415" i="41" s="1"/>
  <c r="L1415" i="41"/>
  <c r="K1415" i="41"/>
  <c r="J1415" i="41"/>
  <c r="I1415" i="41"/>
  <c r="B1415" i="41"/>
  <c r="N1414" i="41"/>
  <c r="M1414" i="41"/>
  <c r="K1414" i="41"/>
  <c r="J1414" i="41"/>
  <c r="L1414" i="41" s="1"/>
  <c r="I1414" i="41"/>
  <c r="O1413" i="41"/>
  <c r="N1413" i="41"/>
  <c r="M1413" i="41"/>
  <c r="K1413" i="41"/>
  <c r="J1413" i="41"/>
  <c r="L1413" i="41" s="1"/>
  <c r="I1413" i="41"/>
  <c r="O1412" i="41"/>
  <c r="N1412" i="41"/>
  <c r="M1412" i="41"/>
  <c r="K1412" i="41"/>
  <c r="J1412" i="41"/>
  <c r="L1412" i="41" s="1"/>
  <c r="I1412" i="41"/>
  <c r="M1411" i="41"/>
  <c r="O1411" i="41" s="1"/>
  <c r="K1411" i="41"/>
  <c r="N1411" i="41" s="1"/>
  <c r="J1411" i="41"/>
  <c r="L1411" i="41" s="1"/>
  <c r="I1411" i="41"/>
  <c r="G1411" i="41"/>
  <c r="A1411" i="41"/>
  <c r="N1410" i="41"/>
  <c r="M1410" i="41"/>
  <c r="L1410" i="41"/>
  <c r="K1410" i="41"/>
  <c r="J1410" i="41"/>
  <c r="I1410" i="41"/>
  <c r="M1409" i="41"/>
  <c r="K1409" i="41"/>
  <c r="N1409" i="41" s="1"/>
  <c r="J1409" i="41"/>
  <c r="L1409" i="41" s="1"/>
  <c r="O1409" i="41" s="1"/>
  <c r="I1409" i="41"/>
  <c r="N1408" i="41"/>
  <c r="M1408" i="41"/>
  <c r="L1408" i="41"/>
  <c r="K1408" i="41"/>
  <c r="J1408" i="41"/>
  <c r="I1408" i="41"/>
  <c r="M1407" i="41"/>
  <c r="L1407" i="41"/>
  <c r="O1407" i="41" s="1"/>
  <c r="K1407" i="41"/>
  <c r="N1407" i="41" s="1"/>
  <c r="J1407" i="41"/>
  <c r="I1407" i="41"/>
  <c r="M1406" i="41"/>
  <c r="K1406" i="41"/>
  <c r="N1406" i="41" s="1"/>
  <c r="J1406" i="41"/>
  <c r="L1406" i="41" s="1"/>
  <c r="I1406" i="41"/>
  <c r="O1405" i="41"/>
  <c r="N1405" i="41"/>
  <c r="M1405" i="41"/>
  <c r="L1405" i="41"/>
  <c r="K1405" i="41"/>
  <c r="J1405" i="41"/>
  <c r="I1405" i="41"/>
  <c r="M1404" i="41"/>
  <c r="O1404" i="41" s="1"/>
  <c r="K1404" i="41"/>
  <c r="N1404" i="41" s="1"/>
  <c r="J1404" i="41"/>
  <c r="L1404" i="41" s="1"/>
  <c r="I1404" i="41"/>
  <c r="N1403" i="41"/>
  <c r="M1403" i="41"/>
  <c r="K1403" i="41"/>
  <c r="J1403" i="41"/>
  <c r="L1403" i="41" s="1"/>
  <c r="I1403" i="41"/>
  <c r="O1402" i="41"/>
  <c r="N1402" i="41"/>
  <c r="M1402" i="41"/>
  <c r="K1402" i="41"/>
  <c r="J1402" i="41"/>
  <c r="L1402" i="41" s="1"/>
  <c r="I1402" i="41"/>
  <c r="G1402" i="41"/>
  <c r="A1402" i="41"/>
  <c r="N1401" i="41"/>
  <c r="M1401" i="41"/>
  <c r="L1401" i="41"/>
  <c r="O1401" i="41" s="1"/>
  <c r="K1401" i="41"/>
  <c r="J1401" i="41"/>
  <c r="I1401" i="41"/>
  <c r="A1401" i="41"/>
  <c r="M1399" i="41"/>
  <c r="L1399" i="41"/>
  <c r="K1399" i="41"/>
  <c r="N1399" i="41" s="1"/>
  <c r="J1399" i="41"/>
  <c r="I1399" i="41"/>
  <c r="B1399" i="41"/>
  <c r="N1398" i="41"/>
  <c r="M1398" i="41"/>
  <c r="K1398" i="41"/>
  <c r="J1398" i="41"/>
  <c r="L1398" i="41" s="1"/>
  <c r="I1398" i="41"/>
  <c r="M1397" i="41"/>
  <c r="L1397" i="41"/>
  <c r="O1397" i="41" s="1"/>
  <c r="K1397" i="41"/>
  <c r="N1397" i="41" s="1"/>
  <c r="J1397" i="41"/>
  <c r="I1397" i="41"/>
  <c r="N1396" i="41"/>
  <c r="M1396" i="41"/>
  <c r="O1396" i="41" s="1"/>
  <c r="K1396" i="41"/>
  <c r="J1396" i="41"/>
  <c r="L1396" i="41" s="1"/>
  <c r="I1396" i="41"/>
  <c r="M1395" i="41"/>
  <c r="K1395" i="41"/>
  <c r="N1395" i="41" s="1"/>
  <c r="J1395" i="41"/>
  <c r="L1395" i="41" s="1"/>
  <c r="I1395" i="41"/>
  <c r="M1394" i="41"/>
  <c r="K1394" i="41"/>
  <c r="N1394" i="41" s="1"/>
  <c r="J1394" i="41"/>
  <c r="L1394" i="41" s="1"/>
  <c r="O1394" i="41" s="1"/>
  <c r="I1394" i="41"/>
  <c r="O1393" i="41"/>
  <c r="M1393" i="41"/>
  <c r="K1393" i="41"/>
  <c r="N1393" i="41" s="1"/>
  <c r="J1393" i="41"/>
  <c r="L1393" i="41" s="1"/>
  <c r="I1393" i="41"/>
  <c r="M1392" i="41"/>
  <c r="L1392" i="41"/>
  <c r="K1392" i="41"/>
  <c r="N1392" i="41" s="1"/>
  <c r="J1392" i="41"/>
  <c r="I1392" i="41"/>
  <c r="O1392" i="41" s="1"/>
  <c r="M1391" i="41"/>
  <c r="L1391" i="41"/>
  <c r="O1391" i="41" s="1"/>
  <c r="K1391" i="41"/>
  <c r="N1391" i="41" s="1"/>
  <c r="J1391" i="41"/>
  <c r="I1391" i="41"/>
  <c r="G1391" i="41"/>
  <c r="A1391" i="41"/>
  <c r="N1385" i="41"/>
  <c r="M1385" i="41"/>
  <c r="K1385" i="41"/>
  <c r="J1385" i="41"/>
  <c r="L1385" i="41" s="1"/>
  <c r="I1385" i="41"/>
  <c r="M1384" i="41"/>
  <c r="K1384" i="41"/>
  <c r="N1384" i="41" s="1"/>
  <c r="J1384" i="41"/>
  <c r="L1384" i="41" s="1"/>
  <c r="I1384" i="41"/>
  <c r="N1383" i="41"/>
  <c r="M1383" i="41"/>
  <c r="L1383" i="41"/>
  <c r="K1383" i="41"/>
  <c r="J1383" i="41"/>
  <c r="I1383" i="41"/>
  <c r="N1382" i="41"/>
  <c r="M1382" i="41"/>
  <c r="L1382" i="41"/>
  <c r="O1382" i="41" s="1"/>
  <c r="K1382" i="41"/>
  <c r="J1382" i="41"/>
  <c r="I1382" i="41"/>
  <c r="M1381" i="41"/>
  <c r="L1381" i="41"/>
  <c r="O1381" i="41" s="1"/>
  <c r="K1381" i="41"/>
  <c r="N1381" i="41" s="1"/>
  <c r="J1381" i="41"/>
  <c r="I1381" i="41"/>
  <c r="N1380" i="41"/>
  <c r="M1380" i="41"/>
  <c r="L1380" i="41"/>
  <c r="K1380" i="41"/>
  <c r="J1380" i="41"/>
  <c r="I1380" i="41"/>
  <c r="M1379" i="41"/>
  <c r="L1379" i="41"/>
  <c r="K1379" i="41"/>
  <c r="N1379" i="41" s="1"/>
  <c r="J1379" i="41"/>
  <c r="I1379" i="41"/>
  <c r="N1378" i="41"/>
  <c r="M1378" i="41"/>
  <c r="L1378" i="41"/>
  <c r="K1378" i="41"/>
  <c r="J1378" i="41"/>
  <c r="I1378" i="41"/>
  <c r="N1377" i="41"/>
  <c r="M1377" i="41"/>
  <c r="K1377" i="41"/>
  <c r="J1377" i="41"/>
  <c r="L1377" i="41" s="1"/>
  <c r="I1377" i="41"/>
  <c r="M1376" i="41"/>
  <c r="L1376" i="41"/>
  <c r="O1376" i="41" s="1"/>
  <c r="K1376" i="41"/>
  <c r="N1376" i="41" s="1"/>
  <c r="J1376" i="41"/>
  <c r="I1376" i="41"/>
  <c r="N1375" i="41"/>
  <c r="M1375" i="41"/>
  <c r="L1375" i="41"/>
  <c r="K1375" i="41"/>
  <c r="J1375" i="41"/>
  <c r="I1375" i="41"/>
  <c r="N1374" i="41"/>
  <c r="M1374" i="41"/>
  <c r="K1374" i="41"/>
  <c r="J1374" i="41"/>
  <c r="L1374" i="41" s="1"/>
  <c r="I1374" i="41"/>
  <c r="O1374" i="41" s="1"/>
  <c r="M1373" i="41"/>
  <c r="K1373" i="41"/>
  <c r="N1373" i="41" s="1"/>
  <c r="J1373" i="41"/>
  <c r="L1373" i="41" s="1"/>
  <c r="O1373" i="41" s="1"/>
  <c r="I1373" i="41"/>
  <c r="N1372" i="41"/>
  <c r="M1372" i="41"/>
  <c r="L1372" i="41"/>
  <c r="K1372" i="41"/>
  <c r="J1372" i="41"/>
  <c r="I1372" i="41"/>
  <c r="O1372" i="41" s="1"/>
  <c r="O1371" i="41"/>
  <c r="M1371" i="41"/>
  <c r="L1371" i="41"/>
  <c r="K1371" i="41"/>
  <c r="N1371" i="41" s="1"/>
  <c r="J1371" i="41"/>
  <c r="I1371" i="41"/>
  <c r="M1370" i="41"/>
  <c r="O1370" i="41" s="1"/>
  <c r="K1370" i="41"/>
  <c r="N1370" i="41" s="1"/>
  <c r="J1370" i="41"/>
  <c r="L1370" i="41" s="1"/>
  <c r="I1370" i="41"/>
  <c r="N1369" i="41"/>
  <c r="M1369" i="41"/>
  <c r="L1369" i="41"/>
  <c r="K1369" i="41"/>
  <c r="J1369" i="41"/>
  <c r="I1369" i="41"/>
  <c r="O1369" i="41" s="1"/>
  <c r="M1368" i="41"/>
  <c r="L1368" i="41"/>
  <c r="K1368" i="41"/>
  <c r="N1368" i="41" s="1"/>
  <c r="J1368" i="41"/>
  <c r="I1368" i="41"/>
  <c r="M1367" i="41"/>
  <c r="K1367" i="41"/>
  <c r="N1367" i="41" s="1"/>
  <c r="J1367" i="41"/>
  <c r="L1367" i="41" s="1"/>
  <c r="O1367" i="41" s="1"/>
  <c r="I1367" i="41"/>
  <c r="O1366" i="41"/>
  <c r="N1366" i="41"/>
  <c r="M1366" i="41"/>
  <c r="L1366" i="41"/>
  <c r="K1366" i="41"/>
  <c r="J1366" i="41"/>
  <c r="I1366" i="41"/>
  <c r="M1365" i="41"/>
  <c r="K1365" i="41"/>
  <c r="N1365" i="41" s="1"/>
  <c r="J1365" i="41"/>
  <c r="L1365" i="41" s="1"/>
  <c r="I1365" i="41"/>
  <c r="M1364" i="41"/>
  <c r="K1364" i="41"/>
  <c r="N1364" i="41" s="1"/>
  <c r="J1364" i="41"/>
  <c r="L1364" i="41" s="1"/>
  <c r="O1364" i="41" s="1"/>
  <c r="I1364" i="41"/>
  <c r="N1363" i="41"/>
  <c r="M1363" i="41"/>
  <c r="O1363" i="41" s="1"/>
  <c r="L1363" i="41"/>
  <c r="K1363" i="41"/>
  <c r="J1363" i="41"/>
  <c r="I1363" i="41"/>
  <c r="M1362" i="41"/>
  <c r="O1362" i="41" s="1"/>
  <c r="L1362" i="41"/>
  <c r="K1362" i="41"/>
  <c r="N1362" i="41" s="1"/>
  <c r="J1362" i="41"/>
  <c r="I1362" i="41"/>
  <c r="M1361" i="41"/>
  <c r="K1361" i="41"/>
  <c r="N1361" i="41" s="1"/>
  <c r="J1361" i="41"/>
  <c r="L1361" i="41" s="1"/>
  <c r="I1361" i="41"/>
  <c r="N1360" i="41"/>
  <c r="M1360" i="41"/>
  <c r="L1360" i="41"/>
  <c r="K1360" i="41"/>
  <c r="J1360" i="41"/>
  <c r="I1360" i="41"/>
  <c r="O1360" i="41" s="1"/>
  <c r="O1359" i="41"/>
  <c r="M1359" i="41"/>
  <c r="L1359" i="41"/>
  <c r="K1359" i="41"/>
  <c r="N1359" i="41" s="1"/>
  <c r="J1359" i="41"/>
  <c r="I1359" i="41"/>
  <c r="M1355" i="41"/>
  <c r="L1355" i="41"/>
  <c r="K1355" i="41"/>
  <c r="N1355" i="41" s="1"/>
  <c r="N1354" i="41"/>
  <c r="M1354" i="41"/>
  <c r="O1354" i="41" s="1"/>
  <c r="L1354" i="41"/>
  <c r="K1354" i="41"/>
  <c r="J1354" i="41"/>
  <c r="I1354" i="41"/>
  <c r="M1353" i="41"/>
  <c r="K1353" i="41"/>
  <c r="N1353" i="41" s="1"/>
  <c r="J1353" i="41"/>
  <c r="L1353" i="41" s="1"/>
  <c r="I1353" i="41"/>
  <c r="M1352" i="41"/>
  <c r="O1352" i="41" s="1"/>
  <c r="K1352" i="41"/>
  <c r="N1352" i="41" s="1"/>
  <c r="J1352" i="41"/>
  <c r="L1352" i="41" s="1"/>
  <c r="I1352" i="41"/>
  <c r="N1351" i="41"/>
  <c r="M1351" i="41"/>
  <c r="L1351" i="41"/>
  <c r="K1351" i="41"/>
  <c r="J1351" i="41"/>
  <c r="I1351" i="41"/>
  <c r="M1350" i="41"/>
  <c r="K1350" i="41"/>
  <c r="N1350" i="41" s="1"/>
  <c r="J1350" i="41"/>
  <c r="L1350" i="41" s="1"/>
  <c r="I1350" i="41"/>
  <c r="M1349" i="41"/>
  <c r="L1349" i="41"/>
  <c r="K1349" i="41"/>
  <c r="N1349" i="41" s="1"/>
  <c r="J1349" i="41"/>
  <c r="I1349" i="41"/>
  <c r="O1348" i="41"/>
  <c r="N1348" i="41"/>
  <c r="M1348" i="41"/>
  <c r="K1348" i="41"/>
  <c r="J1348" i="41"/>
  <c r="L1348" i="41" s="1"/>
  <c r="I1348" i="41"/>
  <c r="M1347" i="41"/>
  <c r="L1347" i="41"/>
  <c r="K1347" i="41"/>
  <c r="N1347" i="41" s="1"/>
  <c r="J1347" i="41"/>
  <c r="I1347" i="41"/>
  <c r="N1346" i="41"/>
  <c r="M1346" i="41"/>
  <c r="L1346" i="41"/>
  <c r="K1346" i="41"/>
  <c r="J1346" i="41"/>
  <c r="I1346" i="41"/>
  <c r="N1345" i="41"/>
  <c r="M1345" i="41"/>
  <c r="K1345" i="41"/>
  <c r="J1345" i="41"/>
  <c r="L1345" i="41" s="1"/>
  <c r="I1345" i="41"/>
  <c r="O1345" i="41" s="1"/>
  <c r="M1344" i="41"/>
  <c r="K1344" i="41"/>
  <c r="N1344" i="41" s="1"/>
  <c r="J1344" i="41"/>
  <c r="L1344" i="41" s="1"/>
  <c r="I1344" i="41"/>
  <c r="M1343" i="41"/>
  <c r="K1343" i="41"/>
  <c r="N1343" i="41" s="1"/>
  <c r="J1343" i="41"/>
  <c r="L1343" i="41" s="1"/>
  <c r="I1343" i="41"/>
  <c r="O1342" i="41"/>
  <c r="M1342" i="41"/>
  <c r="L1342" i="41"/>
  <c r="K1342" i="41"/>
  <c r="N1342" i="41" s="1"/>
  <c r="J1342" i="41"/>
  <c r="I1342" i="41"/>
  <c r="M1341" i="41"/>
  <c r="O1341" i="41" s="1"/>
  <c r="K1341" i="41"/>
  <c r="N1341" i="41" s="1"/>
  <c r="J1341" i="41"/>
  <c r="L1341" i="41" s="1"/>
  <c r="I1341" i="41"/>
  <c r="N1340" i="41"/>
  <c r="M1340" i="41"/>
  <c r="L1340" i="41"/>
  <c r="K1340" i="41"/>
  <c r="J1340" i="41"/>
  <c r="I1340" i="41"/>
  <c r="M1339" i="41"/>
  <c r="O1339" i="41" s="1"/>
  <c r="L1339" i="41"/>
  <c r="K1339" i="41"/>
  <c r="N1339" i="41" s="1"/>
  <c r="J1339" i="41"/>
  <c r="I1339" i="41"/>
  <c r="M1338" i="41"/>
  <c r="K1338" i="41"/>
  <c r="N1338" i="41" s="1"/>
  <c r="J1338" i="41"/>
  <c r="L1338" i="41" s="1"/>
  <c r="O1338" i="41" s="1"/>
  <c r="I1338" i="41"/>
  <c r="O1337" i="41"/>
  <c r="M1337" i="41"/>
  <c r="K1337" i="41"/>
  <c r="N1337" i="41" s="1"/>
  <c r="J1337" i="41"/>
  <c r="L1337" i="41" s="1"/>
  <c r="I1337" i="41"/>
  <c r="M1336" i="41"/>
  <c r="L1336" i="41"/>
  <c r="K1336" i="41"/>
  <c r="N1336" i="41" s="1"/>
  <c r="J1336" i="41"/>
  <c r="I1336" i="41"/>
  <c r="N1335" i="41"/>
  <c r="M1335" i="41"/>
  <c r="O1335" i="41" s="1"/>
  <c r="K1335" i="41"/>
  <c r="J1335" i="41"/>
  <c r="L1335" i="41" s="1"/>
  <c r="I1335" i="41"/>
  <c r="O1334" i="41"/>
  <c r="M1334" i="41"/>
  <c r="L1334" i="41"/>
  <c r="K1334" i="41"/>
  <c r="N1334" i="41" s="1"/>
  <c r="J1334" i="41"/>
  <c r="I1334" i="41"/>
  <c r="N1333" i="41"/>
  <c r="M1333" i="41"/>
  <c r="L1333" i="41"/>
  <c r="K1333" i="41"/>
  <c r="J1333" i="41"/>
  <c r="I1333" i="41"/>
  <c r="N1332" i="41"/>
  <c r="M1332" i="41"/>
  <c r="K1332" i="41"/>
  <c r="J1332" i="41"/>
  <c r="L1332" i="41" s="1"/>
  <c r="O1332" i="41" s="1"/>
  <c r="I1332" i="41"/>
  <c r="N1331" i="41"/>
  <c r="M1331" i="41"/>
  <c r="L1331" i="41"/>
  <c r="K1331" i="41"/>
  <c r="J1331" i="41"/>
  <c r="I1331" i="41"/>
  <c r="N1330" i="41"/>
  <c r="M1330" i="41"/>
  <c r="O1330" i="41" s="1"/>
  <c r="K1330" i="41"/>
  <c r="J1330" i="41"/>
  <c r="L1330" i="41" s="1"/>
  <c r="I1330" i="41"/>
  <c r="O1329" i="41"/>
  <c r="N1329" i="41"/>
  <c r="M1329" i="41"/>
  <c r="L1329" i="41"/>
  <c r="K1329" i="41"/>
  <c r="J1329" i="41"/>
  <c r="I1329" i="41"/>
  <c r="N1328" i="41"/>
  <c r="M1328" i="41"/>
  <c r="O1328" i="41" s="1"/>
  <c r="K1328" i="41"/>
  <c r="J1328" i="41"/>
  <c r="L1328" i="41" s="1"/>
  <c r="I1328" i="41"/>
  <c r="G1328" i="41"/>
  <c r="H1399" i="41" s="1"/>
  <c r="A1328" i="41"/>
  <c r="O1327" i="41"/>
  <c r="M1327" i="41"/>
  <c r="L1327" i="41"/>
  <c r="K1327" i="41"/>
  <c r="N1327" i="41" s="1"/>
  <c r="J1327" i="41"/>
  <c r="I1327" i="41"/>
  <c r="A1327" i="41"/>
  <c r="N1325" i="41"/>
  <c r="M1325" i="41"/>
  <c r="O1325" i="41" s="1"/>
  <c r="K1325" i="41"/>
  <c r="J1325" i="41"/>
  <c r="L1325" i="41" s="1"/>
  <c r="I1325" i="41"/>
  <c r="B1325" i="41"/>
  <c r="O1324" i="41"/>
  <c r="N1324" i="41"/>
  <c r="M1324" i="41"/>
  <c r="L1324" i="41"/>
  <c r="K1324" i="41"/>
  <c r="J1324" i="41"/>
  <c r="I1324" i="41"/>
  <c r="N1323" i="41"/>
  <c r="M1323" i="41"/>
  <c r="K1323" i="41"/>
  <c r="J1323" i="41"/>
  <c r="L1323" i="41" s="1"/>
  <c r="O1323" i="41" s="1"/>
  <c r="I1323" i="41"/>
  <c r="O1322" i="41"/>
  <c r="M1322" i="41"/>
  <c r="K1322" i="41"/>
  <c r="N1322" i="41" s="1"/>
  <c r="J1322" i="41"/>
  <c r="L1322" i="41" s="1"/>
  <c r="I1322" i="41"/>
  <c r="N1321" i="41"/>
  <c r="M1321" i="41"/>
  <c r="L1321" i="41"/>
  <c r="K1321" i="41"/>
  <c r="J1321" i="41"/>
  <c r="I1321" i="41"/>
  <c r="O1320" i="41"/>
  <c r="N1320" i="41"/>
  <c r="M1320" i="41"/>
  <c r="K1320" i="41"/>
  <c r="J1320" i="41"/>
  <c r="L1320" i="41" s="1"/>
  <c r="I1320" i="41"/>
  <c r="M1319" i="41"/>
  <c r="K1319" i="41"/>
  <c r="N1319" i="41" s="1"/>
  <c r="J1319" i="41"/>
  <c r="L1319" i="41" s="1"/>
  <c r="O1319" i="41" s="1"/>
  <c r="I1319" i="41"/>
  <c r="O1318" i="41"/>
  <c r="N1318" i="41"/>
  <c r="M1318" i="41"/>
  <c r="L1318" i="41"/>
  <c r="K1318" i="41"/>
  <c r="J1318" i="41"/>
  <c r="I1318" i="41"/>
  <c r="O1317" i="41"/>
  <c r="N1317" i="41"/>
  <c r="M1317" i="41"/>
  <c r="K1317" i="41"/>
  <c r="J1317" i="41"/>
  <c r="L1317" i="41" s="1"/>
  <c r="I1317" i="41"/>
  <c r="N1316" i="41"/>
  <c r="M1316" i="41"/>
  <c r="K1316" i="41"/>
  <c r="J1316" i="41"/>
  <c r="L1316" i="41" s="1"/>
  <c r="I1316" i="41"/>
  <c r="N1315" i="41"/>
  <c r="M1315" i="41"/>
  <c r="K1315" i="41"/>
  <c r="J1315" i="41"/>
  <c r="L1315" i="41" s="1"/>
  <c r="I1315" i="41"/>
  <c r="N1314" i="41"/>
  <c r="M1314" i="41"/>
  <c r="L1314" i="41"/>
  <c r="K1314" i="41"/>
  <c r="J1314" i="41"/>
  <c r="I1314" i="41"/>
  <c r="N1313" i="41"/>
  <c r="M1313" i="41"/>
  <c r="K1313" i="41"/>
  <c r="J1313" i="41"/>
  <c r="L1313" i="41" s="1"/>
  <c r="I1313" i="41"/>
  <c r="N1312" i="41"/>
  <c r="M1312" i="41"/>
  <c r="K1312" i="41"/>
  <c r="J1312" i="41"/>
  <c r="L1312" i="41" s="1"/>
  <c r="I1312" i="41"/>
  <c r="M1311" i="41"/>
  <c r="L1311" i="41"/>
  <c r="K1311" i="41"/>
  <c r="N1311" i="41" s="1"/>
  <c r="J1311" i="41"/>
  <c r="I1311" i="41"/>
  <c r="N1310" i="41"/>
  <c r="M1310" i="41"/>
  <c r="K1310" i="41"/>
  <c r="J1310" i="41"/>
  <c r="L1310" i="41" s="1"/>
  <c r="I1310" i="41"/>
  <c r="M1309" i="41"/>
  <c r="K1309" i="41"/>
  <c r="N1309" i="41" s="1"/>
  <c r="J1309" i="41"/>
  <c r="L1309" i="41" s="1"/>
  <c r="O1309" i="41" s="1"/>
  <c r="I1309" i="41"/>
  <c r="N1308" i="41"/>
  <c r="M1308" i="41"/>
  <c r="L1308" i="41"/>
  <c r="K1308" i="41"/>
  <c r="J1308" i="41"/>
  <c r="I1308" i="41"/>
  <c r="N1307" i="41"/>
  <c r="M1307" i="41"/>
  <c r="O1307" i="41" s="1"/>
  <c r="L1307" i="41"/>
  <c r="K1307" i="41"/>
  <c r="J1307" i="41"/>
  <c r="I1307" i="41"/>
  <c r="M1306" i="41"/>
  <c r="L1306" i="41"/>
  <c r="K1306" i="41"/>
  <c r="N1306" i="41" s="1"/>
  <c r="J1306" i="41"/>
  <c r="I1306" i="41"/>
  <c r="M1305" i="41"/>
  <c r="K1305" i="41"/>
  <c r="N1305" i="41" s="1"/>
  <c r="J1305" i="41"/>
  <c r="L1305" i="41" s="1"/>
  <c r="I1305" i="41"/>
  <c r="N1304" i="41"/>
  <c r="M1304" i="41"/>
  <c r="K1304" i="41"/>
  <c r="J1304" i="41"/>
  <c r="L1304" i="41" s="1"/>
  <c r="I1304" i="41"/>
  <c r="N1303" i="41"/>
  <c r="M1303" i="41"/>
  <c r="K1303" i="41"/>
  <c r="J1303" i="41"/>
  <c r="L1303" i="41" s="1"/>
  <c r="I1303" i="41"/>
  <c r="O1302" i="41"/>
  <c r="M1302" i="41"/>
  <c r="L1302" i="41"/>
  <c r="K1302" i="41"/>
  <c r="N1302" i="41" s="1"/>
  <c r="J1302" i="41"/>
  <c r="I1302" i="41"/>
  <c r="N1301" i="41"/>
  <c r="M1301" i="41"/>
  <c r="O1301" i="41" s="1"/>
  <c r="L1301" i="41"/>
  <c r="K1301" i="41"/>
  <c r="J1301" i="41"/>
  <c r="I1301" i="41"/>
  <c r="O1300" i="41"/>
  <c r="M1300" i="41"/>
  <c r="K1300" i="41"/>
  <c r="N1300" i="41" s="1"/>
  <c r="J1300" i="41"/>
  <c r="L1300" i="41" s="1"/>
  <c r="I1300" i="41"/>
  <c r="G1300" i="41"/>
  <c r="H1325" i="41" s="1"/>
  <c r="A1300" i="41"/>
  <c r="M1299" i="41"/>
  <c r="K1299" i="41"/>
  <c r="N1299" i="41" s="1"/>
  <c r="J1299" i="41"/>
  <c r="L1299" i="41" s="1"/>
  <c r="I1299" i="41"/>
  <c r="I1298" i="41"/>
  <c r="M1297" i="41"/>
  <c r="K1297" i="41"/>
  <c r="N1297" i="41" s="1"/>
  <c r="J1297" i="41"/>
  <c r="L1297" i="41" s="1"/>
  <c r="I1297" i="41"/>
  <c r="H1296" i="41"/>
  <c r="B1296" i="41"/>
  <c r="M1295" i="41"/>
  <c r="K1295" i="41"/>
  <c r="N1295" i="41" s="1"/>
  <c r="J1295" i="41"/>
  <c r="L1295" i="41" s="1"/>
  <c r="I1295" i="41"/>
  <c r="N1294" i="41"/>
  <c r="M1294" i="41"/>
  <c r="O1294" i="41" s="1"/>
  <c r="L1294" i="41"/>
  <c r="K1294" i="41"/>
  <c r="J1294" i="41"/>
  <c r="I1294" i="41"/>
  <c r="M1288" i="41"/>
  <c r="O1288" i="41" s="1"/>
  <c r="K1288" i="41"/>
  <c r="N1288" i="41" s="1"/>
  <c r="J1288" i="41"/>
  <c r="L1288" i="41" s="1"/>
  <c r="I1288" i="41"/>
  <c r="N1287" i="41"/>
  <c r="M1287" i="41"/>
  <c r="L1287" i="41"/>
  <c r="K1287" i="41"/>
  <c r="J1287" i="41"/>
  <c r="I1287" i="41"/>
  <c r="N1286" i="41"/>
  <c r="M1286" i="41"/>
  <c r="K1286" i="41"/>
  <c r="J1286" i="41"/>
  <c r="L1286" i="41" s="1"/>
  <c r="I1286" i="41"/>
  <c r="O1285" i="41"/>
  <c r="N1285" i="41"/>
  <c r="M1285" i="41"/>
  <c r="K1285" i="41"/>
  <c r="J1285" i="41"/>
  <c r="L1285" i="41" s="1"/>
  <c r="I1285" i="41"/>
  <c r="N1284" i="41"/>
  <c r="M1284" i="41"/>
  <c r="O1284" i="41" s="1"/>
  <c r="L1284" i="41"/>
  <c r="K1284" i="41"/>
  <c r="J1284" i="41"/>
  <c r="I1284" i="41"/>
  <c r="M1283" i="41"/>
  <c r="K1283" i="41"/>
  <c r="N1283" i="41" s="1"/>
  <c r="J1283" i="41"/>
  <c r="L1283" i="41" s="1"/>
  <c r="I1283" i="41"/>
  <c r="O1282" i="41"/>
  <c r="N1282" i="41"/>
  <c r="M1282" i="41"/>
  <c r="L1282" i="41"/>
  <c r="K1282" i="41"/>
  <c r="J1282" i="41"/>
  <c r="I1282" i="41"/>
  <c r="N1281" i="41"/>
  <c r="M1281" i="41"/>
  <c r="O1281" i="41" s="1"/>
  <c r="L1281" i="41"/>
  <c r="K1281" i="41"/>
  <c r="J1281" i="41"/>
  <c r="I1281" i="41"/>
  <c r="M1280" i="41"/>
  <c r="K1280" i="41"/>
  <c r="N1280" i="41" s="1"/>
  <c r="J1280" i="41"/>
  <c r="L1280" i="41" s="1"/>
  <c r="I1280" i="41"/>
  <c r="N1273" i="41"/>
  <c r="M1273" i="41"/>
  <c r="K1273" i="41"/>
  <c r="J1273" i="41"/>
  <c r="L1273" i="41" s="1"/>
  <c r="O1273" i="41" s="1"/>
  <c r="I1273" i="41"/>
  <c r="N1272" i="41"/>
  <c r="M1272" i="41"/>
  <c r="O1272" i="41" s="1"/>
  <c r="L1272" i="41"/>
  <c r="K1272" i="41"/>
  <c r="J1272" i="41"/>
  <c r="I1272" i="41"/>
  <c r="M1271" i="41"/>
  <c r="K1271" i="41"/>
  <c r="N1271" i="41" s="1"/>
  <c r="J1271" i="41"/>
  <c r="L1271" i="41" s="1"/>
  <c r="I1271" i="41"/>
  <c r="G1271" i="41"/>
  <c r="A1271" i="41"/>
  <c r="O1269" i="41"/>
  <c r="M1269" i="41"/>
  <c r="K1269" i="41"/>
  <c r="N1269" i="41" s="1"/>
  <c r="J1269" i="41"/>
  <c r="L1269" i="41" s="1"/>
  <c r="I1269" i="41"/>
  <c r="H1269" i="41"/>
  <c r="H1236" i="41" s="1"/>
  <c r="B1269" i="41"/>
  <c r="N1268" i="41"/>
  <c r="M1268" i="41"/>
  <c r="K1268" i="41"/>
  <c r="J1268" i="41"/>
  <c r="L1268" i="41" s="1"/>
  <c r="O1268" i="41" s="1"/>
  <c r="I1268" i="41"/>
  <c r="M1261" i="41"/>
  <c r="O1261" i="41" s="1"/>
  <c r="L1261" i="41"/>
  <c r="K1261" i="41"/>
  <c r="N1261" i="41" s="1"/>
  <c r="J1261" i="41"/>
  <c r="I1261" i="41"/>
  <c r="J1255" i="41"/>
  <c r="I1255" i="41"/>
  <c r="M1254" i="41"/>
  <c r="L1254" i="41"/>
  <c r="K1254" i="41"/>
  <c r="N1254" i="41" s="1"/>
  <c r="J1254" i="41"/>
  <c r="I1254" i="41"/>
  <c r="M1253" i="41"/>
  <c r="K1253" i="41"/>
  <c r="N1253" i="41" s="1"/>
  <c r="J1253" i="41"/>
  <c r="L1253" i="41" s="1"/>
  <c r="I1253" i="41"/>
  <c r="O1252" i="41"/>
  <c r="M1252" i="41"/>
  <c r="L1252" i="41"/>
  <c r="K1252" i="41"/>
  <c r="N1252" i="41" s="1"/>
  <c r="J1252" i="41"/>
  <c r="I1252" i="41"/>
  <c r="N1251" i="41"/>
  <c r="M1251" i="41"/>
  <c r="L1251" i="41"/>
  <c r="K1251" i="41"/>
  <c r="J1251" i="41"/>
  <c r="I1251" i="41"/>
  <c r="J1250" i="41"/>
  <c r="I1250" i="41"/>
  <c r="N1249" i="41"/>
  <c r="M1249" i="41"/>
  <c r="K1249" i="41"/>
  <c r="J1249" i="41"/>
  <c r="L1249" i="41" s="1"/>
  <c r="O1249" i="41" s="1"/>
  <c r="I1249" i="41"/>
  <c r="J1248" i="41"/>
  <c r="I1248" i="41"/>
  <c r="N1247" i="41"/>
  <c r="M1247" i="41"/>
  <c r="O1247" i="41" s="1"/>
  <c r="L1247" i="41"/>
  <c r="K1247" i="41"/>
  <c r="J1247" i="41"/>
  <c r="I1247" i="41"/>
  <c r="J1240" i="41"/>
  <c r="I1240" i="41"/>
  <c r="M1239" i="41"/>
  <c r="L1239" i="41"/>
  <c r="K1239" i="41"/>
  <c r="N1239" i="41" s="1"/>
  <c r="J1239" i="41"/>
  <c r="I1239" i="41"/>
  <c r="J1238" i="41"/>
  <c r="I1238" i="41"/>
  <c r="G1238" i="41"/>
  <c r="A1238" i="41"/>
  <c r="I1237" i="41"/>
  <c r="I1236" i="41"/>
  <c r="O1235" i="41"/>
  <c r="N1235" i="41"/>
  <c r="M1235" i="41"/>
  <c r="L1235" i="41"/>
  <c r="K1235" i="41"/>
  <c r="J1235" i="41"/>
  <c r="I1235" i="41"/>
  <c r="M1234" i="41"/>
  <c r="O1234" i="41" s="1"/>
  <c r="L1234" i="41"/>
  <c r="K1234" i="41"/>
  <c r="N1234" i="41" s="1"/>
  <c r="J1234" i="41"/>
  <c r="I1234" i="41"/>
  <c r="B1234" i="41"/>
  <c r="N1233" i="41"/>
  <c r="M1233" i="41"/>
  <c r="K1233" i="41"/>
  <c r="J1233" i="41"/>
  <c r="L1233" i="41" s="1"/>
  <c r="O1233" i="41" s="1"/>
  <c r="I1233" i="41"/>
  <c r="O1232" i="41"/>
  <c r="M1232" i="41"/>
  <c r="L1232" i="41"/>
  <c r="K1232" i="41"/>
  <c r="N1232" i="41" s="1"/>
  <c r="J1232" i="41"/>
  <c r="I1232" i="41"/>
  <c r="N1231" i="41"/>
  <c r="M1231" i="41"/>
  <c r="O1231" i="41" s="1"/>
  <c r="L1231" i="41"/>
  <c r="K1231" i="41"/>
  <c r="J1231" i="41"/>
  <c r="I1231" i="41"/>
  <c r="N1230" i="41"/>
  <c r="M1230" i="41"/>
  <c r="K1230" i="41"/>
  <c r="J1230" i="41"/>
  <c r="L1230" i="41" s="1"/>
  <c r="I1230" i="41"/>
  <c r="G1230" i="41"/>
  <c r="A1230" i="41"/>
  <c r="M1229" i="41"/>
  <c r="L1229" i="41"/>
  <c r="O1229" i="41" s="1"/>
  <c r="K1229" i="41"/>
  <c r="N1229" i="41" s="1"/>
  <c r="J1229" i="41"/>
  <c r="I1229" i="41"/>
  <c r="M1228" i="41"/>
  <c r="O1228" i="41" s="1"/>
  <c r="K1228" i="41"/>
  <c r="N1228" i="41" s="1"/>
  <c r="J1228" i="41"/>
  <c r="L1228" i="41" s="1"/>
  <c r="I1228" i="41"/>
  <c r="N1227" i="41"/>
  <c r="M1227" i="41"/>
  <c r="L1227" i="41"/>
  <c r="K1227" i="41"/>
  <c r="J1227" i="41"/>
  <c r="I1227" i="41"/>
  <c r="M1226" i="41"/>
  <c r="K1226" i="41"/>
  <c r="N1226" i="41" s="1"/>
  <c r="J1226" i="41"/>
  <c r="L1226" i="41" s="1"/>
  <c r="O1226" i="41" s="1"/>
  <c r="I1226" i="41"/>
  <c r="O1225" i="41"/>
  <c r="M1225" i="41"/>
  <c r="K1225" i="41"/>
  <c r="N1225" i="41" s="1"/>
  <c r="J1225" i="41"/>
  <c r="L1225" i="41" s="1"/>
  <c r="I1225" i="41"/>
  <c r="G1225" i="41"/>
  <c r="A1225" i="41"/>
  <c r="M1224" i="41"/>
  <c r="L1224" i="41"/>
  <c r="O1224" i="41" s="1"/>
  <c r="K1224" i="41"/>
  <c r="N1224" i="41" s="1"/>
  <c r="J1224" i="41"/>
  <c r="I1224" i="41"/>
  <c r="A1224" i="41"/>
  <c r="M1223" i="41"/>
  <c r="L1223" i="41"/>
  <c r="K1223" i="41"/>
  <c r="N1223" i="41" s="1"/>
  <c r="J1223" i="41"/>
  <c r="I1223" i="41"/>
  <c r="B1222" i="41"/>
  <c r="N1221" i="41"/>
  <c r="M1221" i="41"/>
  <c r="K1221" i="41"/>
  <c r="J1221" i="41"/>
  <c r="L1221" i="41" s="1"/>
  <c r="I1221" i="41"/>
  <c r="M1220" i="41"/>
  <c r="O1220" i="41" s="1"/>
  <c r="K1220" i="41"/>
  <c r="N1220" i="41" s="1"/>
  <c r="J1220" i="41"/>
  <c r="L1220" i="41" s="1"/>
  <c r="I1220" i="41"/>
  <c r="M1219" i="41"/>
  <c r="K1219" i="41"/>
  <c r="N1219" i="41" s="1"/>
  <c r="J1219" i="41"/>
  <c r="L1219" i="41" s="1"/>
  <c r="I1219" i="41"/>
  <c r="N1218" i="41"/>
  <c r="M1218" i="41"/>
  <c r="K1218" i="41"/>
  <c r="J1218" i="41"/>
  <c r="L1218" i="41" s="1"/>
  <c r="O1218" i="41" s="1"/>
  <c r="I1218" i="41"/>
  <c r="O1217" i="41"/>
  <c r="M1217" i="41"/>
  <c r="K1217" i="41"/>
  <c r="N1217" i="41" s="1"/>
  <c r="J1217" i="41"/>
  <c r="L1217" i="41" s="1"/>
  <c r="I1217" i="41"/>
  <c r="M1216" i="41"/>
  <c r="O1216" i="41" s="1"/>
  <c r="K1216" i="41"/>
  <c r="N1216" i="41" s="1"/>
  <c r="J1216" i="41"/>
  <c r="L1216" i="41" s="1"/>
  <c r="I1216" i="41"/>
  <c r="M1215" i="41"/>
  <c r="K1215" i="41"/>
  <c r="N1215" i="41" s="1"/>
  <c r="J1215" i="41"/>
  <c r="L1215" i="41" s="1"/>
  <c r="I1215" i="41"/>
  <c r="M1214" i="41"/>
  <c r="K1214" i="41"/>
  <c r="N1214" i="41" s="1"/>
  <c r="J1214" i="41"/>
  <c r="L1214" i="41" s="1"/>
  <c r="I1214" i="41"/>
  <c r="O1213" i="41"/>
  <c r="N1213" i="41"/>
  <c r="M1213" i="41"/>
  <c r="K1213" i="41"/>
  <c r="J1213" i="41"/>
  <c r="L1213" i="41" s="1"/>
  <c r="I1213" i="41"/>
  <c r="M1212" i="41"/>
  <c r="K1212" i="41"/>
  <c r="N1212" i="41" s="1"/>
  <c r="J1212" i="41"/>
  <c r="L1212" i="41" s="1"/>
  <c r="I1212" i="41"/>
  <c r="N1211" i="41"/>
  <c r="M1211" i="41"/>
  <c r="K1211" i="41"/>
  <c r="J1211" i="41"/>
  <c r="L1211" i="41" s="1"/>
  <c r="I1211" i="41"/>
  <c r="N1210" i="41"/>
  <c r="M1210" i="41"/>
  <c r="O1210" i="41" s="1"/>
  <c r="L1210" i="41"/>
  <c r="K1210" i="41"/>
  <c r="J1210" i="41"/>
  <c r="I1210" i="41"/>
  <c r="G1210" i="41"/>
  <c r="A1210" i="41"/>
  <c r="M1207" i="41"/>
  <c r="L1207" i="41"/>
  <c r="O1207" i="41" s="1"/>
  <c r="K1207" i="41"/>
  <c r="N1207" i="41" s="1"/>
  <c r="J1207" i="41"/>
  <c r="I1207" i="41"/>
  <c r="M1206" i="41"/>
  <c r="K1206" i="41"/>
  <c r="N1206" i="41" s="1"/>
  <c r="J1206" i="41"/>
  <c r="L1206" i="41" s="1"/>
  <c r="O1206" i="41" s="1"/>
  <c r="I1206" i="41"/>
  <c r="O1205" i="41"/>
  <c r="N1205" i="41"/>
  <c r="M1205" i="41"/>
  <c r="K1205" i="41"/>
  <c r="J1205" i="41"/>
  <c r="L1205" i="41" s="1"/>
  <c r="I1205" i="41"/>
  <c r="O1204" i="41"/>
  <c r="M1204" i="41"/>
  <c r="K1204" i="41"/>
  <c r="N1204" i="41" s="1"/>
  <c r="J1204" i="41"/>
  <c r="L1204" i="41" s="1"/>
  <c r="I1204" i="41"/>
  <c r="M1203" i="41"/>
  <c r="O1203" i="41" s="1"/>
  <c r="L1203" i="41"/>
  <c r="K1203" i="41"/>
  <c r="N1203" i="41" s="1"/>
  <c r="J1203" i="41"/>
  <c r="I1203" i="41"/>
  <c r="N1202" i="41"/>
  <c r="M1202" i="41"/>
  <c r="K1202" i="41"/>
  <c r="J1202" i="41"/>
  <c r="L1202" i="41" s="1"/>
  <c r="O1202" i="41" s="1"/>
  <c r="I1202" i="41"/>
  <c r="M1201" i="41"/>
  <c r="L1201" i="41"/>
  <c r="O1201" i="41" s="1"/>
  <c r="K1201" i="41"/>
  <c r="N1201" i="41" s="1"/>
  <c r="J1201" i="41"/>
  <c r="I1201" i="41"/>
  <c r="M1200" i="41"/>
  <c r="L1200" i="41"/>
  <c r="K1200" i="41"/>
  <c r="N1200" i="41" s="1"/>
  <c r="J1200" i="41"/>
  <c r="I1200" i="41"/>
  <c r="M1199" i="41"/>
  <c r="K1199" i="41"/>
  <c r="N1199" i="41" s="1"/>
  <c r="J1199" i="41"/>
  <c r="L1199" i="41" s="1"/>
  <c r="O1199" i="41" s="1"/>
  <c r="I1199" i="41"/>
  <c r="M1197" i="41"/>
  <c r="K1197" i="41"/>
  <c r="N1197" i="41" s="1"/>
  <c r="J1197" i="41"/>
  <c r="L1197" i="41" s="1"/>
  <c r="I1197" i="41"/>
  <c r="O1197" i="41" s="1"/>
  <c r="M1196" i="41"/>
  <c r="K1196" i="41"/>
  <c r="N1196" i="41" s="1"/>
  <c r="J1196" i="41"/>
  <c r="L1196" i="41" s="1"/>
  <c r="O1196" i="41" s="1"/>
  <c r="I1196" i="41"/>
  <c r="M1195" i="41"/>
  <c r="K1195" i="41"/>
  <c r="N1195" i="41" s="1"/>
  <c r="J1195" i="41"/>
  <c r="L1195" i="41" s="1"/>
  <c r="I1195" i="41"/>
  <c r="M1194" i="41"/>
  <c r="O1194" i="41" s="1"/>
  <c r="L1194" i="41"/>
  <c r="K1194" i="41"/>
  <c r="N1194" i="41" s="1"/>
  <c r="J1194" i="41"/>
  <c r="I1194" i="41"/>
  <c r="M1193" i="41"/>
  <c r="L1193" i="41"/>
  <c r="O1193" i="41" s="1"/>
  <c r="K1193" i="41"/>
  <c r="N1193" i="41" s="1"/>
  <c r="J1193" i="41"/>
  <c r="I1193" i="41"/>
  <c r="G1193" i="41"/>
  <c r="A1193" i="41"/>
  <c r="N1192" i="41"/>
  <c r="M1192" i="41"/>
  <c r="O1192" i="41" s="1"/>
  <c r="L1192" i="41"/>
  <c r="K1192" i="41"/>
  <c r="J1192" i="41"/>
  <c r="I1192" i="41"/>
  <c r="N1191" i="41"/>
  <c r="M1191" i="41"/>
  <c r="K1191" i="41"/>
  <c r="J1191" i="41"/>
  <c r="L1191" i="41" s="1"/>
  <c r="O1191" i="41" s="1"/>
  <c r="I1191" i="41"/>
  <c r="N1190" i="41"/>
  <c r="M1190" i="41"/>
  <c r="O1190" i="41" s="1"/>
  <c r="K1190" i="41"/>
  <c r="J1190" i="41"/>
  <c r="L1190" i="41" s="1"/>
  <c r="I1190" i="41"/>
  <c r="O1189" i="41"/>
  <c r="N1189" i="41"/>
  <c r="M1189" i="41"/>
  <c r="L1189" i="41"/>
  <c r="K1189" i="41"/>
  <c r="J1189" i="41"/>
  <c r="I1189" i="41"/>
  <c r="N1188" i="41"/>
  <c r="M1188" i="41"/>
  <c r="K1188" i="41"/>
  <c r="J1188" i="41"/>
  <c r="L1188" i="41" s="1"/>
  <c r="O1188" i="41" s="1"/>
  <c r="I1188" i="41"/>
  <c r="O1187" i="41"/>
  <c r="M1187" i="41"/>
  <c r="K1187" i="41"/>
  <c r="N1187" i="41" s="1"/>
  <c r="J1187" i="41"/>
  <c r="L1187" i="41" s="1"/>
  <c r="I1187" i="41"/>
  <c r="N1186" i="41"/>
  <c r="M1186" i="41"/>
  <c r="O1186" i="41" s="1"/>
  <c r="L1186" i="41"/>
  <c r="K1186" i="41"/>
  <c r="J1186" i="41"/>
  <c r="I1186" i="41"/>
  <c r="N1185" i="41"/>
  <c r="M1185" i="41"/>
  <c r="K1185" i="41"/>
  <c r="J1185" i="41"/>
  <c r="L1185" i="41" s="1"/>
  <c r="O1185" i="41" s="1"/>
  <c r="I1185" i="41"/>
  <c r="M1184" i="41"/>
  <c r="K1184" i="41"/>
  <c r="N1184" i="41" s="1"/>
  <c r="J1184" i="41"/>
  <c r="L1184" i="41" s="1"/>
  <c r="O1184" i="41" s="1"/>
  <c r="I1184" i="41"/>
  <c r="N1183" i="41"/>
  <c r="M1183" i="41"/>
  <c r="K1183" i="41"/>
  <c r="J1183" i="41"/>
  <c r="L1183" i="41" s="1"/>
  <c r="I1183" i="41"/>
  <c r="O1182" i="41"/>
  <c r="N1182" i="41"/>
  <c r="M1182" i="41"/>
  <c r="K1182" i="41"/>
  <c r="J1182" i="41"/>
  <c r="L1182" i="41" s="1"/>
  <c r="I1182" i="41"/>
  <c r="M1181" i="41"/>
  <c r="K1181" i="41"/>
  <c r="N1181" i="41" s="1"/>
  <c r="J1181" i="41"/>
  <c r="L1181" i="41" s="1"/>
  <c r="I1181" i="41"/>
  <c r="M1180" i="41"/>
  <c r="L1180" i="41"/>
  <c r="K1180" i="41"/>
  <c r="N1180" i="41" s="1"/>
  <c r="J1180" i="41"/>
  <c r="I1180" i="41"/>
  <c r="O1180" i="41" s="1"/>
  <c r="N1179" i="41"/>
  <c r="M1179" i="41"/>
  <c r="L1179" i="41"/>
  <c r="K1179" i="41"/>
  <c r="J1179" i="41"/>
  <c r="I1179" i="41"/>
  <c r="M1178" i="41"/>
  <c r="O1178" i="41" s="1"/>
  <c r="K1178" i="41"/>
  <c r="N1178" i="41" s="1"/>
  <c r="J1178" i="41"/>
  <c r="L1178" i="41" s="1"/>
  <c r="I1178" i="41"/>
  <c r="N1177" i="41"/>
  <c r="M1177" i="41"/>
  <c r="L1177" i="41"/>
  <c r="K1177" i="41"/>
  <c r="J1177" i="41"/>
  <c r="I1177" i="41"/>
  <c r="M1176" i="41"/>
  <c r="O1176" i="41" s="1"/>
  <c r="L1176" i="41"/>
  <c r="K1176" i="41"/>
  <c r="N1176" i="41" s="1"/>
  <c r="J1176" i="41"/>
  <c r="I1176" i="41"/>
  <c r="M1175" i="41"/>
  <c r="L1175" i="41"/>
  <c r="K1175" i="41"/>
  <c r="N1175" i="41" s="1"/>
  <c r="J1175" i="41"/>
  <c r="I1175" i="41"/>
  <c r="N1174" i="41"/>
  <c r="M1174" i="41"/>
  <c r="O1174" i="41" s="1"/>
  <c r="L1174" i="41"/>
  <c r="K1174" i="41"/>
  <c r="J1174" i="41"/>
  <c r="I1174" i="41"/>
  <c r="N1173" i="41"/>
  <c r="M1173" i="41"/>
  <c r="O1173" i="41" s="1"/>
  <c r="L1173" i="41"/>
  <c r="K1173" i="41"/>
  <c r="J1173" i="41"/>
  <c r="I1173" i="41"/>
  <c r="M1172" i="41"/>
  <c r="K1172" i="41"/>
  <c r="N1172" i="41" s="1"/>
  <c r="J1172" i="41"/>
  <c r="L1172" i="41" s="1"/>
  <c r="I1172" i="41"/>
  <c r="M1171" i="41"/>
  <c r="K1171" i="41"/>
  <c r="N1171" i="41" s="1"/>
  <c r="J1171" i="41"/>
  <c r="L1171" i="41" s="1"/>
  <c r="I1171" i="41"/>
  <c r="N1170" i="41"/>
  <c r="M1170" i="41"/>
  <c r="O1170" i="41" s="1"/>
  <c r="K1170" i="41"/>
  <c r="J1170" i="41"/>
  <c r="L1170" i="41" s="1"/>
  <c r="I1170" i="41"/>
  <c r="M1169" i="41"/>
  <c r="L1169" i="41"/>
  <c r="K1169" i="41"/>
  <c r="N1169" i="41" s="1"/>
  <c r="J1169" i="41"/>
  <c r="I1169" i="41"/>
  <c r="M1168" i="41"/>
  <c r="O1168" i="41" s="1"/>
  <c r="K1168" i="41"/>
  <c r="N1168" i="41" s="1"/>
  <c r="J1168" i="41"/>
  <c r="L1168" i="41" s="1"/>
  <c r="I1168" i="41"/>
  <c r="O1167" i="41"/>
  <c r="N1167" i="41"/>
  <c r="M1167" i="41"/>
  <c r="K1167" i="41"/>
  <c r="J1167" i="41"/>
  <c r="L1167" i="41" s="1"/>
  <c r="I1167" i="41"/>
  <c r="M1166" i="41"/>
  <c r="K1166" i="41"/>
  <c r="N1166" i="41" s="1"/>
  <c r="J1166" i="41"/>
  <c r="L1166" i="41" s="1"/>
  <c r="O1166" i="41" s="1"/>
  <c r="I1166" i="41"/>
  <c r="M1165" i="41"/>
  <c r="K1165" i="41"/>
  <c r="N1165" i="41" s="1"/>
  <c r="J1165" i="41"/>
  <c r="L1165" i="41" s="1"/>
  <c r="I1165" i="41"/>
  <c r="O1165" i="41" s="1"/>
  <c r="M1164" i="41"/>
  <c r="K1164" i="41"/>
  <c r="N1164" i="41" s="1"/>
  <c r="J1164" i="41"/>
  <c r="L1164" i="41" s="1"/>
  <c r="O1164" i="41" s="1"/>
  <c r="I1164" i="41"/>
  <c r="N1163" i="41"/>
  <c r="M1163" i="41"/>
  <c r="K1163" i="41"/>
  <c r="J1163" i="41"/>
  <c r="L1163" i="41" s="1"/>
  <c r="O1163" i="41" s="1"/>
  <c r="I1163" i="41"/>
  <c r="N1162" i="41"/>
  <c r="M1162" i="41"/>
  <c r="K1162" i="41"/>
  <c r="J1162" i="41"/>
  <c r="L1162" i="41" s="1"/>
  <c r="I1162" i="41"/>
  <c r="M1161" i="41"/>
  <c r="K1161" i="41"/>
  <c r="N1161" i="41" s="1"/>
  <c r="J1161" i="41"/>
  <c r="L1161" i="41" s="1"/>
  <c r="I1161" i="41"/>
  <c r="N1160" i="41"/>
  <c r="M1160" i="41"/>
  <c r="L1160" i="41"/>
  <c r="K1160" i="41"/>
  <c r="J1160" i="41"/>
  <c r="I1160" i="41"/>
  <c r="N1159" i="41"/>
  <c r="M1159" i="41"/>
  <c r="L1159" i="41"/>
  <c r="K1159" i="41"/>
  <c r="J1159" i="41"/>
  <c r="I1159" i="41"/>
  <c r="M1158" i="41"/>
  <c r="K1158" i="41"/>
  <c r="N1158" i="41" s="1"/>
  <c r="J1158" i="41"/>
  <c r="L1158" i="41" s="1"/>
  <c r="I1158" i="41"/>
  <c r="N1157" i="41"/>
  <c r="M1157" i="41"/>
  <c r="L1157" i="41"/>
  <c r="K1157" i="41"/>
  <c r="J1157" i="41"/>
  <c r="I1157" i="41"/>
  <c r="N1156" i="41"/>
  <c r="M1156" i="41"/>
  <c r="L1156" i="41"/>
  <c r="K1156" i="41"/>
  <c r="J1156" i="41"/>
  <c r="I1156" i="41"/>
  <c r="M1155" i="41"/>
  <c r="K1155" i="41"/>
  <c r="N1155" i="41" s="1"/>
  <c r="J1155" i="41"/>
  <c r="L1155" i="41" s="1"/>
  <c r="O1155" i="41" s="1"/>
  <c r="I1155" i="41"/>
  <c r="O1154" i="41"/>
  <c r="N1154" i="41"/>
  <c r="M1154" i="41"/>
  <c r="L1154" i="41"/>
  <c r="K1154" i="41"/>
  <c r="J1154" i="41"/>
  <c r="I1154" i="41"/>
  <c r="N1153" i="41"/>
  <c r="M1153" i="41"/>
  <c r="L1153" i="41"/>
  <c r="K1153" i="41"/>
  <c r="J1153" i="41"/>
  <c r="I1153" i="41"/>
  <c r="M1152" i="41"/>
  <c r="K1152" i="41"/>
  <c r="N1152" i="41" s="1"/>
  <c r="J1152" i="41"/>
  <c r="L1152" i="41" s="1"/>
  <c r="O1152" i="41" s="1"/>
  <c r="I1152" i="41"/>
  <c r="N1151" i="41"/>
  <c r="M1151" i="41"/>
  <c r="L1151" i="41"/>
  <c r="O1151" i="41" s="1"/>
  <c r="K1151" i="41"/>
  <c r="J1151" i="41"/>
  <c r="I1151" i="41"/>
  <c r="N1150" i="41"/>
  <c r="M1150" i="41"/>
  <c r="K1150" i="41"/>
  <c r="J1150" i="41"/>
  <c r="L1150" i="41" s="1"/>
  <c r="I1150" i="41"/>
  <c r="O1150" i="41" s="1"/>
  <c r="O1149" i="41"/>
  <c r="M1149" i="41"/>
  <c r="L1149" i="41"/>
  <c r="K1149" i="41"/>
  <c r="N1149" i="41" s="1"/>
  <c r="J1149" i="41"/>
  <c r="I1149" i="41"/>
  <c r="N1148" i="41"/>
  <c r="M1148" i="41"/>
  <c r="L1148" i="41"/>
  <c r="K1148" i="41"/>
  <c r="J1148" i="41"/>
  <c r="I1148" i="41"/>
  <c r="M1147" i="41"/>
  <c r="K1147" i="41"/>
  <c r="N1147" i="41" s="1"/>
  <c r="J1147" i="41"/>
  <c r="L1147" i="41" s="1"/>
  <c r="I1147" i="41"/>
  <c r="O1147" i="41" s="1"/>
  <c r="O1146" i="41"/>
  <c r="M1146" i="41"/>
  <c r="K1146" i="41"/>
  <c r="N1146" i="41" s="1"/>
  <c r="J1146" i="41"/>
  <c r="L1146" i="41" s="1"/>
  <c r="I1146" i="41"/>
  <c r="N1145" i="41"/>
  <c r="M1145" i="41"/>
  <c r="O1145" i="41" s="1"/>
  <c r="L1145" i="41"/>
  <c r="K1145" i="41"/>
  <c r="J1145" i="41"/>
  <c r="I1145" i="41"/>
  <c r="M1144" i="41"/>
  <c r="K1144" i="41"/>
  <c r="N1144" i="41" s="1"/>
  <c r="J1144" i="41"/>
  <c r="L1144" i="41" s="1"/>
  <c r="O1144" i="41" s="1"/>
  <c r="I1144" i="41"/>
  <c r="M1143" i="41"/>
  <c r="K1143" i="41"/>
  <c r="N1143" i="41" s="1"/>
  <c r="J1143" i="41"/>
  <c r="L1143" i="41" s="1"/>
  <c r="I1143" i="41"/>
  <c r="O1142" i="41"/>
  <c r="M1142" i="41"/>
  <c r="L1142" i="41"/>
  <c r="K1142" i="41"/>
  <c r="N1142" i="41" s="1"/>
  <c r="J1142" i="41"/>
  <c r="I1142" i="41"/>
  <c r="M1141" i="41"/>
  <c r="K1141" i="41"/>
  <c r="N1141" i="41" s="1"/>
  <c r="J1141" i="41"/>
  <c r="L1141" i="41" s="1"/>
  <c r="I1141" i="41"/>
  <c r="N1140" i="41"/>
  <c r="M1140" i="41"/>
  <c r="K1140" i="41"/>
  <c r="J1140" i="41"/>
  <c r="L1140" i="41" s="1"/>
  <c r="I1140" i="41"/>
  <c r="G1140" i="41"/>
  <c r="H1222" i="41" s="1"/>
  <c r="A1140" i="41"/>
  <c r="O1139" i="41"/>
  <c r="N1139" i="41"/>
  <c r="M1139" i="41"/>
  <c r="L1139" i="41"/>
  <c r="K1139" i="41"/>
  <c r="J1139" i="41"/>
  <c r="I1139" i="41"/>
  <c r="M1138" i="41"/>
  <c r="K1138" i="41"/>
  <c r="N1138" i="41" s="1"/>
  <c r="J1138" i="41"/>
  <c r="L1138" i="41" s="1"/>
  <c r="O1138" i="41" s="1"/>
  <c r="I1138" i="41"/>
  <c r="M1137" i="41"/>
  <c r="K1137" i="41"/>
  <c r="N1137" i="41" s="1"/>
  <c r="J1137" i="41"/>
  <c r="L1137" i="41" s="1"/>
  <c r="I1137" i="41"/>
  <c r="N1136" i="41"/>
  <c r="M1136" i="41"/>
  <c r="K1136" i="41"/>
  <c r="J1136" i="41"/>
  <c r="L1136" i="41" s="1"/>
  <c r="O1136" i="41" s="1"/>
  <c r="I1136" i="41"/>
  <c r="M1135" i="41"/>
  <c r="K1135" i="41"/>
  <c r="N1135" i="41" s="1"/>
  <c r="J1135" i="41"/>
  <c r="L1135" i="41" s="1"/>
  <c r="O1135" i="41" s="1"/>
  <c r="I1135" i="41"/>
  <c r="N1134" i="41"/>
  <c r="M1134" i="41"/>
  <c r="K1134" i="41"/>
  <c r="J1134" i="41"/>
  <c r="L1134" i="41" s="1"/>
  <c r="I1134" i="41"/>
  <c r="M1133" i="41"/>
  <c r="K1133" i="41"/>
  <c r="N1133" i="41" s="1"/>
  <c r="J1133" i="41"/>
  <c r="L1133" i="41" s="1"/>
  <c r="O1133" i="41" s="1"/>
  <c r="I1133" i="41"/>
  <c r="O1132" i="41"/>
  <c r="M1132" i="41"/>
  <c r="K1132" i="41"/>
  <c r="N1132" i="41" s="1"/>
  <c r="J1132" i="41"/>
  <c r="L1132" i="41" s="1"/>
  <c r="I1132" i="41"/>
  <c r="M1131" i="41"/>
  <c r="L1131" i="41"/>
  <c r="K1131" i="41"/>
  <c r="N1131" i="41" s="1"/>
  <c r="J1131" i="41"/>
  <c r="I1131" i="41"/>
  <c r="M1130" i="41"/>
  <c r="K1130" i="41"/>
  <c r="N1130" i="41" s="1"/>
  <c r="J1130" i="41"/>
  <c r="L1130" i="41" s="1"/>
  <c r="I1130" i="41"/>
  <c r="M1129" i="41"/>
  <c r="O1129" i="41" s="1"/>
  <c r="K1129" i="41"/>
  <c r="N1129" i="41" s="1"/>
  <c r="J1129" i="41"/>
  <c r="L1129" i="41" s="1"/>
  <c r="I1129" i="41"/>
  <c r="N1128" i="41"/>
  <c r="M1128" i="41"/>
  <c r="K1128" i="41"/>
  <c r="J1128" i="41"/>
  <c r="L1128" i="41" s="1"/>
  <c r="I1128" i="41"/>
  <c r="G1128" i="41"/>
  <c r="A1128" i="41"/>
  <c r="N1127" i="41"/>
  <c r="M1127" i="41"/>
  <c r="L1127" i="41"/>
  <c r="K1127" i="41"/>
  <c r="J1127" i="41"/>
  <c r="I1127" i="41"/>
  <c r="O1127" i="41" s="1"/>
  <c r="A1127" i="41"/>
  <c r="M1126" i="41"/>
  <c r="K1126" i="41"/>
  <c r="N1126" i="41" s="1"/>
  <c r="J1126" i="41"/>
  <c r="L1126" i="41" s="1"/>
  <c r="I1126" i="41"/>
  <c r="O1126" i="41" s="1"/>
  <c r="I1125" i="41"/>
  <c r="M1124" i="41"/>
  <c r="K1124" i="41"/>
  <c r="N1124" i="41" s="1"/>
  <c r="J1124" i="41"/>
  <c r="L1124" i="41" s="1"/>
  <c r="I1124" i="41"/>
  <c r="H1123" i="41"/>
  <c r="B1123" i="41"/>
  <c r="N1122" i="41"/>
  <c r="M1122" i="41"/>
  <c r="L1122" i="41"/>
  <c r="K1122" i="41"/>
  <c r="J1122" i="41"/>
  <c r="I1122" i="41"/>
  <c r="N1121" i="41"/>
  <c r="M1121" i="41"/>
  <c r="L1121" i="41"/>
  <c r="K1121" i="41"/>
  <c r="J1121" i="41"/>
  <c r="I1121" i="41"/>
  <c r="M1120" i="41"/>
  <c r="K1120" i="41"/>
  <c r="N1120" i="41" s="1"/>
  <c r="J1120" i="41"/>
  <c r="L1120" i="41" s="1"/>
  <c r="I1120" i="41"/>
  <c r="M1119" i="41"/>
  <c r="L1119" i="41"/>
  <c r="K1119" i="41"/>
  <c r="N1119" i="41" s="1"/>
  <c r="J1119" i="41"/>
  <c r="I1119" i="41"/>
  <c r="N1118" i="41"/>
  <c r="M1118" i="41"/>
  <c r="L1118" i="41"/>
  <c r="K1118" i="41"/>
  <c r="J1118" i="41"/>
  <c r="I1118" i="41"/>
  <c r="M1116" i="41"/>
  <c r="L1116" i="41"/>
  <c r="K1116" i="41"/>
  <c r="N1116" i="41" s="1"/>
  <c r="J1116" i="41"/>
  <c r="I1116" i="41"/>
  <c r="M1115" i="41"/>
  <c r="L1115" i="41"/>
  <c r="K1115" i="41"/>
  <c r="N1115" i="41" s="1"/>
  <c r="J1115" i="41"/>
  <c r="I1115" i="41"/>
  <c r="N1114" i="41"/>
  <c r="M1114" i="41"/>
  <c r="K1114" i="41"/>
  <c r="J1114" i="41"/>
  <c r="L1114" i="41" s="1"/>
  <c r="I1114" i="41"/>
  <c r="O1113" i="41"/>
  <c r="M1113" i="41"/>
  <c r="L1113" i="41"/>
  <c r="K1113" i="41"/>
  <c r="N1113" i="41" s="1"/>
  <c r="J1113" i="41"/>
  <c r="I1113" i="41"/>
  <c r="M1112" i="41"/>
  <c r="O1112" i="41" s="1"/>
  <c r="L1112" i="41"/>
  <c r="K1112" i="41"/>
  <c r="N1112" i="41" s="1"/>
  <c r="J1112" i="41"/>
  <c r="I1112" i="41"/>
  <c r="M1111" i="41"/>
  <c r="K1111" i="41"/>
  <c r="N1111" i="41" s="1"/>
  <c r="J1111" i="41"/>
  <c r="L1111" i="41" s="1"/>
  <c r="I1111" i="41"/>
  <c r="N1110" i="41"/>
  <c r="M1110" i="41"/>
  <c r="L1110" i="41"/>
  <c r="K1110" i="41"/>
  <c r="J1110" i="41"/>
  <c r="I1110" i="41"/>
  <c r="O1110" i="41" s="1"/>
  <c r="G1110" i="41"/>
  <c r="A1110" i="41"/>
  <c r="N1109" i="41"/>
  <c r="M1109" i="41"/>
  <c r="K1109" i="41"/>
  <c r="J1109" i="41"/>
  <c r="L1109" i="41" s="1"/>
  <c r="O1109" i="41" s="1"/>
  <c r="I1109" i="41"/>
  <c r="A1109" i="41"/>
  <c r="N1108" i="41"/>
  <c r="M1108" i="41"/>
  <c r="K1108" i="41"/>
  <c r="J1108" i="41"/>
  <c r="L1108" i="41" s="1"/>
  <c r="O1108" i="41" s="1"/>
  <c r="I1108" i="41"/>
  <c r="B1106" i="41"/>
  <c r="O1105" i="41"/>
  <c r="M1105" i="41"/>
  <c r="K1105" i="41"/>
  <c r="N1105" i="41" s="1"/>
  <c r="J1105" i="41"/>
  <c r="L1105" i="41" s="1"/>
  <c r="I1105" i="41"/>
  <c r="M1104" i="41"/>
  <c r="K1104" i="41"/>
  <c r="N1104" i="41" s="1"/>
  <c r="J1104" i="41"/>
  <c r="L1104" i="41" s="1"/>
  <c r="O1104" i="41" s="1"/>
  <c r="I1104" i="41"/>
  <c r="N1103" i="41"/>
  <c r="M1103" i="41"/>
  <c r="O1103" i="41" s="1"/>
  <c r="K1103" i="41"/>
  <c r="J1103" i="41"/>
  <c r="L1103" i="41" s="1"/>
  <c r="I1103" i="41"/>
  <c r="M1102" i="41"/>
  <c r="K1102" i="41"/>
  <c r="N1102" i="41" s="1"/>
  <c r="J1102" i="41"/>
  <c r="L1102" i="41" s="1"/>
  <c r="I1102" i="41"/>
  <c r="M1101" i="41"/>
  <c r="K1101" i="41"/>
  <c r="N1101" i="41" s="1"/>
  <c r="J1101" i="41"/>
  <c r="L1101" i="41" s="1"/>
  <c r="O1101" i="41" s="1"/>
  <c r="I1101" i="41"/>
  <c r="M1100" i="41"/>
  <c r="K1100" i="41"/>
  <c r="N1100" i="41" s="1"/>
  <c r="J1100" i="41"/>
  <c r="L1100" i="41" s="1"/>
  <c r="O1100" i="41" s="1"/>
  <c r="I1100" i="41"/>
  <c r="M1099" i="41"/>
  <c r="K1099" i="41"/>
  <c r="N1099" i="41" s="1"/>
  <c r="J1099" i="41"/>
  <c r="L1099" i="41" s="1"/>
  <c r="I1099" i="41"/>
  <c r="G1099" i="41"/>
  <c r="A1099" i="41"/>
  <c r="M1098" i="41"/>
  <c r="K1098" i="41"/>
  <c r="N1098" i="41" s="1"/>
  <c r="J1098" i="41"/>
  <c r="L1098" i="41" s="1"/>
  <c r="I1098" i="41"/>
  <c r="O1094" i="41"/>
  <c r="M1094" i="41"/>
  <c r="K1094" i="41"/>
  <c r="N1094" i="41" s="1"/>
  <c r="J1094" i="41"/>
  <c r="L1094" i="41" s="1"/>
  <c r="I1094" i="41"/>
  <c r="N1093" i="41"/>
  <c r="M1093" i="41"/>
  <c r="L1093" i="41"/>
  <c r="K1093" i="41"/>
  <c r="J1093" i="41"/>
  <c r="I1093" i="41"/>
  <c r="M1087" i="41"/>
  <c r="L1087" i="41"/>
  <c r="K1087" i="41"/>
  <c r="N1087" i="41" s="1"/>
  <c r="J1087" i="41"/>
  <c r="I1087" i="41"/>
  <c r="O1086" i="41"/>
  <c r="N1086" i="41"/>
  <c r="M1086" i="41"/>
  <c r="L1086" i="41"/>
  <c r="K1086" i="41"/>
  <c r="J1086" i="41"/>
  <c r="I1086" i="41"/>
  <c r="O1085" i="41"/>
  <c r="N1085" i="41"/>
  <c r="M1085" i="41"/>
  <c r="K1085" i="41"/>
  <c r="J1085" i="41"/>
  <c r="L1085" i="41" s="1"/>
  <c r="I1085" i="41"/>
  <c r="M1084" i="41"/>
  <c r="K1084" i="41"/>
  <c r="N1084" i="41" s="1"/>
  <c r="J1084" i="41"/>
  <c r="L1084" i="41" s="1"/>
  <c r="I1084" i="41"/>
  <c r="N1083" i="41"/>
  <c r="M1083" i="41"/>
  <c r="L1083" i="41"/>
  <c r="O1083" i="41" s="1"/>
  <c r="K1083" i="41"/>
  <c r="J1083" i="41"/>
  <c r="I1083" i="41"/>
  <c r="O1082" i="41"/>
  <c r="N1082" i="41"/>
  <c r="M1082" i="41"/>
  <c r="K1082" i="41"/>
  <c r="J1082" i="41"/>
  <c r="L1082" i="41" s="1"/>
  <c r="I1082" i="41"/>
  <c r="M1081" i="41"/>
  <c r="L1081" i="41"/>
  <c r="K1081" i="41"/>
  <c r="N1081" i="41" s="1"/>
  <c r="J1081" i="41"/>
  <c r="I1081" i="41"/>
  <c r="N1080" i="41"/>
  <c r="M1080" i="41"/>
  <c r="L1080" i="41"/>
  <c r="O1080" i="41" s="1"/>
  <c r="K1080" i="41"/>
  <c r="J1080" i="41"/>
  <c r="I1080" i="41"/>
  <c r="M1079" i="41"/>
  <c r="L1079" i="41"/>
  <c r="O1079" i="41" s="1"/>
  <c r="K1079" i="41"/>
  <c r="N1079" i="41" s="1"/>
  <c r="J1079" i="41"/>
  <c r="I1079" i="41"/>
  <c r="M1078" i="41"/>
  <c r="L1078" i="41"/>
  <c r="K1078" i="41"/>
  <c r="N1078" i="41" s="1"/>
  <c r="J1078" i="41"/>
  <c r="I1078" i="41"/>
  <c r="N1077" i="41"/>
  <c r="M1077" i="41"/>
  <c r="L1077" i="41"/>
  <c r="O1077" i="41" s="1"/>
  <c r="K1077" i="41"/>
  <c r="J1077" i="41"/>
  <c r="I1077" i="41"/>
  <c r="M1076" i="41"/>
  <c r="L1076" i="41"/>
  <c r="K1076" i="41"/>
  <c r="N1076" i="41" s="1"/>
  <c r="J1076" i="41"/>
  <c r="I1076" i="41"/>
  <c r="M1075" i="41"/>
  <c r="K1075" i="41"/>
  <c r="N1075" i="41" s="1"/>
  <c r="J1075" i="41"/>
  <c r="L1075" i="41" s="1"/>
  <c r="I1075" i="41"/>
  <c r="O1074" i="41"/>
  <c r="N1074" i="41"/>
  <c r="M1074" i="41"/>
  <c r="K1074" i="41"/>
  <c r="J1074" i="41"/>
  <c r="L1074" i="41" s="1"/>
  <c r="I1074" i="41"/>
  <c r="M1073" i="41"/>
  <c r="K1073" i="41"/>
  <c r="N1073" i="41" s="1"/>
  <c r="J1073" i="41"/>
  <c r="L1073" i="41" s="1"/>
  <c r="I1073" i="41"/>
  <c r="M1072" i="41"/>
  <c r="O1072" i="41" s="1"/>
  <c r="L1072" i="41"/>
  <c r="K1072" i="41"/>
  <c r="N1072" i="41" s="1"/>
  <c r="J1072" i="41"/>
  <c r="I1072" i="41"/>
  <c r="M1071" i="41"/>
  <c r="O1071" i="41" s="1"/>
  <c r="L1071" i="41"/>
  <c r="K1071" i="41"/>
  <c r="N1071" i="41" s="1"/>
  <c r="J1071" i="41"/>
  <c r="I1071" i="41"/>
  <c r="O1070" i="41"/>
  <c r="N1070" i="41"/>
  <c r="M1070" i="41"/>
  <c r="L1070" i="41"/>
  <c r="K1070" i="41"/>
  <c r="J1070" i="41"/>
  <c r="I1070" i="41"/>
  <c r="M1069" i="41"/>
  <c r="L1069" i="41"/>
  <c r="K1069" i="41"/>
  <c r="N1069" i="41" s="1"/>
  <c r="J1069" i="41"/>
  <c r="I1069" i="41"/>
  <c r="N1068" i="41"/>
  <c r="M1068" i="41"/>
  <c r="L1068" i="41"/>
  <c r="K1068" i="41"/>
  <c r="J1068" i="41"/>
  <c r="I1068" i="41"/>
  <c r="O1067" i="41"/>
  <c r="N1067" i="41"/>
  <c r="M1067" i="41"/>
  <c r="L1067" i="41"/>
  <c r="K1067" i="41"/>
  <c r="J1067" i="41"/>
  <c r="I1067" i="41"/>
  <c r="N1066" i="41"/>
  <c r="M1066" i="41"/>
  <c r="L1066" i="41"/>
  <c r="K1066" i="41"/>
  <c r="J1066" i="41"/>
  <c r="I1066" i="41"/>
  <c r="M1065" i="41"/>
  <c r="K1065" i="41"/>
  <c r="N1065" i="41" s="1"/>
  <c r="J1065" i="41"/>
  <c r="L1065" i="41" s="1"/>
  <c r="I1065" i="41"/>
  <c r="O1064" i="41"/>
  <c r="N1064" i="41"/>
  <c r="M1064" i="41"/>
  <c r="L1064" i="41"/>
  <c r="K1064" i="41"/>
  <c r="J1064" i="41"/>
  <c r="I1064" i="41"/>
  <c r="M1063" i="41"/>
  <c r="K1063" i="41"/>
  <c r="N1063" i="41" s="1"/>
  <c r="J1063" i="41"/>
  <c r="L1063" i="41" s="1"/>
  <c r="I1063" i="41"/>
  <c r="M1062" i="41"/>
  <c r="K1062" i="41"/>
  <c r="N1062" i="41" s="1"/>
  <c r="J1062" i="41"/>
  <c r="L1062" i="41" s="1"/>
  <c r="O1062" i="41" s="1"/>
  <c r="I1062" i="41"/>
  <c r="N1061" i="41"/>
  <c r="M1061" i="41"/>
  <c r="O1061" i="41" s="1"/>
  <c r="L1061" i="41"/>
  <c r="K1061" i="41"/>
  <c r="J1061" i="41"/>
  <c r="I1061" i="41"/>
  <c r="N1060" i="41"/>
  <c r="M1060" i="41"/>
  <c r="L1060" i="41"/>
  <c r="K1060" i="41"/>
  <c r="J1060" i="41"/>
  <c r="I1060" i="41"/>
  <c r="M1059" i="41"/>
  <c r="K1059" i="41"/>
  <c r="N1059" i="41" s="1"/>
  <c r="J1059" i="41"/>
  <c r="L1059" i="41" s="1"/>
  <c r="I1059" i="41"/>
  <c r="N1058" i="41"/>
  <c r="M1058" i="41"/>
  <c r="L1058" i="41"/>
  <c r="K1058" i="41"/>
  <c r="J1058" i="41"/>
  <c r="I1058" i="41"/>
  <c r="M1057" i="41"/>
  <c r="K1057" i="41"/>
  <c r="N1057" i="41" s="1"/>
  <c r="J1057" i="41"/>
  <c r="L1057" i="41" s="1"/>
  <c r="I1057" i="41"/>
  <c r="M1056" i="41"/>
  <c r="L1056" i="41"/>
  <c r="K1056" i="41"/>
  <c r="N1056" i="41" s="1"/>
  <c r="J1056" i="41"/>
  <c r="I1056" i="41"/>
  <c r="G1056" i="41"/>
  <c r="A1056" i="41"/>
  <c r="M1055" i="41"/>
  <c r="O1055" i="41" s="1"/>
  <c r="L1055" i="41"/>
  <c r="K1055" i="41"/>
  <c r="N1055" i="41" s="1"/>
  <c r="J1055" i="41"/>
  <c r="I1055" i="41"/>
  <c r="N1054" i="41"/>
  <c r="M1054" i="41"/>
  <c r="L1054" i="41"/>
  <c r="K1054" i="41"/>
  <c r="J1054" i="41"/>
  <c r="I1054" i="41"/>
  <c r="O1053" i="41"/>
  <c r="N1053" i="41"/>
  <c r="M1053" i="41"/>
  <c r="K1053" i="41"/>
  <c r="J1053" i="41"/>
  <c r="L1053" i="41" s="1"/>
  <c r="I1053" i="41"/>
  <c r="N1052" i="41"/>
  <c r="M1052" i="41"/>
  <c r="L1052" i="41"/>
  <c r="K1052" i="41"/>
  <c r="J1052" i="41"/>
  <c r="I1052" i="41"/>
  <c r="M1051" i="41"/>
  <c r="O1051" i="41" s="1"/>
  <c r="K1051" i="41"/>
  <c r="N1051" i="41" s="1"/>
  <c r="J1051" i="41"/>
  <c r="L1051" i="41" s="1"/>
  <c r="I1051" i="41"/>
  <c r="M1050" i="41"/>
  <c r="O1050" i="41" s="1"/>
  <c r="K1050" i="41"/>
  <c r="N1050" i="41" s="1"/>
  <c r="J1050" i="41"/>
  <c r="L1050" i="41" s="1"/>
  <c r="I1050" i="41"/>
  <c r="O1049" i="41"/>
  <c r="N1049" i="41"/>
  <c r="M1049" i="41"/>
  <c r="L1049" i="41"/>
  <c r="K1049" i="41"/>
  <c r="J1049" i="41"/>
  <c r="I1049" i="41"/>
  <c r="N1048" i="41"/>
  <c r="M1048" i="41"/>
  <c r="L1048" i="41"/>
  <c r="K1048" i="41"/>
  <c r="J1048" i="41"/>
  <c r="I1048" i="41"/>
  <c r="M1047" i="41"/>
  <c r="K1047" i="41"/>
  <c r="N1047" i="41" s="1"/>
  <c r="J1047" i="41"/>
  <c r="L1047" i="41" s="1"/>
  <c r="I1047" i="41"/>
  <c r="G1047" i="41"/>
  <c r="A1047" i="41"/>
  <c r="M1046" i="41"/>
  <c r="K1046" i="41"/>
  <c r="N1046" i="41" s="1"/>
  <c r="J1046" i="41"/>
  <c r="L1046" i="41" s="1"/>
  <c r="O1046" i="41" s="1"/>
  <c r="I1046" i="41"/>
  <c r="M1045" i="41"/>
  <c r="L1045" i="41"/>
  <c r="O1045" i="41" s="1"/>
  <c r="K1045" i="41"/>
  <c r="N1045" i="41" s="1"/>
  <c r="J1045" i="41"/>
  <c r="I1045" i="41"/>
  <c r="N1044" i="41"/>
  <c r="M1044" i="41"/>
  <c r="K1044" i="41"/>
  <c r="J1044" i="41"/>
  <c r="L1044" i="41" s="1"/>
  <c r="O1044" i="41" s="1"/>
  <c r="I1044" i="41"/>
  <c r="O1043" i="41"/>
  <c r="M1043" i="41"/>
  <c r="L1043" i="41"/>
  <c r="K1043" i="41"/>
  <c r="N1043" i="41" s="1"/>
  <c r="J1043" i="41"/>
  <c r="I1043" i="41"/>
  <c r="M1042" i="41"/>
  <c r="K1042" i="41"/>
  <c r="N1042" i="41" s="1"/>
  <c r="J1042" i="41"/>
  <c r="L1042" i="41" s="1"/>
  <c r="I1042" i="41"/>
  <c r="M1041" i="41"/>
  <c r="K1041" i="41"/>
  <c r="N1041" i="41" s="1"/>
  <c r="J1041" i="41"/>
  <c r="L1041" i="41" s="1"/>
  <c r="O1041" i="41" s="1"/>
  <c r="I1041" i="41"/>
  <c r="N1040" i="41"/>
  <c r="M1040" i="41"/>
  <c r="K1040" i="41"/>
  <c r="J1040" i="41"/>
  <c r="L1040" i="41" s="1"/>
  <c r="O1040" i="41" s="1"/>
  <c r="I1040" i="41"/>
  <c r="O1039" i="41"/>
  <c r="M1039" i="41"/>
  <c r="K1039" i="41"/>
  <c r="N1039" i="41" s="1"/>
  <c r="J1039" i="41"/>
  <c r="L1039" i="41" s="1"/>
  <c r="I1039" i="41"/>
  <c r="M1038" i="41"/>
  <c r="O1038" i="41" s="1"/>
  <c r="K1038" i="41"/>
  <c r="N1038" i="41" s="1"/>
  <c r="J1038" i="41"/>
  <c r="L1038" i="41" s="1"/>
  <c r="I1038" i="41"/>
  <c r="M1037" i="41"/>
  <c r="K1037" i="41"/>
  <c r="N1037" i="41" s="1"/>
  <c r="J1037" i="41"/>
  <c r="L1037" i="41" s="1"/>
  <c r="I1037" i="41"/>
  <c r="O1036" i="41"/>
  <c r="N1036" i="41"/>
  <c r="M1036" i="41"/>
  <c r="K1036" i="41"/>
  <c r="J1036" i="41"/>
  <c r="L1036" i="41" s="1"/>
  <c r="I1036" i="41"/>
  <c r="M1035" i="41"/>
  <c r="L1035" i="41"/>
  <c r="K1035" i="41"/>
  <c r="N1035" i="41" s="1"/>
  <c r="J1035" i="41"/>
  <c r="I1035" i="41"/>
  <c r="M1034" i="41"/>
  <c r="L1034" i="41"/>
  <c r="K1034" i="41"/>
  <c r="N1034" i="41" s="1"/>
  <c r="J1034" i="41"/>
  <c r="I1034" i="41"/>
  <c r="N1033" i="41"/>
  <c r="M1033" i="41"/>
  <c r="L1033" i="41"/>
  <c r="K1033" i="41"/>
  <c r="J1033" i="41"/>
  <c r="I1033" i="41"/>
  <c r="O1032" i="41"/>
  <c r="M1032" i="41"/>
  <c r="K1032" i="41"/>
  <c r="N1032" i="41" s="1"/>
  <c r="J1032" i="41"/>
  <c r="L1032" i="41" s="1"/>
  <c r="I1032" i="41"/>
  <c r="M1031" i="41"/>
  <c r="L1031" i="41"/>
  <c r="K1031" i="41"/>
  <c r="N1031" i="41" s="1"/>
  <c r="J1031" i="41"/>
  <c r="I1031" i="41"/>
  <c r="M1030" i="41"/>
  <c r="O1030" i="41" s="1"/>
  <c r="L1030" i="41"/>
  <c r="K1030" i="41"/>
  <c r="N1030" i="41" s="1"/>
  <c r="J1030" i="41"/>
  <c r="I1030" i="41"/>
  <c r="N1029" i="41"/>
  <c r="M1029" i="41"/>
  <c r="O1029" i="41" s="1"/>
  <c r="K1029" i="41"/>
  <c r="J1029" i="41"/>
  <c r="L1029" i="41" s="1"/>
  <c r="I1029" i="41"/>
  <c r="M1028" i="41"/>
  <c r="L1028" i="41"/>
  <c r="K1028" i="41"/>
  <c r="N1028" i="41" s="1"/>
  <c r="J1028" i="41"/>
  <c r="I1028" i="41"/>
  <c r="M1027" i="41"/>
  <c r="L1027" i="41"/>
  <c r="K1027" i="41"/>
  <c r="N1027" i="41" s="1"/>
  <c r="J1027" i="41"/>
  <c r="I1027" i="41"/>
  <c r="M1026" i="41"/>
  <c r="K1026" i="41"/>
  <c r="N1026" i="41" s="1"/>
  <c r="J1026" i="41"/>
  <c r="L1026" i="41" s="1"/>
  <c r="I1026" i="41"/>
  <c r="N1025" i="41"/>
  <c r="M1025" i="41"/>
  <c r="K1025" i="41"/>
  <c r="J1025" i="41"/>
  <c r="L1025" i="41" s="1"/>
  <c r="I1025" i="41"/>
  <c r="M1024" i="41"/>
  <c r="K1024" i="41"/>
  <c r="N1024" i="41" s="1"/>
  <c r="J1024" i="41"/>
  <c r="L1024" i="41" s="1"/>
  <c r="O1024" i="41" s="1"/>
  <c r="I1024" i="41"/>
  <c r="M1023" i="41"/>
  <c r="O1023" i="41" s="1"/>
  <c r="L1023" i="41"/>
  <c r="K1023" i="41"/>
  <c r="N1023" i="41" s="1"/>
  <c r="J1023" i="41"/>
  <c r="I1023" i="41"/>
  <c r="N1022" i="41"/>
  <c r="M1022" i="41"/>
  <c r="K1022" i="41"/>
  <c r="J1022" i="41"/>
  <c r="L1022" i="41" s="1"/>
  <c r="I1022" i="41"/>
  <c r="O1021" i="41"/>
  <c r="N1021" i="41"/>
  <c r="M1021" i="41"/>
  <c r="L1021" i="41"/>
  <c r="K1021" i="41"/>
  <c r="J1021" i="41"/>
  <c r="I1021" i="41"/>
  <c r="N1020" i="41"/>
  <c r="M1020" i="41"/>
  <c r="L1020" i="41"/>
  <c r="K1020" i="41"/>
  <c r="J1020" i="41"/>
  <c r="I1020" i="41"/>
  <c r="M1019" i="41"/>
  <c r="K1019" i="41"/>
  <c r="N1019" i="41" s="1"/>
  <c r="J1019" i="41"/>
  <c r="L1019" i="41" s="1"/>
  <c r="I1019" i="41"/>
  <c r="M1018" i="41"/>
  <c r="K1018" i="41"/>
  <c r="N1018" i="41" s="1"/>
  <c r="J1018" i="41"/>
  <c r="L1018" i="41" s="1"/>
  <c r="I1018" i="41"/>
  <c r="M1017" i="41"/>
  <c r="O1017" i="41" s="1"/>
  <c r="K1017" i="41"/>
  <c r="N1017" i="41" s="1"/>
  <c r="J1017" i="41"/>
  <c r="L1017" i="41" s="1"/>
  <c r="I1017" i="41"/>
  <c r="N1016" i="41"/>
  <c r="M1016" i="41"/>
  <c r="L1016" i="41"/>
  <c r="K1016" i="41"/>
  <c r="J1016" i="41"/>
  <c r="I1016" i="41"/>
  <c r="M1015" i="41"/>
  <c r="K1015" i="41"/>
  <c r="N1015" i="41" s="1"/>
  <c r="J1015" i="41"/>
  <c r="L1015" i="41" s="1"/>
  <c r="O1015" i="41" s="1"/>
  <c r="I1015" i="41"/>
  <c r="O1014" i="41"/>
  <c r="N1014" i="41"/>
  <c r="M1014" i="41"/>
  <c r="L1014" i="41"/>
  <c r="K1014" i="41"/>
  <c r="J1014" i="41"/>
  <c r="I1014" i="41"/>
  <c r="M1013" i="41"/>
  <c r="O1013" i="41" s="1"/>
  <c r="K1013" i="41"/>
  <c r="N1013" i="41" s="1"/>
  <c r="J1013" i="41"/>
  <c r="L1013" i="41" s="1"/>
  <c r="I1013" i="41"/>
  <c r="M1012" i="41"/>
  <c r="K1012" i="41"/>
  <c r="N1012" i="41" s="1"/>
  <c r="J1012" i="41"/>
  <c r="L1012" i="41" s="1"/>
  <c r="O1012" i="41" s="1"/>
  <c r="I1012" i="41"/>
  <c r="O1011" i="41"/>
  <c r="M1011" i="41"/>
  <c r="L1011" i="41"/>
  <c r="K1011" i="41"/>
  <c r="N1011" i="41" s="1"/>
  <c r="J1011" i="41"/>
  <c r="I1011" i="41"/>
  <c r="M1010" i="41"/>
  <c r="L1010" i="41"/>
  <c r="K1010" i="41"/>
  <c r="N1010" i="41" s="1"/>
  <c r="J1010" i="41"/>
  <c r="I1010" i="41"/>
  <c r="N1009" i="41"/>
  <c r="M1009" i="41"/>
  <c r="O1009" i="41" s="1"/>
  <c r="K1009" i="41"/>
  <c r="J1009" i="41"/>
  <c r="L1009" i="41" s="1"/>
  <c r="I1009" i="41"/>
  <c r="N1008" i="41"/>
  <c r="M1008" i="41"/>
  <c r="O1008" i="41" s="1"/>
  <c r="L1008" i="41"/>
  <c r="K1008" i="41"/>
  <c r="J1008" i="41"/>
  <c r="I1008" i="41"/>
  <c r="M1007" i="41"/>
  <c r="L1007" i="41"/>
  <c r="O1007" i="41" s="1"/>
  <c r="K1007" i="41"/>
  <c r="N1007" i="41" s="1"/>
  <c r="J1007" i="41"/>
  <c r="I1007" i="41"/>
  <c r="M1006" i="41"/>
  <c r="K1006" i="41"/>
  <c r="N1006" i="41" s="1"/>
  <c r="J1006" i="41"/>
  <c r="L1006" i="41" s="1"/>
  <c r="O1006" i="41" s="1"/>
  <c r="I1006" i="41"/>
  <c r="M1005" i="41"/>
  <c r="O1005" i="41" s="1"/>
  <c r="L1005" i="41"/>
  <c r="K1005" i="41"/>
  <c r="N1005" i="41" s="1"/>
  <c r="J1005" i="41"/>
  <c r="I1005" i="41"/>
  <c r="M1004" i="41"/>
  <c r="K1004" i="41"/>
  <c r="N1004" i="41" s="1"/>
  <c r="J1004" i="41"/>
  <c r="L1004" i="41" s="1"/>
  <c r="I1004" i="41"/>
  <c r="O1003" i="41"/>
  <c r="N1003" i="41"/>
  <c r="M1003" i="41"/>
  <c r="L1003" i="41"/>
  <c r="K1003" i="41"/>
  <c r="J1003" i="41"/>
  <c r="I1003" i="41"/>
  <c r="M1002" i="41"/>
  <c r="K1002" i="41"/>
  <c r="N1002" i="41" s="1"/>
  <c r="J1002" i="41"/>
  <c r="L1002" i="41" s="1"/>
  <c r="I1002" i="41"/>
  <c r="M1001" i="41"/>
  <c r="K1001" i="41"/>
  <c r="N1001" i="41" s="1"/>
  <c r="J1001" i="41"/>
  <c r="L1001" i="41" s="1"/>
  <c r="I1001" i="41"/>
  <c r="N1000" i="41"/>
  <c r="M1000" i="41"/>
  <c r="O1000" i="41" s="1"/>
  <c r="K1000" i="41"/>
  <c r="J1000" i="41"/>
  <c r="L1000" i="41" s="1"/>
  <c r="I1000" i="41"/>
  <c r="O999" i="41"/>
  <c r="N999" i="41"/>
  <c r="M999" i="41"/>
  <c r="L999" i="41"/>
  <c r="K999" i="41"/>
  <c r="J999" i="41"/>
  <c r="I999" i="41"/>
  <c r="M998" i="41"/>
  <c r="K998" i="41"/>
  <c r="N998" i="41" s="1"/>
  <c r="J998" i="41"/>
  <c r="L998" i="41" s="1"/>
  <c r="I998" i="41"/>
  <c r="N997" i="41"/>
  <c r="M997" i="41"/>
  <c r="K997" i="41"/>
  <c r="J997" i="41"/>
  <c r="L997" i="41" s="1"/>
  <c r="I997" i="41"/>
  <c r="N996" i="41"/>
  <c r="M996" i="41"/>
  <c r="O996" i="41" s="1"/>
  <c r="L996" i="41"/>
  <c r="K996" i="41"/>
  <c r="J996" i="41"/>
  <c r="I996" i="41"/>
  <c r="N995" i="41"/>
  <c r="M995" i="41"/>
  <c r="K995" i="41"/>
  <c r="J995" i="41"/>
  <c r="L995" i="41" s="1"/>
  <c r="I995" i="41"/>
  <c r="O994" i="41"/>
  <c r="N994" i="41"/>
  <c r="M994" i="41"/>
  <c r="K994" i="41"/>
  <c r="J994" i="41"/>
  <c r="L994" i="41" s="1"/>
  <c r="I994" i="41"/>
  <c r="N993" i="41"/>
  <c r="M993" i="41"/>
  <c r="L993" i="41"/>
  <c r="K993" i="41"/>
  <c r="J993" i="41"/>
  <c r="I993" i="41"/>
  <c r="M992" i="41"/>
  <c r="K992" i="41"/>
  <c r="N992" i="41" s="1"/>
  <c r="J992" i="41"/>
  <c r="L992" i="41" s="1"/>
  <c r="O992" i="41" s="1"/>
  <c r="I992" i="41"/>
  <c r="M991" i="41"/>
  <c r="L991" i="41"/>
  <c r="O991" i="41" s="1"/>
  <c r="K991" i="41"/>
  <c r="N991" i="41" s="1"/>
  <c r="J991" i="41"/>
  <c r="I991" i="41"/>
  <c r="O990" i="41"/>
  <c r="N990" i="41"/>
  <c r="M990" i="41"/>
  <c r="L990" i="41"/>
  <c r="K990" i="41"/>
  <c r="J990" i="41"/>
  <c r="I990" i="41"/>
  <c r="O989" i="41"/>
  <c r="M989" i="41"/>
  <c r="K989" i="41"/>
  <c r="N989" i="41" s="1"/>
  <c r="J989" i="41"/>
  <c r="L989" i="41" s="1"/>
  <c r="I989" i="41"/>
  <c r="N988" i="41"/>
  <c r="M988" i="41"/>
  <c r="K988" i="41"/>
  <c r="J988" i="41"/>
  <c r="L988" i="41" s="1"/>
  <c r="I988" i="41"/>
  <c r="N987" i="41"/>
  <c r="M987" i="41"/>
  <c r="L987" i="41"/>
  <c r="K987" i="41"/>
  <c r="J987" i="41"/>
  <c r="I987" i="41"/>
  <c r="M986" i="41"/>
  <c r="K986" i="41"/>
  <c r="N986" i="41" s="1"/>
  <c r="J986" i="41"/>
  <c r="L986" i="41" s="1"/>
  <c r="O986" i="41" s="1"/>
  <c r="I986" i="41"/>
  <c r="M985" i="41"/>
  <c r="O985" i="41" s="1"/>
  <c r="K985" i="41"/>
  <c r="N985" i="41" s="1"/>
  <c r="J985" i="41"/>
  <c r="L985" i="41" s="1"/>
  <c r="I985" i="41"/>
  <c r="O984" i="41"/>
  <c r="N984" i="41"/>
  <c r="M984" i="41"/>
  <c r="K984" i="41"/>
  <c r="J984" i="41"/>
  <c r="L984" i="41" s="1"/>
  <c r="I984" i="41"/>
  <c r="M983" i="41"/>
  <c r="K983" i="41"/>
  <c r="N983" i="41" s="1"/>
  <c r="J983" i="41"/>
  <c r="L983" i="41" s="1"/>
  <c r="O983" i="41" s="1"/>
  <c r="I983" i="41"/>
  <c r="O982" i="41"/>
  <c r="N982" i="41"/>
  <c r="M982" i="41"/>
  <c r="K982" i="41"/>
  <c r="J982" i="41"/>
  <c r="L982" i="41" s="1"/>
  <c r="I982" i="41"/>
  <c r="N981" i="41"/>
  <c r="M981" i="41"/>
  <c r="K981" i="41"/>
  <c r="J981" i="41"/>
  <c r="L981" i="41" s="1"/>
  <c r="O981" i="41" s="1"/>
  <c r="I981" i="41"/>
  <c r="M980" i="41"/>
  <c r="K980" i="41"/>
  <c r="N980" i="41" s="1"/>
  <c r="J980" i="41"/>
  <c r="L980" i="41" s="1"/>
  <c r="I980" i="41"/>
  <c r="O980" i="41" s="1"/>
  <c r="N979" i="41"/>
  <c r="M979" i="41"/>
  <c r="O979" i="41" s="1"/>
  <c r="K979" i="41"/>
  <c r="J979" i="41"/>
  <c r="L979" i="41" s="1"/>
  <c r="I979" i="41"/>
  <c r="G979" i="41"/>
  <c r="A979" i="41"/>
  <c r="M978" i="41"/>
  <c r="K978" i="41"/>
  <c r="N978" i="41" s="1"/>
  <c r="J978" i="41"/>
  <c r="L978" i="41" s="1"/>
  <c r="I978" i="41"/>
  <c r="A978" i="41"/>
  <c r="M977" i="41"/>
  <c r="K977" i="41"/>
  <c r="N977" i="41" s="1"/>
  <c r="J977" i="41"/>
  <c r="L977" i="41" s="1"/>
  <c r="I977" i="41"/>
  <c r="N974" i="41"/>
  <c r="M974" i="41"/>
  <c r="O974" i="41" s="1"/>
  <c r="L974" i="41"/>
  <c r="K974" i="41"/>
  <c r="J974" i="41"/>
  <c r="I974" i="41"/>
  <c r="B974" i="41"/>
  <c r="N970" i="41"/>
  <c r="M970" i="41"/>
  <c r="O970" i="41" s="1"/>
  <c r="L970" i="41"/>
  <c r="K970" i="41"/>
  <c r="J970" i="41"/>
  <c r="I970" i="41"/>
  <c r="M969" i="41"/>
  <c r="K969" i="41"/>
  <c r="N969" i="41" s="1"/>
  <c r="J969" i="41"/>
  <c r="L969" i="41" s="1"/>
  <c r="I969" i="41"/>
  <c r="O968" i="41"/>
  <c r="N968" i="41"/>
  <c r="M968" i="41"/>
  <c r="K968" i="41"/>
  <c r="J968" i="41"/>
  <c r="L968" i="41" s="1"/>
  <c r="I968" i="41"/>
  <c r="N967" i="41"/>
  <c r="M967" i="41"/>
  <c r="L967" i="41"/>
  <c r="K967" i="41"/>
  <c r="J967" i="41"/>
  <c r="I967" i="41"/>
  <c r="M966" i="41"/>
  <c r="K966" i="41"/>
  <c r="N966" i="41" s="1"/>
  <c r="J966" i="41"/>
  <c r="L966" i="41" s="1"/>
  <c r="I966" i="41"/>
  <c r="O965" i="41"/>
  <c r="M965" i="41"/>
  <c r="K965" i="41"/>
  <c r="N965" i="41" s="1"/>
  <c r="J965" i="41"/>
  <c r="L965" i="41" s="1"/>
  <c r="I965" i="41"/>
  <c r="M964" i="41"/>
  <c r="L964" i="41"/>
  <c r="K964" i="41"/>
  <c r="N964" i="41" s="1"/>
  <c r="J964" i="41"/>
  <c r="I964" i="41"/>
  <c r="N963" i="41"/>
  <c r="M963" i="41"/>
  <c r="K963" i="41"/>
  <c r="J963" i="41"/>
  <c r="L963" i="41" s="1"/>
  <c r="I963" i="41"/>
  <c r="M962" i="41"/>
  <c r="K962" i="41"/>
  <c r="N962" i="41" s="1"/>
  <c r="J962" i="41"/>
  <c r="L962" i="41" s="1"/>
  <c r="I962" i="41"/>
  <c r="M961" i="41"/>
  <c r="K961" i="41"/>
  <c r="N961" i="41" s="1"/>
  <c r="J961" i="41"/>
  <c r="L961" i="41" s="1"/>
  <c r="O961" i="41" s="1"/>
  <c r="I961" i="41"/>
  <c r="M960" i="41"/>
  <c r="O960" i="41" s="1"/>
  <c r="L960" i="41"/>
  <c r="K960" i="41"/>
  <c r="N960" i="41" s="1"/>
  <c r="J960" i="41"/>
  <c r="I960" i="41"/>
  <c r="M958" i="41"/>
  <c r="O958" i="41" s="1"/>
  <c r="K958" i="41"/>
  <c r="N958" i="41" s="1"/>
  <c r="J958" i="41"/>
  <c r="L958" i="41" s="1"/>
  <c r="I958" i="41"/>
  <c r="M957" i="41"/>
  <c r="O957" i="41" s="1"/>
  <c r="L957" i="41"/>
  <c r="K957" i="41"/>
  <c r="N957" i="41" s="1"/>
  <c r="J957" i="41"/>
  <c r="I957" i="41"/>
  <c r="M956" i="41"/>
  <c r="O956" i="41" s="1"/>
  <c r="L956" i="41"/>
  <c r="K956" i="41"/>
  <c r="N956" i="41" s="1"/>
  <c r="J956" i="41"/>
  <c r="I956" i="41"/>
  <c r="N955" i="41"/>
  <c r="M955" i="41"/>
  <c r="O955" i="41" s="1"/>
  <c r="K955" i="41"/>
  <c r="J955" i="41"/>
  <c r="L955" i="41" s="1"/>
  <c r="I955" i="41"/>
  <c r="M954" i="41"/>
  <c r="K954" i="41"/>
  <c r="N954" i="41" s="1"/>
  <c r="J954" i="41"/>
  <c r="L954" i="41" s="1"/>
  <c r="I954" i="41"/>
  <c r="N953" i="41"/>
  <c r="M953" i="41"/>
  <c r="L953" i="41"/>
  <c r="K953" i="41"/>
  <c r="J953" i="41"/>
  <c r="I953" i="41"/>
  <c r="N952" i="41"/>
  <c r="M952" i="41"/>
  <c r="K952" i="41"/>
  <c r="J952" i="41"/>
  <c r="L952" i="41" s="1"/>
  <c r="I952" i="41"/>
  <c r="M951" i="41"/>
  <c r="O951" i="41" s="1"/>
  <c r="K951" i="41"/>
  <c r="N951" i="41" s="1"/>
  <c r="J951" i="41"/>
  <c r="L951" i="41" s="1"/>
  <c r="I951" i="41"/>
  <c r="N950" i="41"/>
  <c r="M950" i="41"/>
  <c r="K950" i="41"/>
  <c r="J950" i="41"/>
  <c r="L950" i="41" s="1"/>
  <c r="I950" i="41"/>
  <c r="O949" i="41"/>
  <c r="M949" i="41"/>
  <c r="L949" i="41"/>
  <c r="K949" i="41"/>
  <c r="N949" i="41" s="1"/>
  <c r="J949" i="41"/>
  <c r="I949" i="41"/>
  <c r="M948" i="41"/>
  <c r="K948" i="41"/>
  <c r="N948" i="41" s="1"/>
  <c r="J948" i="41"/>
  <c r="L948" i="41" s="1"/>
  <c r="O948" i="41" s="1"/>
  <c r="I948" i="41"/>
  <c r="N947" i="41"/>
  <c r="M947" i="41"/>
  <c r="K947" i="41"/>
  <c r="J947" i="41"/>
  <c r="L947" i="41" s="1"/>
  <c r="I947" i="41"/>
  <c r="M946" i="41"/>
  <c r="K946" i="41"/>
  <c r="N946" i="41" s="1"/>
  <c r="J946" i="41"/>
  <c r="L946" i="41" s="1"/>
  <c r="O946" i="41" s="1"/>
  <c r="I946" i="41"/>
  <c r="N945" i="41"/>
  <c r="M945" i="41"/>
  <c r="O945" i="41" s="1"/>
  <c r="K945" i="41"/>
  <c r="J945" i="41"/>
  <c r="L945" i="41" s="1"/>
  <c r="I945" i="41"/>
  <c r="M943" i="41"/>
  <c r="K943" i="41"/>
  <c r="N943" i="41" s="1"/>
  <c r="J943" i="41"/>
  <c r="L943" i="41" s="1"/>
  <c r="O943" i="41" s="1"/>
  <c r="I943" i="41"/>
  <c r="M942" i="41"/>
  <c r="O942" i="41" s="1"/>
  <c r="K942" i="41"/>
  <c r="N942" i="41" s="1"/>
  <c r="J942" i="41"/>
  <c r="L942" i="41" s="1"/>
  <c r="I942" i="41"/>
  <c r="M941" i="41"/>
  <c r="K941" i="41"/>
  <c r="N941" i="41" s="1"/>
  <c r="J941" i="41"/>
  <c r="L941" i="41" s="1"/>
  <c r="O941" i="41" s="1"/>
  <c r="I941" i="41"/>
  <c r="M940" i="41"/>
  <c r="K940" i="41"/>
  <c r="N940" i="41" s="1"/>
  <c r="J940" i="41"/>
  <c r="L940" i="41" s="1"/>
  <c r="I940" i="41"/>
  <c r="N939" i="41"/>
  <c r="M939" i="41"/>
  <c r="K939" i="41"/>
  <c r="J939" i="41"/>
  <c r="L939" i="41" s="1"/>
  <c r="I939" i="41"/>
  <c r="N938" i="41"/>
  <c r="M938" i="41"/>
  <c r="L938" i="41"/>
  <c r="K938" i="41"/>
  <c r="J938" i="41"/>
  <c r="I938" i="41"/>
  <c r="M937" i="41"/>
  <c r="K937" i="41"/>
  <c r="N937" i="41" s="1"/>
  <c r="J937" i="41"/>
  <c r="L937" i="41" s="1"/>
  <c r="I937" i="41"/>
  <c r="N936" i="41"/>
  <c r="M936" i="41"/>
  <c r="O936" i="41" s="1"/>
  <c r="L936" i="41"/>
  <c r="K936" i="41"/>
  <c r="J936" i="41"/>
  <c r="I936" i="41"/>
  <c r="M935" i="41"/>
  <c r="O935" i="41" s="1"/>
  <c r="L935" i="41"/>
  <c r="K935" i="41"/>
  <c r="N935" i="41" s="1"/>
  <c r="J935" i="41"/>
  <c r="I935" i="41"/>
  <c r="N934" i="41"/>
  <c r="M934" i="41"/>
  <c r="K934" i="41"/>
  <c r="J934" i="41"/>
  <c r="L934" i="41" s="1"/>
  <c r="I934" i="41"/>
  <c r="O933" i="41"/>
  <c r="N933" i="41"/>
  <c r="M933" i="41"/>
  <c r="L933" i="41"/>
  <c r="K933" i="41"/>
  <c r="J933" i="41"/>
  <c r="I933" i="41"/>
  <c r="N932" i="41"/>
  <c r="M932" i="41"/>
  <c r="L932" i="41"/>
  <c r="K932" i="41"/>
  <c r="J932" i="41"/>
  <c r="I932" i="41"/>
  <c r="N931" i="41"/>
  <c r="M931" i="41"/>
  <c r="K931" i="41"/>
  <c r="J931" i="41"/>
  <c r="L931" i="41" s="1"/>
  <c r="O931" i="41" s="1"/>
  <c r="I931" i="41"/>
  <c r="O930" i="41"/>
  <c r="N930" i="41"/>
  <c r="M930" i="41"/>
  <c r="L930" i="41"/>
  <c r="K930" i="41"/>
  <c r="J930" i="41"/>
  <c r="I930" i="41"/>
  <c r="N929" i="41"/>
  <c r="M929" i="41"/>
  <c r="K929" i="41"/>
  <c r="J929" i="41"/>
  <c r="L929" i="41" s="1"/>
  <c r="I929" i="41"/>
  <c r="N928" i="41"/>
  <c r="M928" i="41"/>
  <c r="K928" i="41"/>
  <c r="J928" i="41"/>
  <c r="L928" i="41" s="1"/>
  <c r="O928" i="41" s="1"/>
  <c r="I928" i="41"/>
  <c r="N927" i="41"/>
  <c r="M927" i="41"/>
  <c r="K927" i="41"/>
  <c r="J927" i="41"/>
  <c r="L927" i="41" s="1"/>
  <c r="I927" i="41"/>
  <c r="G927" i="41"/>
  <c r="M926" i="41"/>
  <c r="K926" i="41"/>
  <c r="N926" i="41" s="1"/>
  <c r="J926" i="41"/>
  <c r="L926" i="41" s="1"/>
  <c r="I926" i="41"/>
  <c r="M925" i="41"/>
  <c r="K925" i="41"/>
  <c r="N925" i="41" s="1"/>
  <c r="J925" i="41"/>
  <c r="L925" i="41" s="1"/>
  <c r="O925" i="41" s="1"/>
  <c r="I925" i="41"/>
  <c r="M924" i="41"/>
  <c r="O924" i="41" s="1"/>
  <c r="K924" i="41"/>
  <c r="N924" i="41" s="1"/>
  <c r="J924" i="41"/>
  <c r="L924" i="41" s="1"/>
  <c r="I924" i="41"/>
  <c r="M923" i="41"/>
  <c r="O923" i="41" s="1"/>
  <c r="K923" i="41"/>
  <c r="N923" i="41" s="1"/>
  <c r="J923" i="41"/>
  <c r="L923" i="41" s="1"/>
  <c r="I923" i="41"/>
  <c r="N922" i="41"/>
  <c r="M922" i="41"/>
  <c r="K922" i="41"/>
  <c r="J922" i="41"/>
  <c r="L922" i="41" s="1"/>
  <c r="O922" i="41" s="1"/>
  <c r="I922" i="41"/>
  <c r="O921" i="41"/>
  <c r="N921" i="41"/>
  <c r="M921" i="41"/>
  <c r="L921" i="41"/>
  <c r="K921" i="41"/>
  <c r="J921" i="41"/>
  <c r="I921" i="41"/>
  <c r="N920" i="41"/>
  <c r="M920" i="41"/>
  <c r="O920" i="41" s="1"/>
  <c r="L920" i="41"/>
  <c r="K920" i="41"/>
  <c r="J920" i="41"/>
  <c r="I920" i="41"/>
  <c r="N919" i="41"/>
  <c r="M919" i="41"/>
  <c r="K919" i="41"/>
  <c r="J919" i="41"/>
  <c r="L919" i="41" s="1"/>
  <c r="O919" i="41" s="1"/>
  <c r="I919" i="41"/>
  <c r="N918" i="41"/>
  <c r="M918" i="41"/>
  <c r="O918" i="41" s="1"/>
  <c r="L918" i="41"/>
  <c r="K918" i="41"/>
  <c r="J918" i="41"/>
  <c r="I918" i="41"/>
  <c r="N917" i="41"/>
  <c r="M917" i="41"/>
  <c r="O917" i="41" s="1"/>
  <c r="L917" i="41"/>
  <c r="K917" i="41"/>
  <c r="J917" i="41"/>
  <c r="I917" i="41"/>
  <c r="M916" i="41"/>
  <c r="K916" i="41"/>
  <c r="N916" i="41" s="1"/>
  <c r="J916" i="41"/>
  <c r="L916" i="41" s="1"/>
  <c r="O916" i="41" s="1"/>
  <c r="I916" i="41"/>
  <c r="N915" i="41"/>
  <c r="M915" i="41"/>
  <c r="K915" i="41"/>
  <c r="J915" i="41"/>
  <c r="L915" i="41" s="1"/>
  <c r="I915" i="41"/>
  <c r="N914" i="41"/>
  <c r="M914" i="41"/>
  <c r="K914" i="41"/>
  <c r="J914" i="41"/>
  <c r="L914" i="41" s="1"/>
  <c r="I914" i="41"/>
  <c r="M913" i="41"/>
  <c r="K913" i="41"/>
  <c r="N913" i="41" s="1"/>
  <c r="J913" i="41"/>
  <c r="L913" i="41" s="1"/>
  <c r="O913" i="41" s="1"/>
  <c r="I913" i="41"/>
  <c r="N912" i="41"/>
  <c r="M912" i="41"/>
  <c r="K912" i="41"/>
  <c r="J912" i="41"/>
  <c r="L912" i="41" s="1"/>
  <c r="O912" i="41" s="1"/>
  <c r="I912" i="41"/>
  <c r="M911" i="41"/>
  <c r="K911" i="41"/>
  <c r="N911" i="41" s="1"/>
  <c r="J911" i="41"/>
  <c r="L911" i="41" s="1"/>
  <c r="I911" i="41"/>
  <c r="O910" i="41"/>
  <c r="M910" i="41"/>
  <c r="K910" i="41"/>
  <c r="N910" i="41" s="1"/>
  <c r="J910" i="41"/>
  <c r="L910" i="41" s="1"/>
  <c r="I910" i="41"/>
  <c r="O908" i="41"/>
  <c r="M908" i="41"/>
  <c r="K908" i="41"/>
  <c r="N908" i="41" s="1"/>
  <c r="J908" i="41"/>
  <c r="L908" i="41" s="1"/>
  <c r="I908" i="41"/>
  <c r="G908" i="41"/>
  <c r="N904" i="41"/>
  <c r="M904" i="41"/>
  <c r="K904" i="41"/>
  <c r="J904" i="41"/>
  <c r="L904" i="41" s="1"/>
  <c r="I904" i="41"/>
  <c r="G903" i="41"/>
  <c r="N902" i="41"/>
  <c r="M902" i="41"/>
  <c r="K902" i="41"/>
  <c r="J902" i="41"/>
  <c r="L902" i="41" s="1"/>
  <c r="I902" i="41"/>
  <c r="A902" i="41"/>
  <c r="N901" i="41"/>
  <c r="M901" i="41"/>
  <c r="L901" i="41"/>
  <c r="K901" i="41"/>
  <c r="J901" i="41"/>
  <c r="I901" i="41"/>
  <c r="N900" i="41"/>
  <c r="M900" i="41"/>
  <c r="O900" i="41" s="1"/>
  <c r="L900" i="41"/>
  <c r="K900" i="41"/>
  <c r="J900" i="41"/>
  <c r="I900" i="41"/>
  <c r="M899" i="41"/>
  <c r="K899" i="41"/>
  <c r="N899" i="41" s="1"/>
  <c r="J899" i="41"/>
  <c r="L899" i="41" s="1"/>
  <c r="I899" i="41"/>
  <c r="N898" i="41"/>
  <c r="M898" i="41"/>
  <c r="O898" i="41" s="1"/>
  <c r="L898" i="41"/>
  <c r="K898" i="41"/>
  <c r="J898" i="41"/>
  <c r="I898" i="41"/>
  <c r="I897" i="41"/>
  <c r="H897" i="41"/>
  <c r="O896" i="41"/>
  <c r="N896" i="41"/>
  <c r="M896" i="41"/>
  <c r="L896" i="41"/>
  <c r="K896" i="41"/>
  <c r="J896" i="41"/>
  <c r="I896" i="41"/>
  <c r="O895" i="41"/>
  <c r="N895" i="41"/>
  <c r="M895" i="41"/>
  <c r="K895" i="41"/>
  <c r="J895" i="41"/>
  <c r="L895" i="41" s="1"/>
  <c r="I895" i="41"/>
  <c r="O894" i="41"/>
  <c r="N894" i="41"/>
  <c r="M894" i="41"/>
  <c r="K894" i="41"/>
  <c r="J894" i="41"/>
  <c r="L894" i="41" s="1"/>
  <c r="I894" i="41"/>
  <c r="N893" i="41"/>
  <c r="M893" i="41"/>
  <c r="K893" i="41"/>
  <c r="J893" i="41"/>
  <c r="L893" i="41" s="1"/>
  <c r="O893" i="41" s="1"/>
  <c r="I893" i="41"/>
  <c r="N892" i="41"/>
  <c r="M892" i="41"/>
  <c r="K892" i="41"/>
  <c r="J892" i="41"/>
  <c r="L892" i="41" s="1"/>
  <c r="O892" i="41" s="1"/>
  <c r="I892" i="41"/>
  <c r="A887" i="41"/>
  <c r="H882" i="41"/>
  <c r="G882" i="41"/>
  <c r="C882" i="41"/>
  <c r="A881" i="41"/>
  <c r="A1778" i="41" s="1"/>
  <c r="N880" i="41"/>
  <c r="M880" i="41"/>
  <c r="O880" i="41" s="1"/>
  <c r="K880" i="41"/>
  <c r="J880" i="41"/>
  <c r="L880" i="41" s="1"/>
  <c r="I880" i="41"/>
  <c r="M879" i="41"/>
  <c r="L879" i="41"/>
  <c r="K879" i="41"/>
  <c r="N879" i="41" s="1"/>
  <c r="J879" i="41"/>
  <c r="I879" i="41"/>
  <c r="H879" i="41"/>
  <c r="B879" i="41"/>
  <c r="N878" i="41"/>
  <c r="M878" i="41"/>
  <c r="K878" i="41"/>
  <c r="J878" i="41"/>
  <c r="L878" i="41" s="1"/>
  <c r="I878" i="41"/>
  <c r="N877" i="41"/>
  <c r="M877" i="41"/>
  <c r="K877" i="41"/>
  <c r="J877" i="41"/>
  <c r="L877" i="41" s="1"/>
  <c r="O877" i="41" s="1"/>
  <c r="I877" i="41"/>
  <c r="N876" i="41"/>
  <c r="M876" i="41"/>
  <c r="K876" i="41"/>
  <c r="J876" i="41"/>
  <c r="L876" i="41" s="1"/>
  <c r="I876" i="41"/>
  <c r="O875" i="41"/>
  <c r="M875" i="41"/>
  <c r="K875" i="41"/>
  <c r="N875" i="41" s="1"/>
  <c r="J875" i="41"/>
  <c r="L875" i="41" s="1"/>
  <c r="I875" i="41"/>
  <c r="G875" i="41"/>
  <c r="A875" i="41"/>
  <c r="M874" i="41"/>
  <c r="K874" i="41"/>
  <c r="N874" i="41" s="1"/>
  <c r="J874" i="41"/>
  <c r="L874" i="41" s="1"/>
  <c r="I874" i="41"/>
  <c r="O874" i="41" s="1"/>
  <c r="N873" i="41"/>
  <c r="M873" i="41"/>
  <c r="K873" i="41"/>
  <c r="J873" i="41"/>
  <c r="L873" i="41" s="1"/>
  <c r="I873" i="41"/>
  <c r="B873" i="41"/>
  <c r="N872" i="41"/>
  <c r="M872" i="41"/>
  <c r="K872" i="41"/>
  <c r="J872" i="41"/>
  <c r="L872" i="41" s="1"/>
  <c r="I872" i="41"/>
  <c r="N871" i="41"/>
  <c r="M871" i="41"/>
  <c r="K871" i="41"/>
  <c r="J871" i="41"/>
  <c r="L871" i="41" s="1"/>
  <c r="I871" i="41"/>
  <c r="M870" i="41"/>
  <c r="O870" i="41" s="1"/>
  <c r="L870" i="41"/>
  <c r="K870" i="41"/>
  <c r="N870" i="41" s="1"/>
  <c r="J870" i="41"/>
  <c r="I870" i="41"/>
  <c r="M869" i="41"/>
  <c r="L869" i="41"/>
  <c r="K869" i="41"/>
  <c r="N869" i="41" s="1"/>
  <c r="J869" i="41"/>
  <c r="I869" i="41"/>
  <c r="N868" i="41"/>
  <c r="M868" i="41"/>
  <c r="O868" i="41" s="1"/>
  <c r="L868" i="41"/>
  <c r="K868" i="41"/>
  <c r="J868" i="41"/>
  <c r="I868" i="41"/>
  <c r="M867" i="41"/>
  <c r="L867" i="41"/>
  <c r="K867" i="41"/>
  <c r="N867" i="41" s="1"/>
  <c r="J867" i="41"/>
  <c r="I867" i="41"/>
  <c r="G867" i="41"/>
  <c r="H873" i="41" s="1"/>
  <c r="A867" i="41"/>
  <c r="M866" i="41"/>
  <c r="L866" i="41"/>
  <c r="O866" i="41" s="1"/>
  <c r="K866" i="41"/>
  <c r="N866" i="41" s="1"/>
  <c r="J866" i="41"/>
  <c r="I866" i="41"/>
  <c r="O865" i="41"/>
  <c r="N865" i="41"/>
  <c r="M865" i="41"/>
  <c r="K865" i="41"/>
  <c r="J865" i="41"/>
  <c r="L865" i="41" s="1"/>
  <c r="I865" i="41"/>
  <c r="H865" i="41"/>
  <c r="B865" i="41"/>
  <c r="M864" i="41"/>
  <c r="K864" i="41"/>
  <c r="N864" i="41" s="1"/>
  <c r="J864" i="41"/>
  <c r="L864" i="41" s="1"/>
  <c r="I864" i="41"/>
  <c r="O864" i="41" s="1"/>
  <c r="N863" i="41"/>
  <c r="M863" i="41"/>
  <c r="K863" i="41"/>
  <c r="J863" i="41"/>
  <c r="L863" i="41" s="1"/>
  <c r="O863" i="41" s="1"/>
  <c r="I863" i="41"/>
  <c r="N862" i="41"/>
  <c r="M862" i="41"/>
  <c r="O862" i="41" s="1"/>
  <c r="L862" i="41"/>
  <c r="K862" i="41"/>
  <c r="J862" i="41"/>
  <c r="I862" i="41"/>
  <c r="M861" i="41"/>
  <c r="K861" i="41"/>
  <c r="N861" i="41" s="1"/>
  <c r="J861" i="41"/>
  <c r="L861" i="41" s="1"/>
  <c r="O861" i="41" s="1"/>
  <c r="I861" i="41"/>
  <c r="M860" i="41"/>
  <c r="K860" i="41"/>
  <c r="N860" i="41" s="1"/>
  <c r="J860" i="41"/>
  <c r="L860" i="41" s="1"/>
  <c r="O860" i="41" s="1"/>
  <c r="I860" i="41"/>
  <c r="M859" i="41"/>
  <c r="L859" i="41"/>
  <c r="O859" i="41" s="1"/>
  <c r="K859" i="41"/>
  <c r="N859" i="41" s="1"/>
  <c r="J859" i="41"/>
  <c r="I859" i="41"/>
  <c r="M858" i="41"/>
  <c r="K858" i="41"/>
  <c r="N858" i="41" s="1"/>
  <c r="J858" i="41"/>
  <c r="L858" i="41" s="1"/>
  <c r="I858" i="41"/>
  <c r="G858" i="41"/>
  <c r="A858" i="41"/>
  <c r="N857" i="41"/>
  <c r="M857" i="41"/>
  <c r="K857" i="41"/>
  <c r="J857" i="41"/>
  <c r="L857" i="41" s="1"/>
  <c r="I857" i="41"/>
  <c r="N856" i="41"/>
  <c r="M856" i="41"/>
  <c r="O856" i="41" s="1"/>
  <c r="L856" i="41"/>
  <c r="K856" i="41"/>
  <c r="J856" i="41"/>
  <c r="I856" i="41"/>
  <c r="B856" i="41"/>
  <c r="M855" i="41"/>
  <c r="L855" i="41"/>
  <c r="K855" i="41"/>
  <c r="N855" i="41" s="1"/>
  <c r="J855" i="41"/>
  <c r="I855" i="41"/>
  <c r="N854" i="41"/>
  <c r="M854" i="41"/>
  <c r="L854" i="41"/>
  <c r="K854" i="41"/>
  <c r="J854" i="41"/>
  <c r="I854" i="41"/>
  <c r="N853" i="41"/>
  <c r="M853" i="41"/>
  <c r="O853" i="41" s="1"/>
  <c r="K853" i="41"/>
  <c r="J853" i="41"/>
  <c r="L853" i="41" s="1"/>
  <c r="I853" i="41"/>
  <c r="M852" i="41"/>
  <c r="O852" i="41" s="1"/>
  <c r="L852" i="41"/>
  <c r="K852" i="41"/>
  <c r="N852" i="41" s="1"/>
  <c r="J852" i="41"/>
  <c r="I852" i="41"/>
  <c r="M851" i="41"/>
  <c r="K851" i="41"/>
  <c r="N851" i="41" s="1"/>
  <c r="J851" i="41"/>
  <c r="L851" i="41" s="1"/>
  <c r="O851" i="41" s="1"/>
  <c r="I851" i="41"/>
  <c r="O850" i="41"/>
  <c r="N850" i="41"/>
  <c r="M850" i="41"/>
  <c r="K850" i="41"/>
  <c r="J850" i="41"/>
  <c r="L850" i="41" s="1"/>
  <c r="I850" i="41"/>
  <c r="G850" i="41"/>
  <c r="H856" i="41" s="1"/>
  <c r="A850" i="41"/>
  <c r="M849" i="41"/>
  <c r="K849" i="41"/>
  <c r="N849" i="41" s="1"/>
  <c r="J849" i="41"/>
  <c r="L849" i="41" s="1"/>
  <c r="I849" i="41"/>
  <c r="M848" i="41"/>
  <c r="K848" i="41"/>
  <c r="N848" i="41" s="1"/>
  <c r="J848" i="41"/>
  <c r="L848" i="41" s="1"/>
  <c r="I848" i="41"/>
  <c r="M847" i="41"/>
  <c r="O847" i="41" s="1"/>
  <c r="K847" i="41"/>
  <c r="N847" i="41" s="1"/>
  <c r="J847" i="41"/>
  <c r="L847" i="41" s="1"/>
  <c r="I847" i="41"/>
  <c r="M846" i="41"/>
  <c r="K846" i="41"/>
  <c r="N846" i="41" s="1"/>
  <c r="J846" i="41"/>
  <c r="L846" i="41" s="1"/>
  <c r="O846" i="41" s="1"/>
  <c r="I846" i="41"/>
  <c r="H846" i="41"/>
  <c r="H822" i="41" s="1"/>
  <c r="B846" i="41"/>
  <c r="O845" i="41"/>
  <c r="N845" i="41"/>
  <c r="M845" i="41"/>
  <c r="L845" i="41"/>
  <c r="K845" i="41"/>
  <c r="J845" i="41"/>
  <c r="I845" i="41"/>
  <c r="M844" i="41"/>
  <c r="O844" i="41" s="1"/>
  <c r="L844" i="41"/>
  <c r="K844" i="41"/>
  <c r="N844" i="41" s="1"/>
  <c r="J844" i="41"/>
  <c r="I844" i="41"/>
  <c r="M843" i="41"/>
  <c r="L843" i="41"/>
  <c r="K843" i="41"/>
  <c r="N843" i="41" s="1"/>
  <c r="J843" i="41"/>
  <c r="I843" i="41"/>
  <c r="N842" i="41"/>
  <c r="M842" i="41"/>
  <c r="O842" i="41" s="1"/>
  <c r="K842" i="41"/>
  <c r="J842" i="41"/>
  <c r="L842" i="41" s="1"/>
  <c r="I842" i="41"/>
  <c r="N841" i="41"/>
  <c r="M841" i="41"/>
  <c r="O841" i="41" s="1"/>
  <c r="L841" i="41"/>
  <c r="K841" i="41"/>
  <c r="J841" i="41"/>
  <c r="I841" i="41"/>
  <c r="M840" i="41"/>
  <c r="K840" i="41"/>
  <c r="N840" i="41" s="1"/>
  <c r="J840" i="41"/>
  <c r="L840" i="41" s="1"/>
  <c r="I840" i="41"/>
  <c r="G840" i="41"/>
  <c r="A840" i="41"/>
  <c r="M839" i="41"/>
  <c r="L839" i="41"/>
  <c r="K839" i="41"/>
  <c r="N839" i="41" s="1"/>
  <c r="J839" i="41"/>
  <c r="I839" i="41"/>
  <c r="M838" i="41"/>
  <c r="K838" i="41"/>
  <c r="N838" i="41" s="1"/>
  <c r="J838" i="41"/>
  <c r="L838" i="41" s="1"/>
  <c r="O838" i="41" s="1"/>
  <c r="I838" i="41"/>
  <c r="H838" i="41"/>
  <c r="B838" i="41"/>
  <c r="M837" i="41"/>
  <c r="O837" i="41" s="1"/>
  <c r="L837" i="41"/>
  <c r="K837" i="41"/>
  <c r="N837" i="41" s="1"/>
  <c r="J837" i="41"/>
  <c r="I837" i="41"/>
  <c r="N836" i="41"/>
  <c r="M836" i="41"/>
  <c r="O836" i="41" s="1"/>
  <c r="L836" i="41"/>
  <c r="K836" i="41"/>
  <c r="J836" i="41"/>
  <c r="I836" i="41"/>
  <c r="M835" i="41"/>
  <c r="O835" i="41" s="1"/>
  <c r="L835" i="41"/>
  <c r="K835" i="41"/>
  <c r="N835" i="41" s="1"/>
  <c r="J835" i="41"/>
  <c r="I835" i="41"/>
  <c r="N834" i="41"/>
  <c r="M834" i="41"/>
  <c r="O834" i="41" s="1"/>
  <c r="L834" i="41"/>
  <c r="K834" i="41"/>
  <c r="J834" i="41"/>
  <c r="I834" i="41"/>
  <c r="N833" i="41"/>
  <c r="M833" i="41"/>
  <c r="L833" i="41"/>
  <c r="K833" i="41"/>
  <c r="J833" i="41"/>
  <c r="I833" i="41"/>
  <c r="O832" i="41"/>
  <c r="N832" i="41"/>
  <c r="M832" i="41"/>
  <c r="L832" i="41"/>
  <c r="K832" i="41"/>
  <c r="J832" i="41"/>
  <c r="I832" i="41"/>
  <c r="N831" i="41"/>
  <c r="M831" i="41"/>
  <c r="O831" i="41" s="1"/>
  <c r="K831" i="41"/>
  <c r="J831" i="41"/>
  <c r="L831" i="41" s="1"/>
  <c r="I831" i="41"/>
  <c r="M830" i="41"/>
  <c r="K830" i="41"/>
  <c r="N830" i="41" s="1"/>
  <c r="J830" i="41"/>
  <c r="L830" i="41" s="1"/>
  <c r="I830" i="41"/>
  <c r="O829" i="41"/>
  <c r="N829" i="41"/>
  <c r="M829" i="41"/>
  <c r="L829" i="41"/>
  <c r="K829" i="41"/>
  <c r="J829" i="41"/>
  <c r="I829" i="41"/>
  <c r="N828" i="41"/>
  <c r="M828" i="41"/>
  <c r="K828" i="41"/>
  <c r="J828" i="41"/>
  <c r="L828" i="41" s="1"/>
  <c r="I828" i="41"/>
  <c r="O827" i="41"/>
  <c r="M827" i="41"/>
  <c r="L827" i="41"/>
  <c r="K827" i="41"/>
  <c r="N827" i="41" s="1"/>
  <c r="J827" i="41"/>
  <c r="I827" i="41"/>
  <c r="M826" i="41"/>
  <c r="L826" i="41"/>
  <c r="K826" i="41"/>
  <c r="N826" i="41" s="1"/>
  <c r="J826" i="41"/>
  <c r="I826" i="41"/>
  <c r="N825" i="41"/>
  <c r="M825" i="41"/>
  <c r="K825" i="41"/>
  <c r="J825" i="41"/>
  <c r="L825" i="41" s="1"/>
  <c r="O825" i="41" s="1"/>
  <c r="I825" i="41"/>
  <c r="M824" i="41"/>
  <c r="L824" i="41"/>
  <c r="O824" i="41" s="1"/>
  <c r="K824" i="41"/>
  <c r="N824" i="41" s="1"/>
  <c r="J824" i="41"/>
  <c r="I824" i="41"/>
  <c r="G824" i="41"/>
  <c r="A824" i="41"/>
  <c r="N823" i="41"/>
  <c r="M823" i="41"/>
  <c r="O823" i="41" s="1"/>
  <c r="L823" i="41"/>
  <c r="K823" i="41"/>
  <c r="J823" i="41"/>
  <c r="I823" i="41"/>
  <c r="M822" i="41"/>
  <c r="L822" i="41"/>
  <c r="K822" i="41"/>
  <c r="N822" i="41" s="1"/>
  <c r="J822" i="41"/>
  <c r="I822" i="41"/>
  <c r="M821" i="41"/>
  <c r="K821" i="41"/>
  <c r="N821" i="41" s="1"/>
  <c r="J821" i="41"/>
  <c r="L821" i="41" s="1"/>
  <c r="I821" i="41"/>
  <c r="N820" i="41"/>
  <c r="M820" i="41"/>
  <c r="O820" i="41" s="1"/>
  <c r="L820" i="41"/>
  <c r="K820" i="41"/>
  <c r="J820" i="41"/>
  <c r="I820" i="41"/>
  <c r="B820" i="41"/>
  <c r="M819" i="41"/>
  <c r="L819" i="41"/>
  <c r="K819" i="41"/>
  <c r="N819" i="41" s="1"/>
  <c r="J819" i="41"/>
  <c r="I819" i="41"/>
  <c r="M818" i="41"/>
  <c r="L818" i="41"/>
  <c r="K818" i="41"/>
  <c r="N818" i="41" s="1"/>
  <c r="J818" i="41"/>
  <c r="I818" i="41"/>
  <c r="N817" i="41"/>
  <c r="M817" i="41"/>
  <c r="O817" i="41" s="1"/>
  <c r="K817" i="41"/>
  <c r="J817" i="41"/>
  <c r="L817" i="41" s="1"/>
  <c r="I817" i="41"/>
  <c r="M816" i="41"/>
  <c r="L816" i="41"/>
  <c r="K816" i="41"/>
  <c r="N816" i="41" s="1"/>
  <c r="J816" i="41"/>
  <c r="I816" i="41"/>
  <c r="M815" i="41"/>
  <c r="K815" i="41"/>
  <c r="N815" i="41" s="1"/>
  <c r="J815" i="41"/>
  <c r="L815" i="41" s="1"/>
  <c r="O815" i="41" s="1"/>
  <c r="I815" i="41"/>
  <c r="G815" i="41"/>
  <c r="H820" i="41" s="1"/>
  <c r="A815" i="41"/>
  <c r="O814" i="41"/>
  <c r="N814" i="41"/>
  <c r="M814" i="41"/>
  <c r="K814" i="41"/>
  <c r="J814" i="41"/>
  <c r="L814" i="41" s="1"/>
  <c r="I814" i="41"/>
  <c r="M813" i="41"/>
  <c r="K813" i="41"/>
  <c r="N813" i="41" s="1"/>
  <c r="J813" i="41"/>
  <c r="L813" i="41" s="1"/>
  <c r="I813" i="41"/>
  <c r="B813" i="41"/>
  <c r="M812" i="41"/>
  <c r="O812" i="41" s="1"/>
  <c r="L812" i="41"/>
  <c r="K812" i="41"/>
  <c r="N812" i="41" s="1"/>
  <c r="J812" i="41"/>
  <c r="I812" i="41"/>
  <c r="M811" i="41"/>
  <c r="L811" i="41"/>
  <c r="K811" i="41"/>
  <c r="N811" i="41" s="1"/>
  <c r="J811" i="41"/>
  <c r="I811" i="41"/>
  <c r="M810" i="41"/>
  <c r="L810" i="41"/>
  <c r="K810" i="41"/>
  <c r="N810" i="41" s="1"/>
  <c r="J810" i="41"/>
  <c r="I810" i="41"/>
  <c r="N809" i="41"/>
  <c r="M809" i="41"/>
  <c r="L809" i="41"/>
  <c r="K809" i="41"/>
  <c r="J809" i="41"/>
  <c r="I809" i="41"/>
  <c r="M808" i="41"/>
  <c r="K808" i="41"/>
  <c r="N808" i="41" s="1"/>
  <c r="J808" i="41"/>
  <c r="L808" i="41" s="1"/>
  <c r="I808" i="41"/>
  <c r="M807" i="41"/>
  <c r="K807" i="41"/>
  <c r="N807" i="41" s="1"/>
  <c r="J807" i="41"/>
  <c r="L807" i="41" s="1"/>
  <c r="I807" i="41"/>
  <c r="N806" i="41"/>
  <c r="M806" i="41"/>
  <c r="L806" i="41"/>
  <c r="O806" i="41" s="1"/>
  <c r="K806" i="41"/>
  <c r="J806" i="41"/>
  <c r="I806" i="41"/>
  <c r="M805" i="41"/>
  <c r="K805" i="41"/>
  <c r="N805" i="41" s="1"/>
  <c r="J805" i="41"/>
  <c r="L805" i="41" s="1"/>
  <c r="I805" i="41"/>
  <c r="M804" i="41"/>
  <c r="K804" i="41"/>
  <c r="N804" i="41" s="1"/>
  <c r="J804" i="41"/>
  <c r="L804" i="41" s="1"/>
  <c r="I804" i="41"/>
  <c r="G804" i="41"/>
  <c r="H813" i="41" s="1"/>
  <c r="A804" i="41"/>
  <c r="N803" i="41"/>
  <c r="M803" i="41"/>
  <c r="K803" i="41"/>
  <c r="J803" i="41"/>
  <c r="L803" i="41" s="1"/>
  <c r="I803" i="41"/>
  <c r="O803" i="41" s="1"/>
  <c r="O802" i="41"/>
  <c r="M802" i="41"/>
  <c r="L802" i="41"/>
  <c r="K802" i="41"/>
  <c r="N802" i="41" s="1"/>
  <c r="J802" i="41"/>
  <c r="I802" i="41"/>
  <c r="H802" i="41"/>
  <c r="B802" i="41"/>
  <c r="N801" i="41"/>
  <c r="M801" i="41"/>
  <c r="K801" i="41"/>
  <c r="J801" i="41"/>
  <c r="L801" i="41" s="1"/>
  <c r="I801" i="41"/>
  <c r="M800" i="41"/>
  <c r="K800" i="41"/>
  <c r="N800" i="41" s="1"/>
  <c r="J800" i="41"/>
  <c r="L800" i="41" s="1"/>
  <c r="I800" i="41"/>
  <c r="O799" i="41"/>
  <c r="N799" i="41"/>
  <c r="M799" i="41"/>
  <c r="K799" i="41"/>
  <c r="J799" i="41"/>
  <c r="L799" i="41" s="1"/>
  <c r="I799" i="41"/>
  <c r="M798" i="41"/>
  <c r="K798" i="41"/>
  <c r="N798" i="41" s="1"/>
  <c r="J798" i="41"/>
  <c r="L798" i="41" s="1"/>
  <c r="I798" i="41"/>
  <c r="M797" i="41"/>
  <c r="K797" i="41"/>
  <c r="N797" i="41" s="1"/>
  <c r="J797" i="41"/>
  <c r="L797" i="41" s="1"/>
  <c r="I797" i="41"/>
  <c r="M796" i="41"/>
  <c r="K796" i="41"/>
  <c r="N796" i="41" s="1"/>
  <c r="J796" i="41"/>
  <c r="L796" i="41" s="1"/>
  <c r="O796" i="41" s="1"/>
  <c r="I796" i="41"/>
  <c r="O795" i="41"/>
  <c r="M795" i="41"/>
  <c r="L795" i="41"/>
  <c r="K795" i="41"/>
  <c r="N795" i="41" s="1"/>
  <c r="J795" i="41"/>
  <c r="I795" i="41"/>
  <c r="M794" i="41"/>
  <c r="L794" i="41"/>
  <c r="K794" i="41"/>
  <c r="N794" i="41" s="1"/>
  <c r="J794" i="41"/>
  <c r="I794" i="41"/>
  <c r="M793" i="41"/>
  <c r="L793" i="41"/>
  <c r="K793" i="41"/>
  <c r="N793" i="41" s="1"/>
  <c r="J793" i="41"/>
  <c r="I793" i="41"/>
  <c r="N792" i="41"/>
  <c r="M792" i="41"/>
  <c r="O792" i="41" s="1"/>
  <c r="L792" i="41"/>
  <c r="K792" i="41"/>
  <c r="J792" i="41"/>
  <c r="I792" i="41"/>
  <c r="M791" i="41"/>
  <c r="K791" i="41"/>
  <c r="N791" i="41" s="1"/>
  <c r="J791" i="41"/>
  <c r="L791" i="41" s="1"/>
  <c r="I791" i="41"/>
  <c r="G791" i="41"/>
  <c r="M790" i="41"/>
  <c r="L790" i="41"/>
  <c r="K790" i="41"/>
  <c r="N790" i="41" s="1"/>
  <c r="J790" i="41"/>
  <c r="I790" i="41"/>
  <c r="A790" i="41"/>
  <c r="O789" i="41"/>
  <c r="M789" i="41"/>
  <c r="K789" i="41"/>
  <c r="N789" i="41" s="1"/>
  <c r="J789" i="41"/>
  <c r="L789" i="41" s="1"/>
  <c r="I789" i="41"/>
  <c r="M788" i="41"/>
  <c r="L788" i="41"/>
  <c r="K788" i="41"/>
  <c r="N788" i="41" s="1"/>
  <c r="J788" i="41"/>
  <c r="I788" i="41"/>
  <c r="H788" i="41"/>
  <c r="H775" i="41" s="1"/>
  <c r="B788" i="41"/>
  <c r="M787" i="41"/>
  <c r="L787" i="41"/>
  <c r="K787" i="41"/>
  <c r="N787" i="41" s="1"/>
  <c r="J787" i="41"/>
  <c r="I787" i="41"/>
  <c r="M786" i="41"/>
  <c r="K786" i="41"/>
  <c r="N786" i="41" s="1"/>
  <c r="J786" i="41"/>
  <c r="L786" i="41" s="1"/>
  <c r="I786" i="41"/>
  <c r="N785" i="41"/>
  <c r="M785" i="41"/>
  <c r="L785" i="41"/>
  <c r="O785" i="41" s="1"/>
  <c r="K785" i="41"/>
  <c r="J785" i="41"/>
  <c r="I785" i="41"/>
  <c r="N784" i="41"/>
  <c r="M784" i="41"/>
  <c r="K784" i="41"/>
  <c r="J784" i="41"/>
  <c r="L784" i="41" s="1"/>
  <c r="I784" i="41"/>
  <c r="M783" i="41"/>
  <c r="O783" i="41" s="1"/>
  <c r="K783" i="41"/>
  <c r="N783" i="41" s="1"/>
  <c r="J783" i="41"/>
  <c r="L783" i="41" s="1"/>
  <c r="I783" i="41"/>
  <c r="M782" i="41"/>
  <c r="K782" i="41"/>
  <c r="N782" i="41" s="1"/>
  <c r="J782" i="41"/>
  <c r="L782" i="41" s="1"/>
  <c r="O782" i="41" s="1"/>
  <c r="I782" i="41"/>
  <c r="M781" i="41"/>
  <c r="K781" i="41"/>
  <c r="N781" i="41" s="1"/>
  <c r="J781" i="41"/>
  <c r="L781" i="41" s="1"/>
  <c r="O781" i="41" s="1"/>
  <c r="I781" i="41"/>
  <c r="M780" i="41"/>
  <c r="L780" i="41"/>
  <c r="K780" i="41"/>
  <c r="N780" i="41" s="1"/>
  <c r="J780" i="41"/>
  <c r="I780" i="41"/>
  <c r="M779" i="41"/>
  <c r="K779" i="41"/>
  <c r="N779" i="41" s="1"/>
  <c r="J779" i="41"/>
  <c r="L779" i="41" s="1"/>
  <c r="I779" i="41"/>
  <c r="M778" i="41"/>
  <c r="L778" i="41"/>
  <c r="O778" i="41" s="1"/>
  <c r="K778" i="41"/>
  <c r="N778" i="41" s="1"/>
  <c r="J778" i="41"/>
  <c r="I778" i="41"/>
  <c r="M777" i="41"/>
  <c r="K777" i="41"/>
  <c r="N777" i="41" s="1"/>
  <c r="J777" i="41"/>
  <c r="L777" i="41" s="1"/>
  <c r="I777" i="41"/>
  <c r="G777" i="41"/>
  <c r="A777" i="41"/>
  <c r="N776" i="41"/>
  <c r="M776" i="41"/>
  <c r="O776" i="41" s="1"/>
  <c r="K776" i="41"/>
  <c r="J776" i="41"/>
  <c r="L776" i="41" s="1"/>
  <c r="I776" i="41"/>
  <c r="I775" i="41"/>
  <c r="M774" i="41"/>
  <c r="L774" i="41"/>
  <c r="K774" i="41"/>
  <c r="N774" i="41" s="1"/>
  <c r="J774" i="41"/>
  <c r="I774" i="41"/>
  <c r="N773" i="41"/>
  <c r="M773" i="41"/>
  <c r="K773" i="41"/>
  <c r="J773" i="41"/>
  <c r="L773" i="41" s="1"/>
  <c r="I773" i="41"/>
  <c r="H773" i="41"/>
  <c r="B773" i="41"/>
  <c r="O772" i="41"/>
  <c r="M772" i="41"/>
  <c r="L772" i="41"/>
  <c r="K772" i="41"/>
  <c r="N772" i="41" s="1"/>
  <c r="J772" i="41"/>
  <c r="I772" i="41"/>
  <c r="M771" i="41"/>
  <c r="L771" i="41"/>
  <c r="K771" i="41"/>
  <c r="N771" i="41" s="1"/>
  <c r="J771" i="41"/>
  <c r="I771" i="41"/>
  <c r="N770" i="41"/>
  <c r="M770" i="41"/>
  <c r="K770" i="41"/>
  <c r="J770" i="41"/>
  <c r="L770" i="41" s="1"/>
  <c r="I770" i="41"/>
  <c r="N769" i="41"/>
  <c r="M769" i="41"/>
  <c r="O769" i="41" s="1"/>
  <c r="L769" i="41"/>
  <c r="K769" i="41"/>
  <c r="J769" i="41"/>
  <c r="I769" i="41"/>
  <c r="M768" i="41"/>
  <c r="K768" i="41"/>
  <c r="N768" i="41" s="1"/>
  <c r="J768" i="41"/>
  <c r="L768" i="41" s="1"/>
  <c r="I768" i="41"/>
  <c r="N767" i="41"/>
  <c r="M767" i="41"/>
  <c r="K767" i="41"/>
  <c r="J767" i="41"/>
  <c r="L767" i="41" s="1"/>
  <c r="I767" i="41"/>
  <c r="N766" i="41"/>
  <c r="M766" i="41"/>
  <c r="L766" i="41"/>
  <c r="O766" i="41" s="1"/>
  <c r="K766" i="41"/>
  <c r="J766" i="41"/>
  <c r="I766" i="41"/>
  <c r="M765" i="41"/>
  <c r="K765" i="41"/>
  <c r="N765" i="41" s="1"/>
  <c r="J765" i="41"/>
  <c r="L765" i="41" s="1"/>
  <c r="I765" i="41"/>
  <c r="N764" i="41"/>
  <c r="M764" i="41"/>
  <c r="L764" i="41"/>
  <c r="K764" i="41"/>
  <c r="J764" i="41"/>
  <c r="I764" i="41"/>
  <c r="O764" i="41" s="1"/>
  <c r="N763" i="41"/>
  <c r="M763" i="41"/>
  <c r="O763" i="41" s="1"/>
  <c r="K763" i="41"/>
  <c r="J763" i="41"/>
  <c r="L763" i="41" s="1"/>
  <c r="I763" i="41"/>
  <c r="M762" i="41"/>
  <c r="K762" i="41"/>
  <c r="N762" i="41" s="1"/>
  <c r="J762" i="41"/>
  <c r="L762" i="41" s="1"/>
  <c r="I762" i="41"/>
  <c r="N761" i="41"/>
  <c r="M761" i="41"/>
  <c r="K761" i="41"/>
  <c r="J761" i="41"/>
  <c r="L761" i="41" s="1"/>
  <c r="O761" i="41" s="1"/>
  <c r="I761" i="41"/>
  <c r="N760" i="41"/>
  <c r="M760" i="41"/>
  <c r="L760" i="41"/>
  <c r="O760" i="41" s="1"/>
  <c r="K760" i="41"/>
  <c r="J760" i="41"/>
  <c r="I760" i="41"/>
  <c r="M759" i="41"/>
  <c r="O759" i="41" s="1"/>
  <c r="K759" i="41"/>
  <c r="N759" i="41" s="1"/>
  <c r="J759" i="41"/>
  <c r="L759" i="41" s="1"/>
  <c r="I759" i="41"/>
  <c r="M757" i="41"/>
  <c r="K757" i="41"/>
  <c r="N757" i="41" s="1"/>
  <c r="J757" i="41"/>
  <c r="L757" i="41" s="1"/>
  <c r="I757" i="41"/>
  <c r="O757" i="41" s="1"/>
  <c r="N756" i="41"/>
  <c r="M756" i="41"/>
  <c r="L756" i="41"/>
  <c r="O756" i="41" s="1"/>
  <c r="K756" i="41"/>
  <c r="J756" i="41"/>
  <c r="I756" i="41"/>
  <c r="M755" i="41"/>
  <c r="K755" i="41"/>
  <c r="N755" i="41" s="1"/>
  <c r="J755" i="41"/>
  <c r="L755" i="41" s="1"/>
  <c r="I755" i="41"/>
  <c r="O754" i="41"/>
  <c r="M754" i="41"/>
  <c r="K754" i="41"/>
  <c r="N754" i="41" s="1"/>
  <c r="J754" i="41"/>
  <c r="L754" i="41" s="1"/>
  <c r="I754" i="41"/>
  <c r="M753" i="41"/>
  <c r="K753" i="41"/>
  <c r="N753" i="41" s="1"/>
  <c r="J753" i="41"/>
  <c r="L753" i="41" s="1"/>
  <c r="I753" i="41"/>
  <c r="O752" i="41"/>
  <c r="N752" i="41"/>
  <c r="M752" i="41"/>
  <c r="L752" i="41"/>
  <c r="K752" i="41"/>
  <c r="J752" i="41"/>
  <c r="I752" i="41"/>
  <c r="N751" i="41"/>
  <c r="M751" i="41"/>
  <c r="K751" i="41"/>
  <c r="J751" i="41"/>
  <c r="L751" i="41" s="1"/>
  <c r="I751" i="41"/>
  <c r="O751" i="41" s="1"/>
  <c r="M750" i="41"/>
  <c r="L750" i="41"/>
  <c r="K750" i="41"/>
  <c r="N750" i="41" s="1"/>
  <c r="J750" i="41"/>
  <c r="I750" i="41"/>
  <c r="N749" i="41"/>
  <c r="M749" i="41"/>
  <c r="K749" i="41"/>
  <c r="J749" i="41"/>
  <c r="L749" i="41" s="1"/>
  <c r="O749" i="41" s="1"/>
  <c r="I749" i="41"/>
  <c r="N748" i="41"/>
  <c r="M748" i="41"/>
  <c r="K748" i="41"/>
  <c r="J748" i="41"/>
  <c r="L748" i="41" s="1"/>
  <c r="O748" i="41" s="1"/>
  <c r="I748" i="41"/>
  <c r="N747" i="41"/>
  <c r="M747" i="41"/>
  <c r="O747" i="41" s="1"/>
  <c r="L747" i="41"/>
  <c r="K747" i="41"/>
  <c r="J747" i="41"/>
  <c r="I747" i="41"/>
  <c r="G747" i="41"/>
  <c r="O746" i="41"/>
  <c r="M746" i="41"/>
  <c r="K746" i="41"/>
  <c r="N746" i="41" s="1"/>
  <c r="J746" i="41"/>
  <c r="L746" i="41" s="1"/>
  <c r="I746" i="41"/>
  <c r="M745" i="41"/>
  <c r="K745" i="41"/>
  <c r="N745" i="41" s="1"/>
  <c r="J745" i="41"/>
  <c r="L745" i="41" s="1"/>
  <c r="I745" i="41"/>
  <c r="M744" i="41"/>
  <c r="L744" i="41"/>
  <c r="O744" i="41" s="1"/>
  <c r="K744" i="41"/>
  <c r="N744" i="41" s="1"/>
  <c r="J744" i="41"/>
  <c r="I744" i="41"/>
  <c r="N743" i="41"/>
  <c r="M743" i="41"/>
  <c r="K743" i="41"/>
  <c r="J743" i="41"/>
  <c r="L743" i="41" s="1"/>
  <c r="I743" i="41"/>
  <c r="M742" i="41"/>
  <c r="K742" i="41"/>
  <c r="N742" i="41" s="1"/>
  <c r="J742" i="41"/>
  <c r="L742" i="41" s="1"/>
  <c r="O742" i="41" s="1"/>
  <c r="I742" i="41"/>
  <c r="M741" i="41"/>
  <c r="K741" i="41"/>
  <c r="N741" i="41" s="1"/>
  <c r="J741" i="41"/>
  <c r="L741" i="41" s="1"/>
  <c r="I741" i="41"/>
  <c r="N740" i="41"/>
  <c r="M740" i="41"/>
  <c r="O740" i="41" s="1"/>
  <c r="L740" i="41"/>
  <c r="K740" i="41"/>
  <c r="J740" i="41"/>
  <c r="I740" i="41"/>
  <c r="M739" i="41"/>
  <c r="K739" i="41"/>
  <c r="N739" i="41" s="1"/>
  <c r="J739" i="41"/>
  <c r="L739" i="41" s="1"/>
  <c r="O739" i="41" s="1"/>
  <c r="I739" i="41"/>
  <c r="M738" i="41"/>
  <c r="K738" i="41"/>
  <c r="N738" i="41" s="1"/>
  <c r="J738" i="41"/>
  <c r="L738" i="41" s="1"/>
  <c r="I738" i="41"/>
  <c r="M737" i="41"/>
  <c r="L737" i="41"/>
  <c r="K737" i="41"/>
  <c r="N737" i="41" s="1"/>
  <c r="J737" i="41"/>
  <c r="I737" i="41"/>
  <c r="M736" i="41"/>
  <c r="L736" i="41"/>
  <c r="K736" i="41"/>
  <c r="N736" i="41" s="1"/>
  <c r="J736" i="41"/>
  <c r="I736" i="41"/>
  <c r="M735" i="41"/>
  <c r="L735" i="41"/>
  <c r="K735" i="41"/>
  <c r="N735" i="41" s="1"/>
  <c r="J735" i="41"/>
  <c r="I735" i="41"/>
  <c r="M734" i="41"/>
  <c r="O734" i="41" s="1"/>
  <c r="L734" i="41"/>
  <c r="K734" i="41"/>
  <c r="N734" i="41" s="1"/>
  <c r="J734" i="41"/>
  <c r="I734" i="41"/>
  <c r="M733" i="41"/>
  <c r="L733" i="41"/>
  <c r="K733" i="41"/>
  <c r="N733" i="41" s="1"/>
  <c r="J733" i="41"/>
  <c r="I733" i="41"/>
  <c r="M732" i="41"/>
  <c r="K732" i="41"/>
  <c r="N732" i="41" s="1"/>
  <c r="J732" i="41"/>
  <c r="L732" i="41" s="1"/>
  <c r="I732" i="41"/>
  <c r="N731" i="41"/>
  <c r="M731" i="41"/>
  <c r="O731" i="41" s="1"/>
  <c r="L731" i="41"/>
  <c r="K731" i="41"/>
  <c r="J731" i="41"/>
  <c r="I731" i="41"/>
  <c r="M730" i="41"/>
  <c r="L730" i="41"/>
  <c r="K730" i="41"/>
  <c r="N730" i="41" s="1"/>
  <c r="J730" i="41"/>
  <c r="I730" i="41"/>
  <c r="M729" i="41"/>
  <c r="O729" i="41" s="1"/>
  <c r="K729" i="41"/>
  <c r="N729" i="41" s="1"/>
  <c r="J729" i="41"/>
  <c r="L729" i="41" s="1"/>
  <c r="I729" i="41"/>
  <c r="N728" i="41"/>
  <c r="M728" i="41"/>
  <c r="K728" i="41"/>
  <c r="J728" i="41"/>
  <c r="L728" i="41" s="1"/>
  <c r="I728" i="41"/>
  <c r="M727" i="41"/>
  <c r="L727" i="41"/>
  <c r="O727" i="41" s="1"/>
  <c r="K727" i="41"/>
  <c r="N727" i="41" s="1"/>
  <c r="J727" i="41"/>
  <c r="I727" i="41"/>
  <c r="M726" i="41"/>
  <c r="K726" i="41"/>
  <c r="N726" i="41" s="1"/>
  <c r="J726" i="41"/>
  <c r="L726" i="41" s="1"/>
  <c r="I726" i="41"/>
  <c r="O725" i="41"/>
  <c r="N725" i="41"/>
  <c r="M725" i="41"/>
  <c r="K725" i="41"/>
  <c r="J725" i="41"/>
  <c r="L725" i="41" s="1"/>
  <c r="I725" i="41"/>
  <c r="N724" i="41"/>
  <c r="M724" i="41"/>
  <c r="L724" i="41"/>
  <c r="K724" i="41"/>
  <c r="J724" i="41"/>
  <c r="I724" i="41"/>
  <c r="M723" i="41"/>
  <c r="K723" i="41"/>
  <c r="N723" i="41" s="1"/>
  <c r="J723" i="41"/>
  <c r="L723" i="41" s="1"/>
  <c r="I723" i="41"/>
  <c r="N722" i="41"/>
  <c r="M722" i="41"/>
  <c r="K722" i="41"/>
  <c r="J722" i="41"/>
  <c r="L722" i="41" s="1"/>
  <c r="I722" i="41"/>
  <c r="N721" i="41"/>
  <c r="M721" i="41"/>
  <c r="L721" i="41"/>
  <c r="O721" i="41" s="1"/>
  <c r="K721" i="41"/>
  <c r="J721" i="41"/>
  <c r="I721" i="41"/>
  <c r="M720" i="41"/>
  <c r="K720" i="41"/>
  <c r="N720" i="41" s="1"/>
  <c r="J720" i="41"/>
  <c r="L720" i="41" s="1"/>
  <c r="I720" i="41"/>
  <c r="G720" i="41"/>
  <c r="M719" i="41"/>
  <c r="O719" i="41" s="1"/>
  <c r="K719" i="41"/>
  <c r="N719" i="41" s="1"/>
  <c r="J719" i="41"/>
  <c r="L719" i="41" s="1"/>
  <c r="I719" i="41"/>
  <c r="N718" i="41"/>
  <c r="M718" i="41"/>
  <c r="L718" i="41"/>
  <c r="O718" i="41" s="1"/>
  <c r="K718" i="41"/>
  <c r="J718" i="41"/>
  <c r="I718" i="41"/>
  <c r="M717" i="41"/>
  <c r="L717" i="41"/>
  <c r="O717" i="41" s="1"/>
  <c r="K717" i="41"/>
  <c r="N717" i="41" s="1"/>
  <c r="J717" i="41"/>
  <c r="I717" i="41"/>
  <c r="M716" i="41"/>
  <c r="K716" i="41"/>
  <c r="N716" i="41" s="1"/>
  <c r="J716" i="41"/>
  <c r="L716" i="41" s="1"/>
  <c r="I716" i="41"/>
  <c r="M715" i="41"/>
  <c r="K715" i="41"/>
  <c r="N715" i="41" s="1"/>
  <c r="J715" i="41"/>
  <c r="L715" i="41" s="1"/>
  <c r="O715" i="41" s="1"/>
  <c r="I715" i="41"/>
  <c r="O714" i="41"/>
  <c r="N714" i="41"/>
  <c r="M714" i="41"/>
  <c r="L714" i="41"/>
  <c r="K714" i="41"/>
  <c r="J714" i="41"/>
  <c r="I714" i="41"/>
  <c r="M713" i="41"/>
  <c r="L713" i="41"/>
  <c r="K713" i="41"/>
  <c r="N713" i="41" s="1"/>
  <c r="J713" i="41"/>
  <c r="I713" i="41"/>
  <c r="N712" i="41"/>
  <c r="M712" i="41"/>
  <c r="L712" i="41"/>
  <c r="K712" i="41"/>
  <c r="J712" i="41"/>
  <c r="I712" i="41"/>
  <c r="N711" i="41"/>
  <c r="M711" i="41"/>
  <c r="O711" i="41" s="1"/>
  <c r="K711" i="41"/>
  <c r="J711" i="41"/>
  <c r="L711" i="41" s="1"/>
  <c r="I711" i="41"/>
  <c r="M710" i="41"/>
  <c r="K710" i="41"/>
  <c r="N710" i="41" s="1"/>
  <c r="J710" i="41"/>
  <c r="L710" i="41" s="1"/>
  <c r="I710" i="41"/>
  <c r="N709" i="41"/>
  <c r="M709" i="41"/>
  <c r="K709" i="41"/>
  <c r="J709" i="41"/>
  <c r="L709" i="41" s="1"/>
  <c r="I709" i="41"/>
  <c r="O708" i="41"/>
  <c r="N708" i="41"/>
  <c r="M708" i="41"/>
  <c r="L708" i="41"/>
  <c r="K708" i="41"/>
  <c r="J708" i="41"/>
  <c r="I708" i="41"/>
  <c r="M707" i="41"/>
  <c r="K707" i="41"/>
  <c r="N707" i="41" s="1"/>
  <c r="J707" i="41"/>
  <c r="L707" i="41" s="1"/>
  <c r="I707" i="41"/>
  <c r="M706" i="41"/>
  <c r="L706" i="41"/>
  <c r="O706" i="41" s="1"/>
  <c r="K706" i="41"/>
  <c r="N706" i="41" s="1"/>
  <c r="J706" i="41"/>
  <c r="I706" i="41"/>
  <c r="M705" i="41"/>
  <c r="L705" i="41"/>
  <c r="O705" i="41" s="1"/>
  <c r="K705" i="41"/>
  <c r="N705" i="41" s="1"/>
  <c r="J705" i="41"/>
  <c r="I705" i="41"/>
  <c r="M704" i="41"/>
  <c r="K704" i="41"/>
  <c r="N704" i="41" s="1"/>
  <c r="J704" i="41"/>
  <c r="L704" i="41" s="1"/>
  <c r="I704" i="41"/>
  <c r="N703" i="41"/>
  <c r="M703" i="41"/>
  <c r="K703" i="41"/>
  <c r="J703" i="41"/>
  <c r="L703" i="41" s="1"/>
  <c r="I703" i="41"/>
  <c r="N702" i="41"/>
  <c r="M702" i="41"/>
  <c r="L702" i="41"/>
  <c r="K702" i="41"/>
  <c r="J702" i="41"/>
  <c r="I702" i="41"/>
  <c r="N701" i="41"/>
  <c r="M701" i="41"/>
  <c r="L701" i="41"/>
  <c r="K701" i="41"/>
  <c r="J701" i="41"/>
  <c r="I701" i="41"/>
  <c r="N700" i="41"/>
  <c r="M700" i="41"/>
  <c r="O700" i="41" s="1"/>
  <c r="L700" i="41"/>
  <c r="K700" i="41"/>
  <c r="J700" i="41"/>
  <c r="I700" i="41"/>
  <c r="N699" i="41"/>
  <c r="M699" i="41"/>
  <c r="O699" i="41" s="1"/>
  <c r="K699" i="41"/>
  <c r="J699" i="41"/>
  <c r="L699" i="41" s="1"/>
  <c r="I699" i="41"/>
  <c r="O698" i="41"/>
  <c r="N698" i="41"/>
  <c r="M698" i="41"/>
  <c r="L698" i="41"/>
  <c r="K698" i="41"/>
  <c r="J698" i="41"/>
  <c r="I698" i="41"/>
  <c r="N697" i="41"/>
  <c r="M697" i="41"/>
  <c r="O697" i="41" s="1"/>
  <c r="L697" i="41"/>
  <c r="K697" i="41"/>
  <c r="J697" i="41"/>
  <c r="I697" i="41"/>
  <c r="N696" i="41"/>
  <c r="M696" i="41"/>
  <c r="K696" i="41"/>
  <c r="J696" i="41"/>
  <c r="L696" i="41" s="1"/>
  <c r="O696" i="41" s="1"/>
  <c r="I696" i="41"/>
  <c r="O695" i="41"/>
  <c r="N695" i="41"/>
  <c r="M695" i="41"/>
  <c r="L695" i="41"/>
  <c r="K695" i="41"/>
  <c r="J695" i="41"/>
  <c r="I695" i="41"/>
  <c r="N694" i="41"/>
  <c r="M694" i="41"/>
  <c r="L694" i="41"/>
  <c r="K694" i="41"/>
  <c r="J694" i="41"/>
  <c r="I694" i="41"/>
  <c r="G694" i="41"/>
  <c r="M693" i="41"/>
  <c r="K693" i="41"/>
  <c r="N693" i="41" s="1"/>
  <c r="J693" i="41"/>
  <c r="L693" i="41" s="1"/>
  <c r="I693" i="41"/>
  <c r="A693" i="41"/>
  <c r="N692" i="41"/>
  <c r="M692" i="41"/>
  <c r="L692" i="41"/>
  <c r="K692" i="41"/>
  <c r="J692" i="41"/>
  <c r="I692" i="41"/>
  <c r="M691" i="41"/>
  <c r="L691" i="41"/>
  <c r="K691" i="41"/>
  <c r="N691" i="41" s="1"/>
  <c r="J691" i="41"/>
  <c r="I691" i="41"/>
  <c r="B691" i="41"/>
  <c r="M690" i="41"/>
  <c r="L690" i="41"/>
  <c r="K690" i="41"/>
  <c r="N690" i="41" s="1"/>
  <c r="J690" i="41"/>
  <c r="I690" i="41"/>
  <c r="O689" i="41"/>
  <c r="N689" i="41"/>
  <c r="M689" i="41"/>
  <c r="K689" i="41"/>
  <c r="J689" i="41"/>
  <c r="L689" i="41" s="1"/>
  <c r="I689" i="41"/>
  <c r="N688" i="41"/>
  <c r="M688" i="41"/>
  <c r="K688" i="41"/>
  <c r="J688" i="41"/>
  <c r="L688" i="41" s="1"/>
  <c r="I688" i="41"/>
  <c r="O687" i="41"/>
  <c r="N687" i="41"/>
  <c r="M687" i="41"/>
  <c r="K687" i="41"/>
  <c r="J687" i="41"/>
  <c r="L687" i="41" s="1"/>
  <c r="I687" i="41"/>
  <c r="O686" i="41"/>
  <c r="M686" i="41"/>
  <c r="K686" i="41"/>
  <c r="N686" i="41" s="1"/>
  <c r="J686" i="41"/>
  <c r="L686" i="41" s="1"/>
  <c r="I686" i="41"/>
  <c r="N685" i="41"/>
  <c r="M685" i="41"/>
  <c r="K685" i="41"/>
  <c r="J685" i="41"/>
  <c r="L685" i="41" s="1"/>
  <c r="I685" i="41"/>
  <c r="O685" i="41" s="1"/>
  <c r="N684" i="41"/>
  <c r="M684" i="41"/>
  <c r="O684" i="41" s="1"/>
  <c r="L684" i="41"/>
  <c r="K684" i="41"/>
  <c r="J684" i="41"/>
  <c r="I684" i="41"/>
  <c r="O683" i="41"/>
  <c r="N683" i="41"/>
  <c r="M683" i="41"/>
  <c r="L683" i="41"/>
  <c r="K683" i="41"/>
  <c r="J683" i="41"/>
  <c r="I683" i="41"/>
  <c r="M682" i="41"/>
  <c r="K682" i="41"/>
  <c r="N682" i="41" s="1"/>
  <c r="J682" i="41"/>
  <c r="L682" i="41" s="1"/>
  <c r="O682" i="41" s="1"/>
  <c r="I682" i="41"/>
  <c r="N681" i="41"/>
  <c r="M681" i="41"/>
  <c r="K681" i="41"/>
  <c r="J681" i="41"/>
  <c r="L681" i="41" s="1"/>
  <c r="I681" i="41"/>
  <c r="O680" i="41"/>
  <c r="M680" i="41"/>
  <c r="L680" i="41"/>
  <c r="K680" i="41"/>
  <c r="N680" i="41" s="1"/>
  <c r="J680" i="41"/>
  <c r="I680" i="41"/>
  <c r="M679" i="41"/>
  <c r="K679" i="41"/>
  <c r="N679" i="41" s="1"/>
  <c r="J679" i="41"/>
  <c r="L679" i="41" s="1"/>
  <c r="O679" i="41" s="1"/>
  <c r="I679" i="41"/>
  <c r="M678" i="41"/>
  <c r="K678" i="41"/>
  <c r="N678" i="41" s="1"/>
  <c r="J678" i="41"/>
  <c r="L678" i="41" s="1"/>
  <c r="O678" i="41" s="1"/>
  <c r="I678" i="41"/>
  <c r="M677" i="41"/>
  <c r="K677" i="41"/>
  <c r="N677" i="41" s="1"/>
  <c r="J677" i="41"/>
  <c r="L677" i="41" s="1"/>
  <c r="I677" i="41"/>
  <c r="O676" i="41"/>
  <c r="M676" i="41"/>
  <c r="K676" i="41"/>
  <c r="N676" i="41" s="1"/>
  <c r="J676" i="41"/>
  <c r="L676" i="41" s="1"/>
  <c r="I676" i="41"/>
  <c r="M675" i="41"/>
  <c r="O675" i="41" s="1"/>
  <c r="K675" i="41"/>
  <c r="N675" i="41" s="1"/>
  <c r="J675" i="41"/>
  <c r="L675" i="41" s="1"/>
  <c r="I675" i="41"/>
  <c r="M674" i="41"/>
  <c r="O674" i="41" s="1"/>
  <c r="K674" i="41"/>
  <c r="N674" i="41" s="1"/>
  <c r="J674" i="41"/>
  <c r="L674" i="41" s="1"/>
  <c r="I674" i="41"/>
  <c r="M673" i="41"/>
  <c r="O673" i="41" s="1"/>
  <c r="K673" i="41"/>
  <c r="N673" i="41" s="1"/>
  <c r="J673" i="41"/>
  <c r="L673" i="41" s="1"/>
  <c r="I673" i="41"/>
  <c r="M672" i="41"/>
  <c r="L672" i="41"/>
  <c r="K672" i="41"/>
  <c r="N672" i="41" s="1"/>
  <c r="J672" i="41"/>
  <c r="I672" i="41"/>
  <c r="O671" i="41"/>
  <c r="M671" i="41"/>
  <c r="K671" i="41"/>
  <c r="N671" i="41" s="1"/>
  <c r="J671" i="41"/>
  <c r="L671" i="41" s="1"/>
  <c r="I671" i="41"/>
  <c r="M670" i="41"/>
  <c r="K670" i="41"/>
  <c r="N670" i="41" s="1"/>
  <c r="J670" i="41"/>
  <c r="L670" i="41" s="1"/>
  <c r="I670" i="41"/>
  <c r="N669" i="41"/>
  <c r="M669" i="41"/>
  <c r="O669" i="41" s="1"/>
  <c r="K669" i="41"/>
  <c r="J669" i="41"/>
  <c r="L669" i="41" s="1"/>
  <c r="I669" i="41"/>
  <c r="M668" i="41"/>
  <c r="L668" i="41"/>
  <c r="O668" i="41" s="1"/>
  <c r="K668" i="41"/>
  <c r="N668" i="41" s="1"/>
  <c r="J668" i="41"/>
  <c r="I668" i="41"/>
  <c r="M667" i="41"/>
  <c r="L667" i="41"/>
  <c r="K667" i="41"/>
  <c r="N667" i="41" s="1"/>
  <c r="J667" i="41"/>
  <c r="I667" i="41"/>
  <c r="N666" i="41"/>
  <c r="M666" i="41"/>
  <c r="K666" i="41"/>
  <c r="J666" i="41"/>
  <c r="L666" i="41" s="1"/>
  <c r="I666" i="41"/>
  <c r="M665" i="41"/>
  <c r="O665" i="41" s="1"/>
  <c r="L665" i="41"/>
  <c r="K665" i="41"/>
  <c r="N665" i="41" s="1"/>
  <c r="J665" i="41"/>
  <c r="I665" i="41"/>
  <c r="G665" i="41"/>
  <c r="N664" i="41"/>
  <c r="M664" i="41"/>
  <c r="O664" i="41" s="1"/>
  <c r="L664" i="41"/>
  <c r="K664" i="41"/>
  <c r="J664" i="41"/>
  <c r="I664" i="41"/>
  <c r="N663" i="41"/>
  <c r="M663" i="41"/>
  <c r="L663" i="41"/>
  <c r="K663" i="41"/>
  <c r="J663" i="41"/>
  <c r="I663" i="41"/>
  <c r="N662" i="41"/>
  <c r="M662" i="41"/>
  <c r="O662" i="41" s="1"/>
  <c r="K662" i="41"/>
  <c r="J662" i="41"/>
  <c r="L662" i="41" s="1"/>
  <c r="I662" i="41"/>
  <c r="M661" i="41"/>
  <c r="O661" i="41" s="1"/>
  <c r="L661" i="41"/>
  <c r="K661" i="41"/>
  <c r="N661" i="41" s="1"/>
  <c r="J661" i="41"/>
  <c r="I661" i="41"/>
  <c r="O660" i="41"/>
  <c r="N660" i="41"/>
  <c r="M660" i="41"/>
  <c r="L660" i="41"/>
  <c r="K660" i="41"/>
  <c r="J660" i="41"/>
  <c r="I660" i="41"/>
  <c r="N659" i="41"/>
  <c r="M659" i="41"/>
  <c r="K659" i="41"/>
  <c r="J659" i="41"/>
  <c r="L659" i="41" s="1"/>
  <c r="I659" i="41"/>
  <c r="O659" i="41" s="1"/>
  <c r="N658" i="41"/>
  <c r="M658" i="41"/>
  <c r="O658" i="41" s="1"/>
  <c r="L658" i="41"/>
  <c r="K658" i="41"/>
  <c r="J658" i="41"/>
  <c r="I658" i="41"/>
  <c r="O657" i="41"/>
  <c r="N657" i="41"/>
  <c r="M657" i="41"/>
  <c r="L657" i="41"/>
  <c r="K657" i="41"/>
  <c r="J657" i="41"/>
  <c r="I657" i="41"/>
  <c r="M656" i="41"/>
  <c r="K656" i="41"/>
  <c r="N656" i="41" s="1"/>
  <c r="J656" i="41"/>
  <c r="L656" i="41" s="1"/>
  <c r="O656" i="41" s="1"/>
  <c r="I656" i="41"/>
  <c r="N655" i="41"/>
  <c r="M655" i="41"/>
  <c r="K655" i="41"/>
  <c r="J655" i="41"/>
  <c r="L655" i="41" s="1"/>
  <c r="O655" i="41" s="1"/>
  <c r="I655" i="41"/>
  <c r="O654" i="41"/>
  <c r="N654" i="41"/>
  <c r="M654" i="41"/>
  <c r="L654" i="41"/>
  <c r="K654" i="41"/>
  <c r="J654" i="41"/>
  <c r="I654" i="41"/>
  <c r="M653" i="41"/>
  <c r="K653" i="41"/>
  <c r="N653" i="41" s="1"/>
  <c r="J653" i="41"/>
  <c r="L653" i="41" s="1"/>
  <c r="I653" i="41"/>
  <c r="O652" i="41"/>
  <c r="N652" i="41"/>
  <c r="M652" i="41"/>
  <c r="K652" i="41"/>
  <c r="J652" i="41"/>
  <c r="L652" i="41" s="1"/>
  <c r="I652" i="41"/>
  <c r="M651" i="41"/>
  <c r="O651" i="41" s="1"/>
  <c r="L651" i="41"/>
  <c r="K651" i="41"/>
  <c r="N651" i="41" s="1"/>
  <c r="J651" i="41"/>
  <c r="I651" i="41"/>
  <c r="M650" i="41"/>
  <c r="K650" i="41"/>
  <c r="N650" i="41" s="1"/>
  <c r="J650" i="41"/>
  <c r="L650" i="41" s="1"/>
  <c r="I650" i="41"/>
  <c r="M649" i="41"/>
  <c r="L649" i="41"/>
  <c r="O649" i="41" s="1"/>
  <c r="K649" i="41"/>
  <c r="N649" i="41" s="1"/>
  <c r="J649" i="41"/>
  <c r="I649" i="41"/>
  <c r="M648" i="41"/>
  <c r="K648" i="41"/>
  <c r="N648" i="41" s="1"/>
  <c r="J648" i="41"/>
  <c r="L648" i="41" s="1"/>
  <c r="O648" i="41" s="1"/>
  <c r="I648" i="41"/>
  <c r="M647" i="41"/>
  <c r="L647" i="41"/>
  <c r="K647" i="41"/>
  <c r="N647" i="41" s="1"/>
  <c r="J647" i="41"/>
  <c r="I647" i="41"/>
  <c r="M646" i="41"/>
  <c r="K646" i="41"/>
  <c r="N646" i="41" s="1"/>
  <c r="J646" i="41"/>
  <c r="L646" i="41" s="1"/>
  <c r="I646" i="41"/>
  <c r="M645" i="41"/>
  <c r="K645" i="41"/>
  <c r="N645" i="41" s="1"/>
  <c r="J645" i="41"/>
  <c r="L645" i="41" s="1"/>
  <c r="I645" i="41"/>
  <c r="M644" i="41"/>
  <c r="K644" i="41"/>
  <c r="N644" i="41" s="1"/>
  <c r="J644" i="41"/>
  <c r="L644" i="41" s="1"/>
  <c r="I644" i="41"/>
  <c r="M643" i="41"/>
  <c r="K643" i="41"/>
  <c r="N643" i="41" s="1"/>
  <c r="J643" i="41"/>
  <c r="L643" i="41" s="1"/>
  <c r="I643" i="41"/>
  <c r="M642" i="41"/>
  <c r="K642" i="41"/>
  <c r="N642" i="41" s="1"/>
  <c r="J642" i="41"/>
  <c r="L642" i="41" s="1"/>
  <c r="O642" i="41" s="1"/>
  <c r="I642" i="41"/>
  <c r="M641" i="41"/>
  <c r="L641" i="41"/>
  <c r="K641" i="41"/>
  <c r="N641" i="41" s="1"/>
  <c r="J641" i="41"/>
  <c r="I641" i="41"/>
  <c r="O640" i="41"/>
  <c r="M640" i="41"/>
  <c r="L640" i="41"/>
  <c r="K640" i="41"/>
  <c r="N640" i="41" s="1"/>
  <c r="J640" i="41"/>
  <c r="I640" i="41"/>
  <c r="G640" i="41"/>
  <c r="A640" i="41"/>
  <c r="O639" i="41"/>
  <c r="N639" i="41"/>
  <c r="M639" i="41"/>
  <c r="K639" i="41"/>
  <c r="J639" i="41"/>
  <c r="L639" i="41" s="1"/>
  <c r="I639" i="41"/>
  <c r="M638" i="41"/>
  <c r="O638" i="41" s="1"/>
  <c r="K638" i="41"/>
  <c r="N638" i="41" s="1"/>
  <c r="J638" i="41"/>
  <c r="L638" i="41" s="1"/>
  <c r="I638" i="41"/>
  <c r="M637" i="41"/>
  <c r="K637" i="41"/>
  <c r="N637" i="41" s="1"/>
  <c r="J637" i="41"/>
  <c r="L637" i="41" s="1"/>
  <c r="O637" i="41" s="1"/>
  <c r="I637" i="41"/>
  <c r="N636" i="41"/>
  <c r="M636" i="41"/>
  <c r="K636" i="41"/>
  <c r="J636" i="41"/>
  <c r="L636" i="41" s="1"/>
  <c r="I636" i="41"/>
  <c r="G636" i="41"/>
  <c r="H691" i="41" s="1"/>
  <c r="A636" i="41"/>
  <c r="N635" i="41"/>
  <c r="M635" i="41"/>
  <c r="K635" i="41"/>
  <c r="J635" i="41"/>
  <c r="L635" i="41" s="1"/>
  <c r="I635" i="41"/>
  <c r="A635" i="41"/>
  <c r="A665" i="41" s="1"/>
  <c r="M633" i="41"/>
  <c r="K633" i="41"/>
  <c r="N633" i="41" s="1"/>
  <c r="J633" i="41"/>
  <c r="L633" i="41" s="1"/>
  <c r="I633" i="41"/>
  <c r="B633" i="41"/>
  <c r="M632" i="41"/>
  <c r="K632" i="41"/>
  <c r="N632" i="41" s="1"/>
  <c r="J632" i="41"/>
  <c r="L632" i="41" s="1"/>
  <c r="I632" i="41"/>
  <c r="M631" i="41"/>
  <c r="K631" i="41"/>
  <c r="N631" i="41" s="1"/>
  <c r="J631" i="41"/>
  <c r="L631" i="41" s="1"/>
  <c r="O631" i="41" s="1"/>
  <c r="I631" i="41"/>
  <c r="O630" i="41"/>
  <c r="M630" i="41"/>
  <c r="L630" i="41"/>
  <c r="K630" i="41"/>
  <c r="N630" i="41" s="1"/>
  <c r="J630" i="41"/>
  <c r="I630" i="41"/>
  <c r="M629" i="41"/>
  <c r="L629" i="41"/>
  <c r="K629" i="41"/>
  <c r="N629" i="41" s="1"/>
  <c r="J629" i="41"/>
  <c r="I629" i="41"/>
  <c r="M628" i="41"/>
  <c r="K628" i="41"/>
  <c r="N628" i="41" s="1"/>
  <c r="J628" i="41"/>
  <c r="L628" i="41" s="1"/>
  <c r="I628" i="41"/>
  <c r="N627" i="41"/>
  <c r="M627" i="41"/>
  <c r="O627" i="41" s="1"/>
  <c r="L627" i="41"/>
  <c r="K627" i="41"/>
  <c r="J627" i="41"/>
  <c r="I627" i="41"/>
  <c r="M626" i="41"/>
  <c r="K626" i="41"/>
  <c r="N626" i="41" s="1"/>
  <c r="J626" i="41"/>
  <c r="L626" i="41" s="1"/>
  <c r="I626" i="41"/>
  <c r="M625" i="41"/>
  <c r="K625" i="41"/>
  <c r="N625" i="41" s="1"/>
  <c r="J625" i="41"/>
  <c r="L625" i="41" s="1"/>
  <c r="I625" i="41"/>
  <c r="N624" i="41"/>
  <c r="M624" i="41"/>
  <c r="L624" i="41"/>
  <c r="K624" i="41"/>
  <c r="J624" i="41"/>
  <c r="I624" i="41"/>
  <c r="M623" i="41"/>
  <c r="K623" i="41"/>
  <c r="N623" i="41" s="1"/>
  <c r="J623" i="41"/>
  <c r="L623" i="41" s="1"/>
  <c r="I623" i="41"/>
  <c r="N622" i="41"/>
  <c r="M622" i="41"/>
  <c r="K622" i="41"/>
  <c r="J622" i="41"/>
  <c r="L622" i="41" s="1"/>
  <c r="I622" i="41"/>
  <c r="N621" i="41"/>
  <c r="M621" i="41"/>
  <c r="O621" i="41" s="1"/>
  <c r="L621" i="41"/>
  <c r="K621" i="41"/>
  <c r="J621" i="41"/>
  <c r="I621" i="41"/>
  <c r="M620" i="41"/>
  <c r="K620" i="41"/>
  <c r="N620" i="41" s="1"/>
  <c r="J620" i="41"/>
  <c r="L620" i="41" s="1"/>
  <c r="I620" i="41"/>
  <c r="N619" i="41"/>
  <c r="M619" i="41"/>
  <c r="K619" i="41"/>
  <c r="J619" i="41"/>
  <c r="L619" i="41" s="1"/>
  <c r="I619" i="41"/>
  <c r="N618" i="41"/>
  <c r="M618" i="41"/>
  <c r="O618" i="41" s="1"/>
  <c r="L618" i="41"/>
  <c r="K618" i="41"/>
  <c r="J618" i="41"/>
  <c r="I618" i="41"/>
  <c r="M617" i="41"/>
  <c r="L617" i="41"/>
  <c r="K617" i="41"/>
  <c r="N617" i="41" s="1"/>
  <c r="J617" i="41"/>
  <c r="I617" i="41"/>
  <c r="M616" i="41"/>
  <c r="K616" i="41"/>
  <c r="N616" i="41" s="1"/>
  <c r="J616" i="41"/>
  <c r="L616" i="41" s="1"/>
  <c r="O616" i="41" s="1"/>
  <c r="I616" i="41"/>
  <c r="N615" i="41"/>
  <c r="M615" i="41"/>
  <c r="K615" i="41"/>
  <c r="J615" i="41"/>
  <c r="L615" i="41" s="1"/>
  <c r="O615" i="41" s="1"/>
  <c r="I615" i="41"/>
  <c r="N614" i="41"/>
  <c r="M614" i="41"/>
  <c r="K614" i="41"/>
  <c r="J614" i="41"/>
  <c r="L614" i="41" s="1"/>
  <c r="I614" i="41"/>
  <c r="N613" i="41"/>
  <c r="M613" i="41"/>
  <c r="K613" i="41"/>
  <c r="J613" i="41"/>
  <c r="L613" i="41" s="1"/>
  <c r="O613" i="41" s="1"/>
  <c r="I613" i="41"/>
  <c r="O612" i="41"/>
  <c r="M612" i="41"/>
  <c r="K612" i="41"/>
  <c r="N612" i="41" s="1"/>
  <c r="J612" i="41"/>
  <c r="L612" i="41" s="1"/>
  <c r="I612" i="41"/>
  <c r="N611" i="41"/>
  <c r="M611" i="41"/>
  <c r="K611" i="41"/>
  <c r="J611" i="41"/>
  <c r="L611" i="41" s="1"/>
  <c r="O611" i="41" s="1"/>
  <c r="I611" i="41"/>
  <c r="M610" i="41"/>
  <c r="K610" i="41"/>
  <c r="N610" i="41" s="1"/>
  <c r="J610" i="41"/>
  <c r="L610" i="41" s="1"/>
  <c r="I610" i="41"/>
  <c r="M609" i="41"/>
  <c r="K609" i="41"/>
  <c r="N609" i="41" s="1"/>
  <c r="J609" i="41"/>
  <c r="L609" i="41" s="1"/>
  <c r="O609" i="41" s="1"/>
  <c r="I609" i="41"/>
  <c r="O608" i="41"/>
  <c r="N608" i="41"/>
  <c r="M608" i="41"/>
  <c r="K608" i="41"/>
  <c r="J608" i="41"/>
  <c r="L608" i="41" s="1"/>
  <c r="I608" i="41"/>
  <c r="G608" i="41"/>
  <c r="O607" i="41"/>
  <c r="M607" i="41"/>
  <c r="L607" i="41"/>
  <c r="K607" i="41"/>
  <c r="N607" i="41" s="1"/>
  <c r="J607" i="41"/>
  <c r="I607" i="41"/>
  <c r="M606" i="41"/>
  <c r="L606" i="41"/>
  <c r="K606" i="41"/>
  <c r="N606" i="41" s="1"/>
  <c r="J606" i="41"/>
  <c r="I606" i="41"/>
  <c r="N605" i="41"/>
  <c r="M605" i="41"/>
  <c r="O605" i="41" s="1"/>
  <c r="K605" i="41"/>
  <c r="J605" i="41"/>
  <c r="L605" i="41" s="1"/>
  <c r="I605" i="41"/>
  <c r="N604" i="41"/>
  <c r="M604" i="41"/>
  <c r="L604" i="41"/>
  <c r="K604" i="41"/>
  <c r="J604" i="41"/>
  <c r="I604" i="41"/>
  <c r="N603" i="41"/>
  <c r="M603" i="41"/>
  <c r="K603" i="41"/>
  <c r="J603" i="41"/>
  <c r="L603" i="41" s="1"/>
  <c r="I603" i="41"/>
  <c r="N602" i="41"/>
  <c r="M602" i="41"/>
  <c r="O602" i="41" s="1"/>
  <c r="K602" i="41"/>
  <c r="J602" i="41"/>
  <c r="L602" i="41" s="1"/>
  <c r="I602" i="41"/>
  <c r="N601" i="41"/>
  <c r="M601" i="41"/>
  <c r="K601" i="41"/>
  <c r="J601" i="41"/>
  <c r="L601" i="41" s="1"/>
  <c r="I601" i="41"/>
  <c r="M600" i="41"/>
  <c r="L600" i="41"/>
  <c r="O600" i="41" s="1"/>
  <c r="K600" i="41"/>
  <c r="N600" i="41" s="1"/>
  <c r="J600" i="41"/>
  <c r="I600" i="41"/>
  <c r="N599" i="41"/>
  <c r="M599" i="41"/>
  <c r="O599" i="41" s="1"/>
  <c r="K599" i="41"/>
  <c r="J599" i="41"/>
  <c r="L599" i="41" s="1"/>
  <c r="I599" i="41"/>
  <c r="O598" i="41"/>
  <c r="N598" i="41"/>
  <c r="M598" i="41"/>
  <c r="K598" i="41"/>
  <c r="J598" i="41"/>
  <c r="L598" i="41" s="1"/>
  <c r="I598" i="41"/>
  <c r="N597" i="41"/>
  <c r="M597" i="41"/>
  <c r="K597" i="41"/>
  <c r="J597" i="41"/>
  <c r="L597" i="41" s="1"/>
  <c r="O597" i="41" s="1"/>
  <c r="I597" i="41"/>
  <c r="N596" i="41"/>
  <c r="M596" i="41"/>
  <c r="K596" i="41"/>
  <c r="J596" i="41"/>
  <c r="L596" i="41" s="1"/>
  <c r="I596" i="41"/>
  <c r="N595" i="41"/>
  <c r="M595" i="41"/>
  <c r="K595" i="41"/>
  <c r="J595" i="41"/>
  <c r="L595" i="41" s="1"/>
  <c r="O595" i="41" s="1"/>
  <c r="I595" i="41"/>
  <c r="N594" i="41"/>
  <c r="M594" i="41"/>
  <c r="L594" i="41"/>
  <c r="K594" i="41"/>
  <c r="J594" i="41"/>
  <c r="I594" i="41"/>
  <c r="N593" i="41"/>
  <c r="M593" i="41"/>
  <c r="K593" i="41"/>
  <c r="J593" i="41"/>
  <c r="L593" i="41" s="1"/>
  <c r="I593" i="41"/>
  <c r="M592" i="41"/>
  <c r="K592" i="41"/>
  <c r="N592" i="41" s="1"/>
  <c r="J592" i="41"/>
  <c r="L592" i="41" s="1"/>
  <c r="O592" i="41" s="1"/>
  <c r="I592" i="41"/>
  <c r="M591" i="41"/>
  <c r="K591" i="41"/>
  <c r="N591" i="41" s="1"/>
  <c r="J591" i="41"/>
  <c r="L591" i="41" s="1"/>
  <c r="I591" i="41"/>
  <c r="N590" i="41"/>
  <c r="M590" i="41"/>
  <c r="L590" i="41"/>
  <c r="O590" i="41" s="1"/>
  <c r="K590" i="41"/>
  <c r="J590" i="41"/>
  <c r="I590" i="41"/>
  <c r="N589" i="41"/>
  <c r="M589" i="41"/>
  <c r="K589" i="41"/>
  <c r="J589" i="41"/>
  <c r="L589" i="41" s="1"/>
  <c r="I589" i="41"/>
  <c r="M588" i="41"/>
  <c r="K588" i="41"/>
  <c r="N588" i="41" s="1"/>
  <c r="J588" i="41"/>
  <c r="L588" i="41" s="1"/>
  <c r="O588" i="41" s="1"/>
  <c r="I588" i="41"/>
  <c r="N587" i="41"/>
  <c r="M587" i="41"/>
  <c r="O587" i="41" s="1"/>
  <c r="L587" i="41"/>
  <c r="K587" i="41"/>
  <c r="J587" i="41"/>
  <c r="I587" i="41"/>
  <c r="M586" i="41"/>
  <c r="K586" i="41"/>
  <c r="N586" i="41" s="1"/>
  <c r="J586" i="41"/>
  <c r="L586" i="41" s="1"/>
  <c r="I586" i="41"/>
  <c r="N585" i="41"/>
  <c r="M585" i="41"/>
  <c r="L585" i="41"/>
  <c r="O585" i="41" s="1"/>
  <c r="K585" i="41"/>
  <c r="J585" i="41"/>
  <c r="I585" i="41"/>
  <c r="M584" i="41"/>
  <c r="L584" i="41"/>
  <c r="K584" i="41"/>
  <c r="N584" i="41" s="1"/>
  <c r="J584" i="41"/>
  <c r="I584" i="41"/>
  <c r="M583" i="41"/>
  <c r="K583" i="41"/>
  <c r="N583" i="41" s="1"/>
  <c r="J583" i="41"/>
  <c r="L583" i="41" s="1"/>
  <c r="I583" i="41"/>
  <c r="G583" i="41"/>
  <c r="A583" i="41"/>
  <c r="N582" i="41"/>
  <c r="M582" i="41"/>
  <c r="L582" i="41"/>
  <c r="O582" i="41" s="1"/>
  <c r="K582" i="41"/>
  <c r="J582" i="41"/>
  <c r="I582" i="41"/>
  <c r="N581" i="41"/>
  <c r="M581" i="41"/>
  <c r="L581" i="41"/>
  <c r="O581" i="41" s="1"/>
  <c r="K581" i="41"/>
  <c r="J581" i="41"/>
  <c r="I581" i="41"/>
  <c r="M580" i="41"/>
  <c r="K580" i="41"/>
  <c r="N580" i="41" s="1"/>
  <c r="J580" i="41"/>
  <c r="L580" i="41" s="1"/>
  <c r="I580" i="41"/>
  <c r="N578" i="41"/>
  <c r="M578" i="41"/>
  <c r="K578" i="41"/>
  <c r="J578" i="41"/>
  <c r="L578" i="41" s="1"/>
  <c r="O578" i="41" s="1"/>
  <c r="I578" i="41"/>
  <c r="M577" i="41"/>
  <c r="L577" i="41"/>
  <c r="O577" i="41" s="1"/>
  <c r="K577" i="41"/>
  <c r="N577" i="41" s="1"/>
  <c r="J577" i="41"/>
  <c r="I577" i="41"/>
  <c r="M576" i="41"/>
  <c r="K576" i="41"/>
  <c r="N576" i="41" s="1"/>
  <c r="J576" i="41"/>
  <c r="L576" i="41" s="1"/>
  <c r="I576" i="41"/>
  <c r="G576" i="41"/>
  <c r="H633" i="41" s="1"/>
  <c r="M575" i="41"/>
  <c r="L575" i="41"/>
  <c r="K575" i="41"/>
  <c r="N575" i="41" s="1"/>
  <c r="J575" i="41"/>
  <c r="I575" i="41"/>
  <c r="A575" i="41"/>
  <c r="A608" i="41" s="1"/>
  <c r="M574" i="41"/>
  <c r="K574" i="41"/>
  <c r="N574" i="41" s="1"/>
  <c r="J574" i="41"/>
  <c r="L574" i="41" s="1"/>
  <c r="I574" i="41"/>
  <c r="I573" i="41"/>
  <c r="M572" i="41"/>
  <c r="K572" i="41"/>
  <c r="N572" i="41" s="1"/>
  <c r="J572" i="41"/>
  <c r="L572" i="41" s="1"/>
  <c r="I572" i="41"/>
  <c r="M571" i="41"/>
  <c r="L571" i="41"/>
  <c r="K571" i="41"/>
  <c r="N571" i="41" s="1"/>
  <c r="J571" i="41"/>
  <c r="I571" i="41"/>
  <c r="M570" i="41"/>
  <c r="K570" i="41"/>
  <c r="N570" i="41" s="1"/>
  <c r="J570" i="41"/>
  <c r="L570" i="41" s="1"/>
  <c r="I570" i="41"/>
  <c r="B570" i="41"/>
  <c r="M569" i="41"/>
  <c r="L569" i="41"/>
  <c r="K569" i="41"/>
  <c r="N569" i="41" s="1"/>
  <c r="J569" i="41"/>
  <c r="I569" i="41"/>
  <c r="N568" i="41"/>
  <c r="M568" i="41"/>
  <c r="K568" i="41"/>
  <c r="J568" i="41"/>
  <c r="L568" i="41" s="1"/>
  <c r="O568" i="41" s="1"/>
  <c r="I568" i="41"/>
  <c r="M567" i="41"/>
  <c r="O567" i="41" s="1"/>
  <c r="L567" i="41"/>
  <c r="K567" i="41"/>
  <c r="N567" i="41" s="1"/>
  <c r="J567" i="41"/>
  <c r="I567" i="41"/>
  <c r="N566" i="41"/>
  <c r="M566" i="41"/>
  <c r="O566" i="41" s="1"/>
  <c r="K566" i="41"/>
  <c r="J566" i="41"/>
  <c r="L566" i="41" s="1"/>
  <c r="I566" i="41"/>
  <c r="M565" i="41"/>
  <c r="K565" i="41"/>
  <c r="N565" i="41" s="1"/>
  <c r="J565" i="41"/>
  <c r="L565" i="41" s="1"/>
  <c r="O565" i="41" s="1"/>
  <c r="I565" i="41"/>
  <c r="M564" i="41"/>
  <c r="K564" i="41"/>
  <c r="N564" i="41" s="1"/>
  <c r="J564" i="41"/>
  <c r="L564" i="41" s="1"/>
  <c r="O564" i="41" s="1"/>
  <c r="I564" i="41"/>
  <c r="M563" i="41"/>
  <c r="K563" i="41"/>
  <c r="N563" i="41" s="1"/>
  <c r="J563" i="41"/>
  <c r="L563" i="41" s="1"/>
  <c r="I563" i="41"/>
  <c r="O562" i="41"/>
  <c r="M562" i="41"/>
  <c r="K562" i="41"/>
  <c r="N562" i="41" s="1"/>
  <c r="J562" i="41"/>
  <c r="L562" i="41" s="1"/>
  <c r="I562" i="41"/>
  <c r="G562" i="41"/>
  <c r="A562" i="41"/>
  <c r="N561" i="41"/>
  <c r="M561" i="41"/>
  <c r="L561" i="41"/>
  <c r="K561" i="41"/>
  <c r="J561" i="41"/>
  <c r="I561" i="41"/>
  <c r="M560" i="41"/>
  <c r="K560" i="41"/>
  <c r="N560" i="41" s="1"/>
  <c r="J560" i="41"/>
  <c r="L560" i="41" s="1"/>
  <c r="I560" i="41"/>
  <c r="M558" i="41"/>
  <c r="K558" i="41"/>
  <c r="N558" i="41" s="1"/>
  <c r="J558" i="41"/>
  <c r="L558" i="41" s="1"/>
  <c r="I558" i="41"/>
  <c r="M557" i="41"/>
  <c r="K557" i="41"/>
  <c r="N557" i="41" s="1"/>
  <c r="J557" i="41"/>
  <c r="L557" i="41" s="1"/>
  <c r="I557" i="41"/>
  <c r="O556" i="41"/>
  <c r="M556" i="41"/>
  <c r="L556" i="41"/>
  <c r="K556" i="41"/>
  <c r="N556" i="41" s="1"/>
  <c r="J556" i="41"/>
  <c r="I556" i="41"/>
  <c r="N555" i="41"/>
  <c r="M555" i="41"/>
  <c r="L555" i="41"/>
  <c r="K555" i="41"/>
  <c r="J555" i="41"/>
  <c r="I555" i="41"/>
  <c r="M552" i="41"/>
  <c r="K552" i="41"/>
  <c r="N552" i="41" s="1"/>
  <c r="J552" i="41"/>
  <c r="L552" i="41" s="1"/>
  <c r="O552" i="41" s="1"/>
  <c r="I552" i="41"/>
  <c r="O551" i="41"/>
  <c r="N551" i="41"/>
  <c r="M551" i="41"/>
  <c r="L551" i="41"/>
  <c r="K551" i="41"/>
  <c r="J551" i="41"/>
  <c r="I551" i="41"/>
  <c r="M550" i="41"/>
  <c r="K550" i="41"/>
  <c r="N550" i="41" s="1"/>
  <c r="J550" i="41"/>
  <c r="L550" i="41" s="1"/>
  <c r="I550" i="41"/>
  <c r="M549" i="41"/>
  <c r="K549" i="41"/>
  <c r="N549" i="41" s="1"/>
  <c r="J549" i="41"/>
  <c r="L549" i="41" s="1"/>
  <c r="O549" i="41" s="1"/>
  <c r="I549" i="41"/>
  <c r="N548" i="41"/>
  <c r="M548" i="41"/>
  <c r="O548" i="41" s="1"/>
  <c r="K548" i="41"/>
  <c r="J548" i="41"/>
  <c r="L548" i="41" s="1"/>
  <c r="I548" i="41"/>
  <c r="N547" i="41"/>
  <c r="M547" i="41"/>
  <c r="K547" i="41"/>
  <c r="J547" i="41"/>
  <c r="L547" i="41" s="1"/>
  <c r="I547" i="41"/>
  <c r="N546" i="41"/>
  <c r="M546" i="41"/>
  <c r="O546" i="41" s="1"/>
  <c r="L546" i="41"/>
  <c r="K546" i="41"/>
  <c r="J546" i="41"/>
  <c r="I546" i="41"/>
  <c r="N545" i="41"/>
  <c r="M545" i="41"/>
  <c r="K545" i="41"/>
  <c r="J545" i="41"/>
  <c r="L545" i="41" s="1"/>
  <c r="O545" i="41" s="1"/>
  <c r="I545" i="41"/>
  <c r="N544" i="41"/>
  <c r="M544" i="41"/>
  <c r="K544" i="41"/>
  <c r="J544" i="41"/>
  <c r="L544" i="41" s="1"/>
  <c r="I544" i="41"/>
  <c r="M543" i="41"/>
  <c r="O543" i="41" s="1"/>
  <c r="L543" i="41"/>
  <c r="K543" i="41"/>
  <c r="N543" i="41" s="1"/>
  <c r="J543" i="41"/>
  <c r="I543" i="41"/>
  <c r="M542" i="41"/>
  <c r="K542" i="41"/>
  <c r="N542" i="41" s="1"/>
  <c r="J542" i="41"/>
  <c r="L542" i="41" s="1"/>
  <c r="O542" i="41" s="1"/>
  <c r="I542" i="41"/>
  <c r="N541" i="41"/>
  <c r="M541" i="41"/>
  <c r="K541" i="41"/>
  <c r="J541" i="41"/>
  <c r="L541" i="41" s="1"/>
  <c r="O541" i="41" s="1"/>
  <c r="I541" i="41"/>
  <c r="M540" i="41"/>
  <c r="O540" i="41" s="1"/>
  <c r="K540" i="41"/>
  <c r="N540" i="41" s="1"/>
  <c r="J540" i="41"/>
  <c r="L540" i="41" s="1"/>
  <c r="I540" i="41"/>
  <c r="M539" i="41"/>
  <c r="L539" i="41"/>
  <c r="K539" i="41"/>
  <c r="N539" i="41" s="1"/>
  <c r="J539" i="41"/>
  <c r="I539" i="41"/>
  <c r="N538" i="41"/>
  <c r="M538" i="41"/>
  <c r="L538" i="41"/>
  <c r="K538" i="41"/>
  <c r="J538" i="41"/>
  <c r="I538" i="41"/>
  <c r="M537" i="41"/>
  <c r="O537" i="41" s="1"/>
  <c r="K537" i="41"/>
  <c r="N537" i="41" s="1"/>
  <c r="J537" i="41"/>
  <c r="L537" i="41" s="1"/>
  <c r="I537" i="41"/>
  <c r="N536" i="41"/>
  <c r="M536" i="41"/>
  <c r="L536" i="41"/>
  <c r="K536" i="41"/>
  <c r="J536" i="41"/>
  <c r="I536" i="41"/>
  <c r="N535" i="41"/>
  <c r="M535" i="41"/>
  <c r="K535" i="41"/>
  <c r="J535" i="41"/>
  <c r="L535" i="41" s="1"/>
  <c r="I535" i="41"/>
  <c r="N534" i="41"/>
  <c r="M534" i="41"/>
  <c r="L534" i="41"/>
  <c r="K534" i="41"/>
  <c r="J534" i="41"/>
  <c r="I534" i="41"/>
  <c r="M533" i="41"/>
  <c r="K533" i="41"/>
  <c r="N533" i="41" s="1"/>
  <c r="J533" i="41"/>
  <c r="L533" i="41" s="1"/>
  <c r="O533" i="41" s="1"/>
  <c r="I533" i="41"/>
  <c r="M532" i="41"/>
  <c r="K532" i="41"/>
  <c r="N532" i="41" s="1"/>
  <c r="J532" i="41"/>
  <c r="L532" i="41" s="1"/>
  <c r="I532" i="41"/>
  <c r="O531" i="41"/>
  <c r="N531" i="41"/>
  <c r="M531" i="41"/>
  <c r="L531" i="41"/>
  <c r="K531" i="41"/>
  <c r="J531" i="41"/>
  <c r="I531" i="41"/>
  <c r="M530" i="41"/>
  <c r="K530" i="41"/>
  <c r="N530" i="41" s="1"/>
  <c r="J530" i="41"/>
  <c r="L530" i="41" s="1"/>
  <c r="I530" i="41"/>
  <c r="O529" i="41"/>
  <c r="N529" i="41"/>
  <c r="M529" i="41"/>
  <c r="K529" i="41"/>
  <c r="J529" i="41"/>
  <c r="L529" i="41" s="1"/>
  <c r="I529" i="41"/>
  <c r="N528" i="41"/>
  <c r="M528" i="41"/>
  <c r="K528" i="41"/>
  <c r="J528" i="41"/>
  <c r="L528" i="41" s="1"/>
  <c r="I528" i="41"/>
  <c r="M527" i="41"/>
  <c r="K527" i="41"/>
  <c r="N527" i="41" s="1"/>
  <c r="J527" i="41"/>
  <c r="L527" i="41" s="1"/>
  <c r="I527" i="41"/>
  <c r="M526" i="41"/>
  <c r="L526" i="41"/>
  <c r="O526" i="41" s="1"/>
  <c r="K526" i="41"/>
  <c r="N526" i="41" s="1"/>
  <c r="J526" i="41"/>
  <c r="I526" i="41"/>
  <c r="M525" i="41"/>
  <c r="K525" i="41"/>
  <c r="N525" i="41" s="1"/>
  <c r="J525" i="41"/>
  <c r="L525" i="41" s="1"/>
  <c r="I525" i="41"/>
  <c r="M524" i="41"/>
  <c r="K524" i="41"/>
  <c r="N524" i="41" s="1"/>
  <c r="J524" i="41"/>
  <c r="L524" i="41" s="1"/>
  <c r="I524" i="41"/>
  <c r="M523" i="41"/>
  <c r="K523" i="41"/>
  <c r="N523" i="41" s="1"/>
  <c r="J523" i="41"/>
  <c r="L523" i="41" s="1"/>
  <c r="O523" i="41" s="1"/>
  <c r="I523" i="41"/>
  <c r="M522" i="41"/>
  <c r="K522" i="41"/>
  <c r="N522" i="41" s="1"/>
  <c r="J522" i="41"/>
  <c r="L522" i="41" s="1"/>
  <c r="O522" i="41" s="1"/>
  <c r="I522" i="41"/>
  <c r="M521" i="41"/>
  <c r="K521" i="41"/>
  <c r="N521" i="41" s="1"/>
  <c r="J521" i="41"/>
  <c r="L521" i="41" s="1"/>
  <c r="I521" i="41"/>
  <c r="N520" i="41"/>
  <c r="M520" i="41"/>
  <c r="K520" i="41"/>
  <c r="J520" i="41"/>
  <c r="L520" i="41" s="1"/>
  <c r="O520" i="41" s="1"/>
  <c r="I520" i="41"/>
  <c r="M519" i="41"/>
  <c r="K519" i="41"/>
  <c r="N519" i="41" s="1"/>
  <c r="J519" i="41"/>
  <c r="L519" i="41" s="1"/>
  <c r="I519" i="41"/>
  <c r="M518" i="41"/>
  <c r="K518" i="41"/>
  <c r="N518" i="41" s="1"/>
  <c r="J518" i="41"/>
  <c r="L518" i="41" s="1"/>
  <c r="O518" i="41" s="1"/>
  <c r="I518" i="41"/>
  <c r="O517" i="41"/>
  <c r="N517" i="41"/>
  <c r="M517" i="41"/>
  <c r="K517" i="41"/>
  <c r="J517" i="41"/>
  <c r="L517" i="41" s="1"/>
  <c r="I517" i="41"/>
  <c r="M516" i="41"/>
  <c r="K516" i="41"/>
  <c r="N516" i="41" s="1"/>
  <c r="J516" i="41"/>
  <c r="L516" i="41" s="1"/>
  <c r="I516" i="41"/>
  <c r="O515" i="41"/>
  <c r="M515" i="41"/>
  <c r="K515" i="41"/>
  <c r="N515" i="41" s="1"/>
  <c r="J515" i="41"/>
  <c r="L515" i="41" s="1"/>
  <c r="I515" i="41"/>
  <c r="M514" i="41"/>
  <c r="O514" i="41" s="1"/>
  <c r="L514" i="41"/>
  <c r="K514" i="41"/>
  <c r="N514" i="41" s="1"/>
  <c r="J514" i="41"/>
  <c r="I514" i="41"/>
  <c r="M513" i="41"/>
  <c r="K513" i="41"/>
  <c r="N513" i="41" s="1"/>
  <c r="J513" i="41"/>
  <c r="L513" i="41" s="1"/>
  <c r="O513" i="41" s="1"/>
  <c r="I513" i="41"/>
  <c r="M512" i="41"/>
  <c r="K512" i="41"/>
  <c r="N512" i="41" s="1"/>
  <c r="J512" i="41"/>
  <c r="L512" i="41" s="1"/>
  <c r="I512" i="41"/>
  <c r="N511" i="41"/>
  <c r="M511" i="41"/>
  <c r="K511" i="41"/>
  <c r="J511" i="41"/>
  <c r="L511" i="41" s="1"/>
  <c r="I511" i="41"/>
  <c r="M510" i="41"/>
  <c r="K510" i="41"/>
  <c r="N510" i="41" s="1"/>
  <c r="J510" i="41"/>
  <c r="L510" i="41" s="1"/>
  <c r="I510" i="41"/>
  <c r="M509" i="41"/>
  <c r="K509" i="41"/>
  <c r="N509" i="41" s="1"/>
  <c r="J509" i="41"/>
  <c r="L509" i="41" s="1"/>
  <c r="O509" i="41" s="1"/>
  <c r="I509" i="41"/>
  <c r="O507" i="41"/>
  <c r="M507" i="41"/>
  <c r="K507" i="41"/>
  <c r="N507" i="41" s="1"/>
  <c r="J507" i="41"/>
  <c r="L507" i="41" s="1"/>
  <c r="I507" i="41"/>
  <c r="G507" i="41"/>
  <c r="H570" i="41" s="1"/>
  <c r="A507" i="41"/>
  <c r="O506" i="41"/>
  <c r="N506" i="41"/>
  <c r="M506" i="41"/>
  <c r="L506" i="41"/>
  <c r="K506" i="41"/>
  <c r="J506" i="41"/>
  <c r="I506" i="41"/>
  <c r="A506" i="41"/>
  <c r="M505" i="41"/>
  <c r="O505" i="41" s="1"/>
  <c r="L505" i="41"/>
  <c r="K505" i="41"/>
  <c r="N505" i="41" s="1"/>
  <c r="J505" i="41"/>
  <c r="I505" i="41"/>
  <c r="M504" i="41"/>
  <c r="K504" i="41"/>
  <c r="N504" i="41" s="1"/>
  <c r="J504" i="41"/>
  <c r="L504" i="41" s="1"/>
  <c r="O504" i="41" s="1"/>
  <c r="I504" i="41"/>
  <c r="I503" i="41"/>
  <c r="H503" i="41"/>
  <c r="M502" i="41"/>
  <c r="K502" i="41"/>
  <c r="N502" i="41" s="1"/>
  <c r="J502" i="41"/>
  <c r="L502" i="41" s="1"/>
  <c r="I502" i="41"/>
  <c r="M501" i="41"/>
  <c r="K501" i="41"/>
  <c r="N501" i="41" s="1"/>
  <c r="J501" i="41"/>
  <c r="L501" i="41" s="1"/>
  <c r="O501" i="41" s="1"/>
  <c r="I501" i="41"/>
  <c r="H501" i="41"/>
  <c r="B501" i="41"/>
  <c r="M500" i="41"/>
  <c r="L500" i="41"/>
  <c r="O500" i="41" s="1"/>
  <c r="K500" i="41"/>
  <c r="N500" i="41" s="1"/>
  <c r="J500" i="41"/>
  <c r="I500" i="41"/>
  <c r="M499" i="41"/>
  <c r="K499" i="41"/>
  <c r="N499" i="41" s="1"/>
  <c r="J499" i="41"/>
  <c r="L499" i="41" s="1"/>
  <c r="I499" i="41"/>
  <c r="M498" i="41"/>
  <c r="K498" i="41"/>
  <c r="N498" i="41" s="1"/>
  <c r="J498" i="41"/>
  <c r="L498" i="41" s="1"/>
  <c r="I498" i="41"/>
  <c r="N497" i="41"/>
  <c r="M497" i="41"/>
  <c r="O497" i="41" s="1"/>
  <c r="L497" i="41"/>
  <c r="K497" i="41"/>
  <c r="J497" i="41"/>
  <c r="I497" i="41"/>
  <c r="G497" i="41"/>
  <c r="N496" i="41"/>
  <c r="M496" i="41"/>
  <c r="L496" i="41"/>
  <c r="K496" i="41"/>
  <c r="J496" i="41"/>
  <c r="I496" i="41"/>
  <c r="M495" i="41"/>
  <c r="O495" i="41" s="1"/>
  <c r="K495" i="41"/>
  <c r="N495" i="41" s="1"/>
  <c r="J495" i="41"/>
  <c r="L495" i="41" s="1"/>
  <c r="I495" i="41"/>
  <c r="O494" i="41"/>
  <c r="N494" i="41"/>
  <c r="M494" i="41"/>
  <c r="L494" i="41"/>
  <c r="K494" i="41"/>
  <c r="J494" i="41"/>
  <c r="I494" i="41"/>
  <c r="M493" i="41"/>
  <c r="O493" i="41" s="1"/>
  <c r="K493" i="41"/>
  <c r="N493" i="41" s="1"/>
  <c r="J493" i="41"/>
  <c r="L493" i="41" s="1"/>
  <c r="I493" i="41"/>
  <c r="N492" i="41"/>
  <c r="M492" i="41"/>
  <c r="K492" i="41"/>
  <c r="J492" i="41"/>
  <c r="L492" i="41" s="1"/>
  <c r="I492" i="41"/>
  <c r="O491" i="41"/>
  <c r="N491" i="41"/>
  <c r="M491" i="41"/>
  <c r="L491" i="41"/>
  <c r="K491" i="41"/>
  <c r="J491" i="41"/>
  <c r="I491" i="41"/>
  <c r="N490" i="41"/>
  <c r="M490" i="41"/>
  <c r="K490" i="41"/>
  <c r="J490" i="41"/>
  <c r="L490" i="41" s="1"/>
  <c r="O490" i="41" s="1"/>
  <c r="I490" i="41"/>
  <c r="N489" i="41"/>
  <c r="M489" i="41"/>
  <c r="K489" i="41"/>
  <c r="J489" i="41"/>
  <c r="L489" i="41" s="1"/>
  <c r="I489" i="41"/>
  <c r="O488" i="41"/>
  <c r="M488" i="41"/>
  <c r="K488" i="41"/>
  <c r="N488" i="41" s="1"/>
  <c r="J488" i="41"/>
  <c r="L488" i="41" s="1"/>
  <c r="I488" i="41"/>
  <c r="G488" i="41"/>
  <c r="M487" i="41"/>
  <c r="K487" i="41"/>
  <c r="N487" i="41" s="1"/>
  <c r="J487" i="41"/>
  <c r="L487" i="41" s="1"/>
  <c r="O487" i="41" s="1"/>
  <c r="I487" i="41"/>
  <c r="A487" i="41"/>
  <c r="M485" i="41"/>
  <c r="O485" i="41" s="1"/>
  <c r="L485" i="41"/>
  <c r="K485" i="41"/>
  <c r="N485" i="41" s="1"/>
  <c r="J485" i="41"/>
  <c r="I485" i="41"/>
  <c r="B485" i="41"/>
  <c r="M484" i="41"/>
  <c r="L484" i="41"/>
  <c r="O484" i="41" s="1"/>
  <c r="K484" i="41"/>
  <c r="N484" i="41" s="1"/>
  <c r="J484" i="41"/>
  <c r="I484" i="41"/>
  <c r="M483" i="41"/>
  <c r="O483" i="41" s="1"/>
  <c r="L483" i="41"/>
  <c r="K483" i="41"/>
  <c r="N483" i="41" s="1"/>
  <c r="J483" i="41"/>
  <c r="I483" i="41"/>
  <c r="O482" i="41"/>
  <c r="N482" i="41"/>
  <c r="M482" i="41"/>
  <c r="L482" i="41"/>
  <c r="K482" i="41"/>
  <c r="J482" i="41"/>
  <c r="I482" i="41"/>
  <c r="M481" i="41"/>
  <c r="L481" i="41"/>
  <c r="K481" i="41"/>
  <c r="N481" i="41" s="1"/>
  <c r="J481" i="41"/>
  <c r="I481" i="41"/>
  <c r="M480" i="41"/>
  <c r="O480" i="41" s="1"/>
  <c r="K480" i="41"/>
  <c r="N480" i="41" s="1"/>
  <c r="J480" i="41"/>
  <c r="L480" i="41" s="1"/>
  <c r="I480" i="41"/>
  <c r="O479" i="41"/>
  <c r="N479" i="41"/>
  <c r="M479" i="41"/>
  <c r="L479" i="41"/>
  <c r="K479" i="41"/>
  <c r="J479" i="41"/>
  <c r="I479" i="41"/>
  <c r="M478" i="41"/>
  <c r="L478" i="41"/>
  <c r="K478" i="41"/>
  <c r="N478" i="41" s="1"/>
  <c r="J478" i="41"/>
  <c r="I478" i="41"/>
  <c r="M477" i="41"/>
  <c r="K477" i="41"/>
  <c r="N477" i="41" s="1"/>
  <c r="J477" i="41"/>
  <c r="L477" i="41" s="1"/>
  <c r="I477" i="41"/>
  <c r="G477" i="41"/>
  <c r="A477" i="41"/>
  <c r="N471" i="41"/>
  <c r="M471" i="41"/>
  <c r="K471" i="41"/>
  <c r="J471" i="41"/>
  <c r="L471" i="41" s="1"/>
  <c r="I471" i="41"/>
  <c r="N470" i="41"/>
  <c r="M470" i="41"/>
  <c r="L470" i="41"/>
  <c r="O470" i="41" s="1"/>
  <c r="K470" i="41"/>
  <c r="J470" i="41"/>
  <c r="I470" i="41"/>
  <c r="M469" i="41"/>
  <c r="K469" i="41"/>
  <c r="N469" i="41" s="1"/>
  <c r="J469" i="41"/>
  <c r="L469" i="41" s="1"/>
  <c r="I469" i="41"/>
  <c r="M468" i="41"/>
  <c r="K468" i="41"/>
  <c r="N468" i="41" s="1"/>
  <c r="J468" i="41"/>
  <c r="L468" i="41" s="1"/>
  <c r="I468" i="41"/>
  <c r="M467" i="41"/>
  <c r="K467" i="41"/>
  <c r="N467" i="41" s="1"/>
  <c r="J467" i="41"/>
  <c r="L467" i="41" s="1"/>
  <c r="O467" i="41" s="1"/>
  <c r="I467" i="41"/>
  <c r="M466" i="41"/>
  <c r="K466" i="41"/>
  <c r="N466" i="41" s="1"/>
  <c r="J466" i="41"/>
  <c r="L466" i="41" s="1"/>
  <c r="O466" i="41" s="1"/>
  <c r="I466" i="41"/>
  <c r="M465" i="41"/>
  <c r="K465" i="41"/>
  <c r="N465" i="41" s="1"/>
  <c r="J465" i="41"/>
  <c r="L465" i="41" s="1"/>
  <c r="I465" i="41"/>
  <c r="M464" i="41"/>
  <c r="K464" i="41"/>
  <c r="N464" i="41" s="1"/>
  <c r="J464" i="41"/>
  <c r="L464" i="41" s="1"/>
  <c r="I464" i="41"/>
  <c r="O463" i="41"/>
  <c r="N463" i="41"/>
  <c r="M463" i="41"/>
  <c r="L463" i="41"/>
  <c r="K463" i="41"/>
  <c r="J463" i="41"/>
  <c r="I463" i="41"/>
  <c r="M462" i="41"/>
  <c r="K462" i="41"/>
  <c r="N462" i="41" s="1"/>
  <c r="J462" i="41"/>
  <c r="L462" i="41" s="1"/>
  <c r="I462" i="41"/>
  <c r="M461" i="41"/>
  <c r="L461" i="41"/>
  <c r="O461" i="41" s="1"/>
  <c r="K461" i="41"/>
  <c r="N461" i="41" s="1"/>
  <c r="J461" i="41"/>
  <c r="I461" i="41"/>
  <c r="M460" i="41"/>
  <c r="O460" i="41" s="1"/>
  <c r="L460" i="41"/>
  <c r="K460" i="41"/>
  <c r="N460" i="41" s="1"/>
  <c r="J460" i="41"/>
  <c r="I460" i="41"/>
  <c r="M459" i="41"/>
  <c r="K459" i="41"/>
  <c r="N459" i="41" s="1"/>
  <c r="J459" i="41"/>
  <c r="L459" i="41" s="1"/>
  <c r="I459" i="41"/>
  <c r="M458" i="41"/>
  <c r="L458" i="41"/>
  <c r="K458" i="41"/>
  <c r="N458" i="41" s="1"/>
  <c r="J458" i="41"/>
  <c r="I458" i="41"/>
  <c r="M457" i="41"/>
  <c r="O457" i="41" s="1"/>
  <c r="L457" i="41"/>
  <c r="K457" i="41"/>
  <c r="N457" i="41" s="1"/>
  <c r="J457" i="41"/>
  <c r="I457" i="41"/>
  <c r="M456" i="41"/>
  <c r="O456" i="41" s="1"/>
  <c r="K456" i="41"/>
  <c r="N456" i="41" s="1"/>
  <c r="J456" i="41"/>
  <c r="L456" i="41" s="1"/>
  <c r="I456" i="41"/>
  <c r="M455" i="41"/>
  <c r="K455" i="41"/>
  <c r="N455" i="41" s="1"/>
  <c r="J455" i="41"/>
  <c r="L455" i="41" s="1"/>
  <c r="I455" i="41"/>
  <c r="N454" i="41"/>
  <c r="M454" i="41"/>
  <c r="O454" i="41" s="1"/>
  <c r="L454" i="41"/>
  <c r="K454" i="41"/>
  <c r="J454" i="41"/>
  <c r="I454" i="41"/>
  <c r="M453" i="41"/>
  <c r="K453" i="41"/>
  <c r="N453" i="41" s="1"/>
  <c r="J453" i="41"/>
  <c r="L453" i="41" s="1"/>
  <c r="I453" i="41"/>
  <c r="M452" i="41"/>
  <c r="K452" i="41"/>
  <c r="N452" i="41" s="1"/>
  <c r="J452" i="41"/>
  <c r="L452" i="41" s="1"/>
  <c r="I452" i="41"/>
  <c r="O451" i="41"/>
  <c r="N451" i="41"/>
  <c r="M451" i="41"/>
  <c r="K451" i="41"/>
  <c r="J451" i="41"/>
  <c r="L451" i="41" s="1"/>
  <c r="I451" i="41"/>
  <c r="M450" i="41"/>
  <c r="L450" i="41"/>
  <c r="K450" i="41"/>
  <c r="N450" i="41" s="1"/>
  <c r="J450" i="41"/>
  <c r="I450" i="41"/>
  <c r="N449" i="41"/>
  <c r="M449" i="41"/>
  <c r="K449" i="41"/>
  <c r="J449" i="41"/>
  <c r="L449" i="41" s="1"/>
  <c r="O449" i="41" s="1"/>
  <c r="I449" i="41"/>
  <c r="O448" i="41"/>
  <c r="N448" i="41"/>
  <c r="M448" i="41"/>
  <c r="K448" i="41"/>
  <c r="J448" i="41"/>
  <c r="L448" i="41" s="1"/>
  <c r="I448" i="41"/>
  <c r="M447" i="41"/>
  <c r="L447" i="41"/>
  <c r="K447" i="41"/>
  <c r="N447" i="41" s="1"/>
  <c r="J447" i="41"/>
  <c r="I447" i="41"/>
  <c r="O446" i="41"/>
  <c r="N446" i="41"/>
  <c r="M446" i="41"/>
  <c r="L446" i="41"/>
  <c r="K446" i="41"/>
  <c r="J446" i="41"/>
  <c r="I446" i="41"/>
  <c r="O445" i="41"/>
  <c r="N445" i="41"/>
  <c r="M445" i="41"/>
  <c r="L445" i="41"/>
  <c r="K445" i="41"/>
  <c r="J445" i="41"/>
  <c r="I445" i="41"/>
  <c r="N441" i="41"/>
  <c r="M441" i="41"/>
  <c r="L441" i="41"/>
  <c r="K441" i="41"/>
  <c r="N440" i="41"/>
  <c r="M440" i="41"/>
  <c r="K440" i="41"/>
  <c r="J440" i="41"/>
  <c r="L440" i="41" s="1"/>
  <c r="I440" i="41"/>
  <c r="N439" i="41"/>
  <c r="M439" i="41"/>
  <c r="O439" i="41" s="1"/>
  <c r="K439" i="41"/>
  <c r="J439" i="41"/>
  <c r="L439" i="41" s="1"/>
  <c r="I439" i="41"/>
  <c r="M438" i="41"/>
  <c r="K438" i="41"/>
  <c r="N438" i="41" s="1"/>
  <c r="J438" i="41"/>
  <c r="L438" i="41" s="1"/>
  <c r="I438" i="41"/>
  <c r="M437" i="41"/>
  <c r="K437" i="41"/>
  <c r="N437" i="41" s="1"/>
  <c r="J437" i="41"/>
  <c r="L437" i="41" s="1"/>
  <c r="O437" i="41" s="1"/>
  <c r="I437" i="41"/>
  <c r="O436" i="41"/>
  <c r="N436" i="41"/>
  <c r="M436" i="41"/>
  <c r="K436" i="41"/>
  <c r="J436" i="41"/>
  <c r="L436" i="41" s="1"/>
  <c r="I436" i="41"/>
  <c r="M435" i="41"/>
  <c r="L435" i="41"/>
  <c r="K435" i="41"/>
  <c r="N435" i="41" s="1"/>
  <c r="J435" i="41"/>
  <c r="I435" i="41"/>
  <c r="M434" i="41"/>
  <c r="O434" i="41" s="1"/>
  <c r="K434" i="41"/>
  <c r="N434" i="41" s="1"/>
  <c r="J434" i="41"/>
  <c r="L434" i="41" s="1"/>
  <c r="I434" i="41"/>
  <c r="M433" i="41"/>
  <c r="O433" i="41" s="1"/>
  <c r="K433" i="41"/>
  <c r="N433" i="41" s="1"/>
  <c r="J433" i="41"/>
  <c r="L433" i="41" s="1"/>
  <c r="I433" i="41"/>
  <c r="M432" i="41"/>
  <c r="L432" i="41"/>
  <c r="K432" i="41"/>
  <c r="N432" i="41" s="1"/>
  <c r="J432" i="41"/>
  <c r="I432" i="41"/>
  <c r="M431" i="41"/>
  <c r="K431" i="41"/>
  <c r="N431" i="41" s="1"/>
  <c r="J431" i="41"/>
  <c r="L431" i="41" s="1"/>
  <c r="O431" i="41" s="1"/>
  <c r="I431" i="41"/>
  <c r="N430" i="41"/>
  <c r="M430" i="41"/>
  <c r="K430" i="41"/>
  <c r="J430" i="41"/>
  <c r="L430" i="41" s="1"/>
  <c r="I430" i="41"/>
  <c r="M429" i="41"/>
  <c r="O429" i="41" s="1"/>
  <c r="L429" i="41"/>
  <c r="K429" i="41"/>
  <c r="N429" i="41" s="1"/>
  <c r="J429" i="41"/>
  <c r="I429" i="41"/>
  <c r="N428" i="41"/>
  <c r="M428" i="41"/>
  <c r="O428" i="41" s="1"/>
  <c r="L428" i="41"/>
  <c r="K428" i="41"/>
  <c r="J428" i="41"/>
  <c r="I428" i="41"/>
  <c r="O427" i="41"/>
  <c r="N427" i="41"/>
  <c r="M427" i="41"/>
  <c r="L427" i="41"/>
  <c r="K427" i="41"/>
  <c r="J427" i="41"/>
  <c r="I427" i="41"/>
  <c r="N426" i="41"/>
  <c r="M426" i="41"/>
  <c r="O426" i="41" s="1"/>
  <c r="L426" i="41"/>
  <c r="K426" i="41"/>
  <c r="J426" i="41"/>
  <c r="I426" i="41"/>
  <c r="N425" i="41"/>
  <c r="M425" i="41"/>
  <c r="L425" i="41"/>
  <c r="K425" i="41"/>
  <c r="J425" i="41"/>
  <c r="I425" i="41"/>
  <c r="M424" i="41"/>
  <c r="K424" i="41"/>
  <c r="N424" i="41" s="1"/>
  <c r="J424" i="41"/>
  <c r="L424" i="41" s="1"/>
  <c r="O424" i="41" s="1"/>
  <c r="I424" i="41"/>
  <c r="O423" i="41"/>
  <c r="N423" i="41"/>
  <c r="M423" i="41"/>
  <c r="K423" i="41"/>
  <c r="J423" i="41"/>
  <c r="L423" i="41" s="1"/>
  <c r="I423" i="41"/>
  <c r="N422" i="41"/>
  <c r="M422" i="41"/>
  <c r="K422" i="41"/>
  <c r="J422" i="41"/>
  <c r="L422" i="41" s="1"/>
  <c r="I422" i="41"/>
  <c r="M421" i="41"/>
  <c r="K421" i="41"/>
  <c r="N421" i="41" s="1"/>
  <c r="J421" i="41"/>
  <c r="L421" i="41" s="1"/>
  <c r="I421" i="41"/>
  <c r="M420" i="41"/>
  <c r="K420" i="41"/>
  <c r="N420" i="41" s="1"/>
  <c r="J420" i="41"/>
  <c r="L420" i="41" s="1"/>
  <c r="O420" i="41" s="1"/>
  <c r="I420" i="41"/>
  <c r="M419" i="41"/>
  <c r="K419" i="41"/>
  <c r="N419" i="41" s="1"/>
  <c r="J419" i="41"/>
  <c r="L419" i="41" s="1"/>
  <c r="O419" i="41" s="1"/>
  <c r="I419" i="41"/>
  <c r="M418" i="41"/>
  <c r="O418" i="41" s="1"/>
  <c r="K418" i="41"/>
  <c r="N418" i="41" s="1"/>
  <c r="J418" i="41"/>
  <c r="L418" i="41" s="1"/>
  <c r="I418" i="41"/>
  <c r="O417" i="41"/>
  <c r="M417" i="41"/>
  <c r="K417" i="41"/>
  <c r="N417" i="41" s="1"/>
  <c r="J417" i="41"/>
  <c r="L417" i="41" s="1"/>
  <c r="I417" i="41"/>
  <c r="O416" i="41"/>
  <c r="N416" i="41"/>
  <c r="M416" i="41"/>
  <c r="L416" i="41"/>
  <c r="K416" i="41"/>
  <c r="J416" i="41"/>
  <c r="I416" i="41"/>
  <c r="M415" i="41"/>
  <c r="K415" i="41"/>
  <c r="N415" i="41" s="1"/>
  <c r="J415" i="41"/>
  <c r="L415" i="41" s="1"/>
  <c r="O415" i="41" s="1"/>
  <c r="I415" i="41"/>
  <c r="M414" i="41"/>
  <c r="K414" i="41"/>
  <c r="N414" i="41" s="1"/>
  <c r="J414" i="41"/>
  <c r="L414" i="41" s="1"/>
  <c r="O414" i="41" s="1"/>
  <c r="I414" i="41"/>
  <c r="G414" i="41"/>
  <c r="H485" i="41" s="1"/>
  <c r="H384" i="41" s="1"/>
  <c r="N413" i="41"/>
  <c r="M413" i="41"/>
  <c r="O413" i="41" s="1"/>
  <c r="L413" i="41"/>
  <c r="K413" i="41"/>
  <c r="J413" i="41"/>
  <c r="I413" i="41"/>
  <c r="A413" i="41"/>
  <c r="A414" i="41" s="1"/>
  <c r="M411" i="41"/>
  <c r="L411" i="41"/>
  <c r="K411" i="41"/>
  <c r="N411" i="41" s="1"/>
  <c r="J411" i="41"/>
  <c r="I411" i="41"/>
  <c r="H411" i="41"/>
  <c r="B411" i="41"/>
  <c r="M410" i="41"/>
  <c r="K410" i="41"/>
  <c r="N410" i="41" s="1"/>
  <c r="J410" i="41"/>
  <c r="L410" i="41" s="1"/>
  <c r="O410" i="41" s="1"/>
  <c r="I410" i="41"/>
  <c r="M409" i="41"/>
  <c r="K409" i="41"/>
  <c r="N409" i="41" s="1"/>
  <c r="J409" i="41"/>
  <c r="L409" i="41" s="1"/>
  <c r="I409" i="41"/>
  <c r="M408" i="41"/>
  <c r="K408" i="41"/>
  <c r="N408" i="41" s="1"/>
  <c r="J408" i="41"/>
  <c r="L408" i="41" s="1"/>
  <c r="I408" i="41"/>
  <c r="M407" i="41"/>
  <c r="L407" i="41"/>
  <c r="O407" i="41" s="1"/>
  <c r="K407" i="41"/>
  <c r="N407" i="41" s="1"/>
  <c r="J407" i="41"/>
  <c r="I407" i="41"/>
  <c r="M406" i="41"/>
  <c r="K406" i="41"/>
  <c r="N406" i="41" s="1"/>
  <c r="J406" i="41"/>
  <c r="L406" i="41" s="1"/>
  <c r="I406" i="41"/>
  <c r="O405" i="41"/>
  <c r="N405" i="41"/>
  <c r="M405" i="41"/>
  <c r="K405" i="41"/>
  <c r="J405" i="41"/>
  <c r="L405" i="41" s="1"/>
  <c r="I405" i="41"/>
  <c r="N404" i="41"/>
  <c r="M404" i="41"/>
  <c r="L404" i="41"/>
  <c r="K404" i="41"/>
  <c r="J404" i="41"/>
  <c r="I404" i="41"/>
  <c r="M403" i="41"/>
  <c r="K403" i="41"/>
  <c r="N403" i="41" s="1"/>
  <c r="J403" i="41"/>
  <c r="L403" i="41" s="1"/>
  <c r="I403" i="41"/>
  <c r="M402" i="41"/>
  <c r="L402" i="41"/>
  <c r="O402" i="41" s="1"/>
  <c r="K402" i="41"/>
  <c r="N402" i="41" s="1"/>
  <c r="J402" i="41"/>
  <c r="I402" i="41"/>
  <c r="M401" i="41"/>
  <c r="K401" i="41"/>
  <c r="N401" i="41" s="1"/>
  <c r="J401" i="41"/>
  <c r="L401" i="41" s="1"/>
  <c r="I401" i="41"/>
  <c r="M400" i="41"/>
  <c r="K400" i="41"/>
  <c r="N400" i="41" s="1"/>
  <c r="J400" i="41"/>
  <c r="L400" i="41" s="1"/>
  <c r="I400" i="41"/>
  <c r="M399" i="41"/>
  <c r="L399" i="41"/>
  <c r="K399" i="41"/>
  <c r="N399" i="41" s="1"/>
  <c r="J399" i="41"/>
  <c r="I399" i="41"/>
  <c r="O398" i="41"/>
  <c r="M398" i="41"/>
  <c r="L398" i="41"/>
  <c r="K398" i="41"/>
  <c r="N398" i="41" s="1"/>
  <c r="J398" i="41"/>
  <c r="I398" i="41"/>
  <c r="M397" i="41"/>
  <c r="O397" i="41" s="1"/>
  <c r="K397" i="41"/>
  <c r="N397" i="41" s="1"/>
  <c r="J397" i="41"/>
  <c r="L397" i="41" s="1"/>
  <c r="I397" i="41"/>
  <c r="N396" i="41"/>
  <c r="M396" i="41"/>
  <c r="K396" i="41"/>
  <c r="J396" i="41"/>
  <c r="L396" i="41" s="1"/>
  <c r="I396" i="41"/>
  <c r="O395" i="41"/>
  <c r="N395" i="41"/>
  <c r="M395" i="41"/>
  <c r="L395" i="41"/>
  <c r="K395" i="41"/>
  <c r="J395" i="41"/>
  <c r="I395" i="41"/>
  <c r="M394" i="41"/>
  <c r="K394" i="41"/>
  <c r="N394" i="41" s="1"/>
  <c r="J394" i="41"/>
  <c r="L394" i="41" s="1"/>
  <c r="I394" i="41"/>
  <c r="M393" i="41"/>
  <c r="K393" i="41"/>
  <c r="N393" i="41" s="1"/>
  <c r="J393" i="41"/>
  <c r="L393" i="41" s="1"/>
  <c r="I393" i="41"/>
  <c r="N392" i="41"/>
  <c r="M392" i="41"/>
  <c r="O392" i="41" s="1"/>
  <c r="L392" i="41"/>
  <c r="K392" i="41"/>
  <c r="J392" i="41"/>
  <c r="I392" i="41"/>
  <c r="M391" i="41"/>
  <c r="K391" i="41"/>
  <c r="N391" i="41" s="1"/>
  <c r="J391" i="41"/>
  <c r="L391" i="41" s="1"/>
  <c r="I391" i="41"/>
  <c r="M390" i="41"/>
  <c r="K390" i="41"/>
  <c r="N390" i="41" s="1"/>
  <c r="J390" i="41"/>
  <c r="L390" i="41" s="1"/>
  <c r="O390" i="41" s="1"/>
  <c r="I390" i="41"/>
  <c r="N389" i="41"/>
  <c r="M389" i="41"/>
  <c r="K389" i="41"/>
  <c r="J389" i="41"/>
  <c r="L389" i="41" s="1"/>
  <c r="I389" i="41"/>
  <c r="M388" i="41"/>
  <c r="O388" i="41" s="1"/>
  <c r="L388" i="41"/>
  <c r="K388" i="41"/>
  <c r="N388" i="41" s="1"/>
  <c r="J388" i="41"/>
  <c r="I388" i="41"/>
  <c r="M387" i="41"/>
  <c r="L387" i="41"/>
  <c r="O387" i="41" s="1"/>
  <c r="K387" i="41"/>
  <c r="N387" i="41" s="1"/>
  <c r="J387" i="41"/>
  <c r="I387" i="41"/>
  <c r="N386" i="41"/>
  <c r="M386" i="41"/>
  <c r="O386" i="41" s="1"/>
  <c r="K386" i="41"/>
  <c r="J386" i="41"/>
  <c r="L386" i="41" s="1"/>
  <c r="I386" i="41"/>
  <c r="G386" i="41"/>
  <c r="A386" i="41"/>
  <c r="O385" i="41"/>
  <c r="N385" i="41"/>
  <c r="M385" i="41"/>
  <c r="L385" i="41"/>
  <c r="K385" i="41"/>
  <c r="J385" i="41"/>
  <c r="I385" i="41"/>
  <c r="I384" i="41"/>
  <c r="M383" i="41"/>
  <c r="L383" i="41"/>
  <c r="O383" i="41" s="1"/>
  <c r="K383" i="41"/>
  <c r="N383" i="41" s="1"/>
  <c r="J383" i="41"/>
  <c r="I383" i="41"/>
  <c r="B382" i="41"/>
  <c r="M381" i="41"/>
  <c r="L381" i="41"/>
  <c r="K381" i="41"/>
  <c r="N381" i="41" s="1"/>
  <c r="J381" i="41"/>
  <c r="I381" i="41"/>
  <c r="M380" i="41"/>
  <c r="K380" i="41"/>
  <c r="N380" i="41" s="1"/>
  <c r="J380" i="41"/>
  <c r="L380" i="41" s="1"/>
  <c r="I380" i="41"/>
  <c r="O379" i="41"/>
  <c r="N379" i="41"/>
  <c r="M379" i="41"/>
  <c r="K379" i="41"/>
  <c r="J379" i="41"/>
  <c r="L379" i="41" s="1"/>
  <c r="I379" i="41"/>
  <c r="M378" i="41"/>
  <c r="O378" i="41" s="1"/>
  <c r="L378" i="41"/>
  <c r="K378" i="41"/>
  <c r="N378" i="41" s="1"/>
  <c r="J378" i="41"/>
  <c r="I378" i="41"/>
  <c r="N377" i="41"/>
  <c r="M377" i="41"/>
  <c r="O377" i="41" s="1"/>
  <c r="L377" i="41"/>
  <c r="K377" i="41"/>
  <c r="J377" i="41"/>
  <c r="I377" i="41"/>
  <c r="O376" i="41"/>
  <c r="N376" i="41"/>
  <c r="M376" i="41"/>
  <c r="L376" i="41"/>
  <c r="K376" i="41"/>
  <c r="J376" i="41"/>
  <c r="I376" i="41"/>
  <c r="N375" i="41"/>
  <c r="M375" i="41"/>
  <c r="L375" i="41"/>
  <c r="K375" i="41"/>
  <c r="J375" i="41"/>
  <c r="I375" i="41"/>
  <c r="N374" i="41"/>
  <c r="M374" i="41"/>
  <c r="K374" i="41"/>
  <c r="J374" i="41"/>
  <c r="L374" i="41" s="1"/>
  <c r="O374" i="41" s="1"/>
  <c r="I374" i="41"/>
  <c r="O373" i="41"/>
  <c r="M373" i="41"/>
  <c r="K373" i="41"/>
  <c r="N373" i="41" s="1"/>
  <c r="J373" i="41"/>
  <c r="L373" i="41" s="1"/>
  <c r="I373" i="41"/>
  <c r="N372" i="41"/>
  <c r="M372" i="41"/>
  <c r="O372" i="41" s="1"/>
  <c r="K372" i="41"/>
  <c r="J372" i="41"/>
  <c r="L372" i="41" s="1"/>
  <c r="I372" i="41"/>
  <c r="O371" i="41"/>
  <c r="N371" i="41"/>
  <c r="M371" i="41"/>
  <c r="L371" i="41"/>
  <c r="K371" i="41"/>
  <c r="J371" i="41"/>
  <c r="I371" i="41"/>
  <c r="M370" i="41"/>
  <c r="K370" i="41"/>
  <c r="N370" i="41" s="1"/>
  <c r="J370" i="41"/>
  <c r="L370" i="41" s="1"/>
  <c r="I370" i="41"/>
  <c r="G370" i="41"/>
  <c r="A370" i="41"/>
  <c r="M367" i="41"/>
  <c r="K367" i="41"/>
  <c r="N367" i="41" s="1"/>
  <c r="J367" i="41"/>
  <c r="L367" i="41" s="1"/>
  <c r="I367" i="41"/>
  <c r="M366" i="41"/>
  <c r="O366" i="41" s="1"/>
  <c r="L366" i="41"/>
  <c r="K366" i="41"/>
  <c r="N366" i="41" s="1"/>
  <c r="J366" i="41"/>
  <c r="I366" i="41"/>
  <c r="M365" i="41"/>
  <c r="K365" i="41"/>
  <c r="N365" i="41" s="1"/>
  <c r="J365" i="41"/>
  <c r="L365" i="41" s="1"/>
  <c r="I365" i="41"/>
  <c r="M364" i="41"/>
  <c r="L364" i="41"/>
  <c r="K364" i="41"/>
  <c r="N364" i="41" s="1"/>
  <c r="J364" i="41"/>
  <c r="I364" i="41"/>
  <c r="M363" i="41"/>
  <c r="O363" i="41" s="1"/>
  <c r="L363" i="41"/>
  <c r="K363" i="41"/>
  <c r="N363" i="41" s="1"/>
  <c r="J363" i="41"/>
  <c r="I363" i="41"/>
  <c r="M362" i="41"/>
  <c r="L362" i="41"/>
  <c r="K362" i="41"/>
  <c r="N362" i="41" s="1"/>
  <c r="J362" i="41"/>
  <c r="I362" i="41"/>
  <c r="M361" i="41"/>
  <c r="K361" i="41"/>
  <c r="N361" i="41" s="1"/>
  <c r="J361" i="41"/>
  <c r="L361" i="41" s="1"/>
  <c r="I361" i="41"/>
  <c r="N360" i="41"/>
  <c r="M360" i="41"/>
  <c r="L360" i="41"/>
  <c r="K360" i="41"/>
  <c r="J360" i="41"/>
  <c r="I360" i="41"/>
  <c r="M359" i="41"/>
  <c r="O359" i="41" s="1"/>
  <c r="L359" i="41"/>
  <c r="K359" i="41"/>
  <c r="N359" i="41" s="1"/>
  <c r="J359" i="41"/>
  <c r="I359" i="41"/>
  <c r="M357" i="41"/>
  <c r="O357" i="41" s="1"/>
  <c r="K357" i="41"/>
  <c r="N357" i="41" s="1"/>
  <c r="J357" i="41"/>
  <c r="L357" i="41" s="1"/>
  <c r="I357" i="41"/>
  <c r="N356" i="41"/>
  <c r="M356" i="41"/>
  <c r="K356" i="41"/>
  <c r="J356" i="41"/>
  <c r="L356" i="41" s="1"/>
  <c r="I356" i="41"/>
  <c r="N355" i="41"/>
  <c r="M355" i="41"/>
  <c r="L355" i="41"/>
  <c r="K355" i="41"/>
  <c r="J355" i="41"/>
  <c r="I355" i="41"/>
  <c r="M354" i="41"/>
  <c r="K354" i="41"/>
  <c r="N354" i="41" s="1"/>
  <c r="J354" i="41"/>
  <c r="L354" i="41" s="1"/>
  <c r="I354" i="41"/>
  <c r="O353" i="41"/>
  <c r="N353" i="41"/>
  <c r="M353" i="41"/>
  <c r="L353" i="41"/>
  <c r="K353" i="41"/>
  <c r="J353" i="41"/>
  <c r="I353" i="41"/>
  <c r="G353" i="41"/>
  <c r="A353" i="41"/>
  <c r="M352" i="41"/>
  <c r="O352" i="41" s="1"/>
  <c r="K352" i="41"/>
  <c r="N352" i="41" s="1"/>
  <c r="J352" i="41"/>
  <c r="L352" i="41" s="1"/>
  <c r="I352" i="41"/>
  <c r="M351" i="41"/>
  <c r="O351" i="41" s="1"/>
  <c r="K351" i="41"/>
  <c r="N351" i="41" s="1"/>
  <c r="J351" i="41"/>
  <c r="L351" i="41" s="1"/>
  <c r="I351" i="41"/>
  <c r="M350" i="41"/>
  <c r="K350" i="41"/>
  <c r="N350" i="41" s="1"/>
  <c r="J350" i="41"/>
  <c r="L350" i="41" s="1"/>
  <c r="I350" i="41"/>
  <c r="M349" i="41"/>
  <c r="K349" i="41"/>
  <c r="N349" i="41" s="1"/>
  <c r="J349" i="41"/>
  <c r="L349" i="41" s="1"/>
  <c r="O349" i="41" s="1"/>
  <c r="I349" i="41"/>
  <c r="M348" i="41"/>
  <c r="K348" i="41"/>
  <c r="N348" i="41" s="1"/>
  <c r="J348" i="41"/>
  <c r="L348" i="41" s="1"/>
  <c r="O348" i="41" s="1"/>
  <c r="I348" i="41"/>
  <c r="M347" i="41"/>
  <c r="K347" i="41"/>
  <c r="N347" i="41" s="1"/>
  <c r="J347" i="41"/>
  <c r="L347" i="41" s="1"/>
  <c r="O347" i="41" s="1"/>
  <c r="I347" i="41"/>
  <c r="M346" i="41"/>
  <c r="K346" i="41"/>
  <c r="N346" i="41" s="1"/>
  <c r="J346" i="41"/>
  <c r="L346" i="41" s="1"/>
  <c r="O346" i="41" s="1"/>
  <c r="I346" i="41"/>
  <c r="N345" i="41"/>
  <c r="M345" i="41"/>
  <c r="O345" i="41" s="1"/>
  <c r="L345" i="41"/>
  <c r="K345" i="41"/>
  <c r="J345" i="41"/>
  <c r="I345" i="41"/>
  <c r="M344" i="41"/>
  <c r="K344" i="41"/>
  <c r="N344" i="41" s="1"/>
  <c r="J344" i="41"/>
  <c r="L344" i="41" s="1"/>
  <c r="I344" i="41"/>
  <c r="M343" i="41"/>
  <c r="K343" i="41"/>
  <c r="N343" i="41" s="1"/>
  <c r="J343" i="41"/>
  <c r="L343" i="41" s="1"/>
  <c r="I343" i="41"/>
  <c r="N342" i="41"/>
  <c r="M342" i="41"/>
  <c r="O342" i="41" s="1"/>
  <c r="L342" i="41"/>
  <c r="K342" i="41"/>
  <c r="J342" i="41"/>
  <c r="I342" i="41"/>
  <c r="M341" i="41"/>
  <c r="K341" i="41"/>
  <c r="N341" i="41" s="1"/>
  <c r="J341" i="41"/>
  <c r="L341" i="41" s="1"/>
  <c r="I341" i="41"/>
  <c r="M340" i="41"/>
  <c r="K340" i="41"/>
  <c r="N340" i="41" s="1"/>
  <c r="J340" i="41"/>
  <c r="L340" i="41" s="1"/>
  <c r="O340" i="41" s="1"/>
  <c r="I340" i="41"/>
  <c r="N339" i="41"/>
  <c r="M339" i="41"/>
  <c r="O339" i="41" s="1"/>
  <c r="K339" i="41"/>
  <c r="J339" i="41"/>
  <c r="L339" i="41" s="1"/>
  <c r="I339" i="41"/>
  <c r="M338" i="41"/>
  <c r="L338" i="41"/>
  <c r="K338" i="41"/>
  <c r="N338" i="41" s="1"/>
  <c r="J338" i="41"/>
  <c r="I338" i="41"/>
  <c r="M337" i="41"/>
  <c r="K337" i="41"/>
  <c r="N337" i="41" s="1"/>
  <c r="J337" i="41"/>
  <c r="L337" i="41" s="1"/>
  <c r="O337" i="41" s="1"/>
  <c r="I337" i="41"/>
  <c r="O336" i="41"/>
  <c r="N336" i="41"/>
  <c r="M336" i="41"/>
  <c r="L336" i="41"/>
  <c r="K336" i="41"/>
  <c r="J336" i="41"/>
  <c r="I336" i="41"/>
  <c r="N335" i="41"/>
  <c r="M335" i="41"/>
  <c r="O335" i="41" s="1"/>
  <c r="K335" i="41"/>
  <c r="J335" i="41"/>
  <c r="L335" i="41" s="1"/>
  <c r="I335" i="41"/>
  <c r="M334" i="41"/>
  <c r="K334" i="41"/>
  <c r="N334" i="41" s="1"/>
  <c r="J334" i="41"/>
  <c r="L334" i="41" s="1"/>
  <c r="I334" i="41"/>
  <c r="M333" i="41"/>
  <c r="K333" i="41"/>
  <c r="N333" i="41" s="1"/>
  <c r="J333" i="41"/>
  <c r="L333" i="41" s="1"/>
  <c r="O333" i="41" s="1"/>
  <c r="I333" i="41"/>
  <c r="M332" i="41"/>
  <c r="K332" i="41"/>
  <c r="N332" i="41" s="1"/>
  <c r="J332" i="41"/>
  <c r="L332" i="41" s="1"/>
  <c r="O332" i="41" s="1"/>
  <c r="I332" i="41"/>
  <c r="M331" i="41"/>
  <c r="K331" i="41"/>
  <c r="N331" i="41" s="1"/>
  <c r="J331" i="41"/>
  <c r="L331" i="41" s="1"/>
  <c r="O331" i="41" s="1"/>
  <c r="I331" i="41"/>
  <c r="M330" i="41"/>
  <c r="K330" i="41"/>
  <c r="N330" i="41" s="1"/>
  <c r="J330" i="41"/>
  <c r="L330" i="41" s="1"/>
  <c r="I330" i="41"/>
  <c r="O329" i="41"/>
  <c r="N329" i="41"/>
  <c r="M329" i="41"/>
  <c r="L329" i="41"/>
  <c r="K329" i="41"/>
  <c r="J329" i="41"/>
  <c r="I329" i="41"/>
  <c r="N328" i="41"/>
  <c r="M328" i="41"/>
  <c r="O328" i="41" s="1"/>
  <c r="L328" i="41"/>
  <c r="K328" i="41"/>
  <c r="J328" i="41"/>
  <c r="I328" i="41"/>
  <c r="M327" i="41"/>
  <c r="L327" i="41"/>
  <c r="O327" i="41" s="1"/>
  <c r="K327" i="41"/>
  <c r="N327" i="41" s="1"/>
  <c r="J327" i="41"/>
  <c r="I327" i="41"/>
  <c r="M326" i="41"/>
  <c r="L326" i="41"/>
  <c r="O326" i="41" s="1"/>
  <c r="K326" i="41"/>
  <c r="N326" i="41" s="1"/>
  <c r="J326" i="41"/>
  <c r="I326" i="41"/>
  <c r="M325" i="41"/>
  <c r="O325" i="41" s="1"/>
  <c r="L325" i="41"/>
  <c r="K325" i="41"/>
  <c r="N325" i="41" s="1"/>
  <c r="J325" i="41"/>
  <c r="I325" i="41"/>
  <c r="M324" i="41"/>
  <c r="K324" i="41"/>
  <c r="N324" i="41" s="1"/>
  <c r="J324" i="41"/>
  <c r="L324" i="41" s="1"/>
  <c r="I324" i="41"/>
  <c r="N323" i="41"/>
  <c r="M323" i="41"/>
  <c r="K323" i="41"/>
  <c r="J323" i="41"/>
  <c r="L323" i="41" s="1"/>
  <c r="I323" i="41"/>
  <c r="N322" i="41"/>
  <c r="M322" i="41"/>
  <c r="L322" i="41"/>
  <c r="O322" i="41" s="1"/>
  <c r="K322" i="41"/>
  <c r="J322" i="41"/>
  <c r="I322" i="41"/>
  <c r="N321" i="41"/>
  <c r="M321" i="41"/>
  <c r="K321" i="41"/>
  <c r="J321" i="41"/>
  <c r="L321" i="41" s="1"/>
  <c r="I321" i="41"/>
  <c r="M320" i="41"/>
  <c r="L320" i="41"/>
  <c r="K320" i="41"/>
  <c r="N320" i="41" s="1"/>
  <c r="J320" i="41"/>
  <c r="I320" i="41"/>
  <c r="N319" i="41"/>
  <c r="M319" i="41"/>
  <c r="K319" i="41"/>
  <c r="J319" i="41"/>
  <c r="L319" i="41" s="1"/>
  <c r="O319" i="41" s="1"/>
  <c r="I319" i="41"/>
  <c r="O318" i="41"/>
  <c r="M318" i="41"/>
  <c r="L318" i="41"/>
  <c r="K318" i="41"/>
  <c r="N318" i="41" s="1"/>
  <c r="J318" i="41"/>
  <c r="I318" i="41"/>
  <c r="M317" i="41"/>
  <c r="K317" i="41"/>
  <c r="N317" i="41" s="1"/>
  <c r="J317" i="41"/>
  <c r="L317" i="41" s="1"/>
  <c r="I317" i="41"/>
  <c r="N316" i="41"/>
  <c r="M316" i="41"/>
  <c r="L316" i="41"/>
  <c r="K316" i="41"/>
  <c r="J316" i="41"/>
  <c r="I316" i="41"/>
  <c r="O316" i="41" s="1"/>
  <c r="N315" i="41"/>
  <c r="M315" i="41"/>
  <c r="K315" i="41"/>
  <c r="J315" i="41"/>
  <c r="L315" i="41" s="1"/>
  <c r="O315" i="41" s="1"/>
  <c r="I315" i="41"/>
  <c r="M314" i="41"/>
  <c r="K314" i="41"/>
  <c r="N314" i="41" s="1"/>
  <c r="J314" i="41"/>
  <c r="L314" i="41" s="1"/>
  <c r="I314" i="41"/>
  <c r="M313" i="41"/>
  <c r="K313" i="41"/>
  <c r="N313" i="41" s="1"/>
  <c r="J313" i="41"/>
  <c r="L313" i="41" s="1"/>
  <c r="O313" i="41" s="1"/>
  <c r="I313" i="41"/>
  <c r="N312" i="41"/>
  <c r="M312" i="41"/>
  <c r="K312" i="41"/>
  <c r="J312" i="41"/>
  <c r="L312" i="41" s="1"/>
  <c r="O312" i="41" s="1"/>
  <c r="I312" i="41"/>
  <c r="M311" i="41"/>
  <c r="O311" i="41" s="1"/>
  <c r="K311" i="41"/>
  <c r="N311" i="41" s="1"/>
  <c r="J311" i="41"/>
  <c r="L311" i="41" s="1"/>
  <c r="I311" i="41"/>
  <c r="M310" i="41"/>
  <c r="O310" i="41" s="1"/>
  <c r="K310" i="41"/>
  <c r="N310" i="41" s="1"/>
  <c r="J310" i="41"/>
  <c r="L310" i="41" s="1"/>
  <c r="I310" i="41"/>
  <c r="M309" i="41"/>
  <c r="L309" i="41"/>
  <c r="O309" i="41" s="1"/>
  <c r="K309" i="41"/>
  <c r="N309" i="41" s="1"/>
  <c r="J309" i="41"/>
  <c r="I309" i="41"/>
  <c r="M308" i="41"/>
  <c r="O308" i="41" s="1"/>
  <c r="K308" i="41"/>
  <c r="N308" i="41" s="1"/>
  <c r="J308" i="41"/>
  <c r="L308" i="41" s="1"/>
  <c r="I308" i="41"/>
  <c r="M307" i="41"/>
  <c r="L307" i="41"/>
  <c r="O307" i="41" s="1"/>
  <c r="K307" i="41"/>
  <c r="N307" i="41" s="1"/>
  <c r="J307" i="41"/>
  <c r="I307" i="41"/>
  <c r="M306" i="41"/>
  <c r="K306" i="41"/>
  <c r="N306" i="41" s="1"/>
  <c r="J306" i="41"/>
  <c r="L306" i="41" s="1"/>
  <c r="I306" i="41"/>
  <c r="M305" i="41"/>
  <c r="O305" i="41" s="1"/>
  <c r="L305" i="41"/>
  <c r="K305" i="41"/>
  <c r="N305" i="41" s="1"/>
  <c r="J305" i="41"/>
  <c r="I305" i="41"/>
  <c r="M304" i="41"/>
  <c r="K304" i="41"/>
  <c r="N304" i="41" s="1"/>
  <c r="J304" i="41"/>
  <c r="L304" i="41" s="1"/>
  <c r="I304" i="41"/>
  <c r="M303" i="41"/>
  <c r="K303" i="41"/>
  <c r="N303" i="41" s="1"/>
  <c r="J303" i="41"/>
  <c r="L303" i="41" s="1"/>
  <c r="I303" i="41"/>
  <c r="O302" i="41"/>
  <c r="N302" i="41"/>
  <c r="M302" i="41"/>
  <c r="L302" i="41"/>
  <c r="K302" i="41"/>
  <c r="J302" i="41"/>
  <c r="I302" i="41"/>
  <c r="M301" i="41"/>
  <c r="L301" i="41"/>
  <c r="K301" i="41"/>
  <c r="N301" i="41" s="1"/>
  <c r="J301" i="41"/>
  <c r="I301" i="41"/>
  <c r="G301" i="41"/>
  <c r="A301" i="41"/>
  <c r="M300" i="41"/>
  <c r="K300" i="41"/>
  <c r="N300" i="41" s="1"/>
  <c r="J300" i="41"/>
  <c r="L300" i="41" s="1"/>
  <c r="I300" i="41"/>
  <c r="M299" i="41"/>
  <c r="K299" i="41"/>
  <c r="N299" i="41" s="1"/>
  <c r="J299" i="41"/>
  <c r="L299" i="41" s="1"/>
  <c r="I299" i="41"/>
  <c r="M298" i="41"/>
  <c r="O298" i="41" s="1"/>
  <c r="K298" i="41"/>
  <c r="N298" i="41" s="1"/>
  <c r="J298" i="41"/>
  <c r="L298" i="41" s="1"/>
  <c r="I298" i="41"/>
  <c r="M297" i="41"/>
  <c r="K297" i="41"/>
  <c r="N297" i="41" s="1"/>
  <c r="J297" i="41"/>
  <c r="L297" i="41" s="1"/>
  <c r="O297" i="41" s="1"/>
  <c r="I297" i="41"/>
  <c r="M296" i="41"/>
  <c r="O296" i="41" s="1"/>
  <c r="K296" i="41"/>
  <c r="N296" i="41" s="1"/>
  <c r="J296" i="41"/>
  <c r="L296" i="41" s="1"/>
  <c r="I296" i="41"/>
  <c r="M295" i="41"/>
  <c r="K295" i="41"/>
  <c r="N295" i="41" s="1"/>
  <c r="J295" i="41"/>
  <c r="L295" i="41" s="1"/>
  <c r="O295" i="41" s="1"/>
  <c r="I295" i="41"/>
  <c r="N294" i="41"/>
  <c r="M294" i="41"/>
  <c r="O294" i="41" s="1"/>
  <c r="L294" i="41"/>
  <c r="K294" i="41"/>
  <c r="J294" i="41"/>
  <c r="I294" i="41"/>
  <c r="M293" i="41"/>
  <c r="K293" i="41"/>
  <c r="N293" i="41" s="1"/>
  <c r="J293" i="41"/>
  <c r="L293" i="41" s="1"/>
  <c r="O293" i="41" s="1"/>
  <c r="I293" i="41"/>
  <c r="M292" i="41"/>
  <c r="K292" i="41"/>
  <c r="N292" i="41" s="1"/>
  <c r="J292" i="41"/>
  <c r="L292" i="41" s="1"/>
  <c r="I292" i="41"/>
  <c r="M291" i="41"/>
  <c r="O291" i="41" s="1"/>
  <c r="L291" i="41"/>
  <c r="K291" i="41"/>
  <c r="N291" i="41" s="1"/>
  <c r="J291" i="41"/>
  <c r="I291" i="41"/>
  <c r="M290" i="41"/>
  <c r="K290" i="41"/>
  <c r="N290" i="41" s="1"/>
  <c r="J290" i="41"/>
  <c r="L290" i="41" s="1"/>
  <c r="I290" i="41"/>
  <c r="M289" i="41"/>
  <c r="K289" i="41"/>
  <c r="N289" i="41" s="1"/>
  <c r="J289" i="41"/>
  <c r="L289" i="41" s="1"/>
  <c r="I289" i="41"/>
  <c r="G289" i="41"/>
  <c r="A289" i="41"/>
  <c r="O288" i="41"/>
  <c r="N288" i="41"/>
  <c r="M288" i="41"/>
  <c r="L288" i="41"/>
  <c r="K288" i="41"/>
  <c r="J288" i="41"/>
  <c r="I288" i="41"/>
  <c r="A288" i="41"/>
  <c r="M287" i="41"/>
  <c r="O287" i="41" s="1"/>
  <c r="K287" i="41"/>
  <c r="N287" i="41" s="1"/>
  <c r="J287" i="41"/>
  <c r="L287" i="41" s="1"/>
  <c r="I287" i="41"/>
  <c r="I286" i="41"/>
  <c r="M285" i="41"/>
  <c r="L285" i="41"/>
  <c r="K285" i="41"/>
  <c r="N285" i="41" s="1"/>
  <c r="J285" i="41"/>
  <c r="I285" i="41"/>
  <c r="M284" i="41"/>
  <c r="L284" i="41"/>
  <c r="K284" i="41"/>
  <c r="N284" i="41" s="1"/>
  <c r="J284" i="41"/>
  <c r="I284" i="41"/>
  <c r="B284" i="41"/>
  <c r="N283" i="41"/>
  <c r="M283" i="41"/>
  <c r="L283" i="41"/>
  <c r="K283" i="41"/>
  <c r="J283" i="41"/>
  <c r="I283" i="41"/>
  <c r="N282" i="41"/>
  <c r="M282" i="41"/>
  <c r="L282" i="41"/>
  <c r="K282" i="41"/>
  <c r="J282" i="41"/>
  <c r="I282" i="41"/>
  <c r="O282" i="41" s="1"/>
  <c r="O281" i="41"/>
  <c r="N281" i="41"/>
  <c r="M281" i="41"/>
  <c r="K281" i="41"/>
  <c r="J281" i="41"/>
  <c r="L281" i="41" s="1"/>
  <c r="I281" i="41"/>
  <c r="N280" i="41"/>
  <c r="M280" i="41"/>
  <c r="K280" i="41"/>
  <c r="J280" i="41"/>
  <c r="L280" i="41" s="1"/>
  <c r="I280" i="41"/>
  <c r="O279" i="41"/>
  <c r="M279" i="41"/>
  <c r="K279" i="41"/>
  <c r="N279" i="41" s="1"/>
  <c r="J279" i="41"/>
  <c r="L279" i="41" s="1"/>
  <c r="I279" i="41"/>
  <c r="G279" i="41"/>
  <c r="H284" i="41" s="1"/>
  <c r="A279" i="41"/>
  <c r="M278" i="41"/>
  <c r="K278" i="41"/>
  <c r="N278" i="41" s="1"/>
  <c r="J278" i="41"/>
  <c r="L278" i="41" s="1"/>
  <c r="O278" i="41" s="1"/>
  <c r="I278" i="41"/>
  <c r="B277" i="41"/>
  <c r="O275" i="41"/>
  <c r="N275" i="41"/>
  <c r="M275" i="41"/>
  <c r="K275" i="41"/>
  <c r="J275" i="41"/>
  <c r="L275" i="41" s="1"/>
  <c r="I275" i="41"/>
  <c r="O274" i="41"/>
  <c r="N274" i="41"/>
  <c r="M274" i="41"/>
  <c r="L274" i="41"/>
  <c r="K274" i="41"/>
  <c r="J274" i="41"/>
  <c r="I274" i="41"/>
  <c r="M273" i="41"/>
  <c r="K273" i="41"/>
  <c r="N273" i="41" s="1"/>
  <c r="J273" i="41"/>
  <c r="L273" i="41" s="1"/>
  <c r="I273" i="41"/>
  <c r="O272" i="41"/>
  <c r="N272" i="41"/>
  <c r="M272" i="41"/>
  <c r="L272" i="41"/>
  <c r="K272" i="41"/>
  <c r="J272" i="41"/>
  <c r="I272" i="41"/>
  <c r="N270" i="41"/>
  <c r="M270" i="41"/>
  <c r="O270" i="41" s="1"/>
  <c r="L270" i="41"/>
  <c r="K270" i="41"/>
  <c r="J270" i="41"/>
  <c r="I270" i="41"/>
  <c r="M269" i="41"/>
  <c r="K269" i="41"/>
  <c r="N269" i="41" s="1"/>
  <c r="J269" i="41"/>
  <c r="L269" i="41" s="1"/>
  <c r="I269" i="41"/>
  <c r="M268" i="41"/>
  <c r="K268" i="41"/>
  <c r="N268" i="41" s="1"/>
  <c r="J268" i="41"/>
  <c r="L268" i="41" s="1"/>
  <c r="I268" i="41"/>
  <c r="O267" i="41"/>
  <c r="M267" i="41"/>
  <c r="K267" i="41"/>
  <c r="N267" i="41" s="1"/>
  <c r="J267" i="41"/>
  <c r="L267" i="41" s="1"/>
  <c r="I267" i="41"/>
  <c r="M266" i="41"/>
  <c r="K266" i="41"/>
  <c r="N266" i="41" s="1"/>
  <c r="J266" i="41"/>
  <c r="L266" i="41" s="1"/>
  <c r="O266" i="41" s="1"/>
  <c r="I266" i="41"/>
  <c r="M265" i="41"/>
  <c r="O265" i="41" s="1"/>
  <c r="K265" i="41"/>
  <c r="N265" i="41" s="1"/>
  <c r="J265" i="41"/>
  <c r="L265" i="41" s="1"/>
  <c r="I265" i="41"/>
  <c r="G265" i="41"/>
  <c r="H277" i="41" s="1"/>
  <c r="M264" i="41"/>
  <c r="K264" i="41"/>
  <c r="N264" i="41" s="1"/>
  <c r="J264" i="41"/>
  <c r="L264" i="41" s="1"/>
  <c r="I264" i="41"/>
  <c r="A264" i="41"/>
  <c r="A265" i="41" s="1"/>
  <c r="O263" i="41"/>
  <c r="N263" i="41"/>
  <c r="M263" i="41"/>
  <c r="K263" i="41"/>
  <c r="J263" i="41"/>
  <c r="L263" i="41" s="1"/>
  <c r="I263" i="41"/>
  <c r="B262" i="41"/>
  <c r="M261" i="41"/>
  <c r="K261" i="41"/>
  <c r="N261" i="41" s="1"/>
  <c r="J261" i="41"/>
  <c r="L261" i="41" s="1"/>
  <c r="I261" i="41"/>
  <c r="O261" i="41" s="1"/>
  <c r="M260" i="41"/>
  <c r="O260" i="41" s="1"/>
  <c r="K260" i="41"/>
  <c r="N260" i="41" s="1"/>
  <c r="J260" i="41"/>
  <c r="L260" i="41" s="1"/>
  <c r="I260" i="41"/>
  <c r="M259" i="41"/>
  <c r="K259" i="41"/>
  <c r="N259" i="41" s="1"/>
  <c r="J259" i="41"/>
  <c r="L259" i="41" s="1"/>
  <c r="I259" i="41"/>
  <c r="N258" i="41"/>
  <c r="M258" i="41"/>
  <c r="L258" i="41"/>
  <c r="O258" i="41" s="1"/>
  <c r="K258" i="41"/>
  <c r="J258" i="41"/>
  <c r="I258" i="41"/>
  <c r="M257" i="41"/>
  <c r="K257" i="41"/>
  <c r="N257" i="41" s="1"/>
  <c r="J257" i="41"/>
  <c r="L257" i="41" s="1"/>
  <c r="I257" i="41"/>
  <c r="M256" i="41"/>
  <c r="L256" i="41"/>
  <c r="O256" i="41" s="1"/>
  <c r="K256" i="41"/>
  <c r="N256" i="41" s="1"/>
  <c r="J256" i="41"/>
  <c r="I256" i="41"/>
  <c r="M255" i="41"/>
  <c r="K255" i="41"/>
  <c r="N255" i="41" s="1"/>
  <c r="J255" i="41"/>
  <c r="L255" i="41" s="1"/>
  <c r="I255" i="41"/>
  <c r="G255" i="41"/>
  <c r="N254" i="41"/>
  <c r="M254" i="41"/>
  <c r="K254" i="41"/>
  <c r="J254" i="41"/>
  <c r="L254" i="41" s="1"/>
  <c r="I254" i="41"/>
  <c r="N250" i="41"/>
  <c r="M250" i="41"/>
  <c r="O250" i="41" s="1"/>
  <c r="L250" i="41"/>
  <c r="K250" i="41"/>
  <c r="J250" i="41"/>
  <c r="I250" i="41"/>
  <c r="N249" i="41"/>
  <c r="M249" i="41"/>
  <c r="L249" i="41"/>
  <c r="K249" i="41"/>
  <c r="J249" i="41"/>
  <c r="I249" i="41"/>
  <c r="N243" i="41"/>
  <c r="M243" i="41"/>
  <c r="L243" i="41"/>
  <c r="K243" i="41"/>
  <c r="J243" i="41"/>
  <c r="I243" i="41"/>
  <c r="O243" i="41" s="1"/>
  <c r="N242" i="41"/>
  <c r="M242" i="41"/>
  <c r="K242" i="41"/>
  <c r="J242" i="41"/>
  <c r="L242" i="41" s="1"/>
  <c r="O242" i="41" s="1"/>
  <c r="I242" i="41"/>
  <c r="N241" i="41"/>
  <c r="M241" i="41"/>
  <c r="O241" i="41" s="1"/>
  <c r="K241" i="41"/>
  <c r="J241" i="41"/>
  <c r="L241" i="41" s="1"/>
  <c r="I241" i="41"/>
  <c r="M240" i="41"/>
  <c r="K240" i="41"/>
  <c r="N240" i="41" s="1"/>
  <c r="J240" i="41"/>
  <c r="L240" i="41" s="1"/>
  <c r="O240" i="41" s="1"/>
  <c r="I240" i="41"/>
  <c r="N239" i="41"/>
  <c r="M239" i="41"/>
  <c r="O239" i="41" s="1"/>
  <c r="K239" i="41"/>
  <c r="J239" i="41"/>
  <c r="L239" i="41" s="1"/>
  <c r="I239" i="41"/>
  <c r="M238" i="41"/>
  <c r="L238" i="41"/>
  <c r="K238" i="41"/>
  <c r="N238" i="41" s="1"/>
  <c r="J238" i="41"/>
  <c r="I238" i="41"/>
  <c r="M237" i="41"/>
  <c r="O237" i="41" s="1"/>
  <c r="K237" i="41"/>
  <c r="N237" i="41" s="1"/>
  <c r="J237" i="41"/>
  <c r="L237" i="41" s="1"/>
  <c r="I237" i="41"/>
  <c r="M236" i="41"/>
  <c r="L236" i="41"/>
  <c r="O236" i="41" s="1"/>
  <c r="K236" i="41"/>
  <c r="N236" i="41" s="1"/>
  <c r="J236" i="41"/>
  <c r="I236" i="41"/>
  <c r="M235" i="41"/>
  <c r="O235" i="41" s="1"/>
  <c r="K235" i="41"/>
  <c r="N235" i="41" s="1"/>
  <c r="J235" i="41"/>
  <c r="L235" i="41" s="1"/>
  <c r="I235" i="41"/>
  <c r="M234" i="41"/>
  <c r="K234" i="41"/>
  <c r="N234" i="41" s="1"/>
  <c r="J234" i="41"/>
  <c r="L234" i="41" s="1"/>
  <c r="I234" i="41"/>
  <c r="M233" i="41"/>
  <c r="K233" i="41"/>
  <c r="N233" i="41" s="1"/>
  <c r="J233" i="41"/>
  <c r="L233" i="41" s="1"/>
  <c r="I233" i="41"/>
  <c r="O232" i="41"/>
  <c r="M232" i="41"/>
  <c r="L232" i="41"/>
  <c r="K232" i="41"/>
  <c r="N232" i="41" s="1"/>
  <c r="J232" i="41"/>
  <c r="I232" i="41"/>
  <c r="M231" i="41"/>
  <c r="L231" i="41"/>
  <c r="K231" i="41"/>
  <c r="N231" i="41" s="1"/>
  <c r="J231" i="41"/>
  <c r="I231" i="41"/>
  <c r="M230" i="41"/>
  <c r="K230" i="41"/>
  <c r="N230" i="41" s="1"/>
  <c r="J230" i="41"/>
  <c r="L230" i="41" s="1"/>
  <c r="I230" i="41"/>
  <c r="N229" i="41"/>
  <c r="M229" i="41"/>
  <c r="O229" i="41" s="1"/>
  <c r="L229" i="41"/>
  <c r="K229" i="41"/>
  <c r="J229" i="41"/>
  <c r="I229" i="41"/>
  <c r="M228" i="41"/>
  <c r="L228" i="41"/>
  <c r="K228" i="41"/>
  <c r="N228" i="41" s="1"/>
  <c r="J228" i="41"/>
  <c r="I228" i="41"/>
  <c r="M227" i="41"/>
  <c r="O227" i="41" s="1"/>
  <c r="K227" i="41"/>
  <c r="N227" i="41" s="1"/>
  <c r="J227" i="41"/>
  <c r="L227" i="41" s="1"/>
  <c r="I227" i="41"/>
  <c r="O226" i="41"/>
  <c r="N226" i="41"/>
  <c r="M226" i="41"/>
  <c r="K226" i="41"/>
  <c r="J226" i="41"/>
  <c r="L226" i="41" s="1"/>
  <c r="I226" i="41"/>
  <c r="M225" i="41"/>
  <c r="O225" i="41" s="1"/>
  <c r="L225" i="41"/>
  <c r="K225" i="41"/>
  <c r="N225" i="41" s="1"/>
  <c r="J225" i="41"/>
  <c r="I225" i="41"/>
  <c r="M224" i="41"/>
  <c r="K224" i="41"/>
  <c r="N224" i="41" s="1"/>
  <c r="J224" i="41"/>
  <c r="L224" i="41" s="1"/>
  <c r="I224" i="41"/>
  <c r="O223" i="41"/>
  <c r="N223" i="41"/>
  <c r="M223" i="41"/>
  <c r="L223" i="41"/>
  <c r="K223" i="41"/>
  <c r="J223" i="41"/>
  <c r="I223" i="41"/>
  <c r="N222" i="41"/>
  <c r="M222" i="41"/>
  <c r="L222" i="41"/>
  <c r="K222" i="41"/>
  <c r="J222" i="41"/>
  <c r="I222" i="41"/>
  <c r="M221" i="41"/>
  <c r="L221" i="41"/>
  <c r="K221" i="41"/>
  <c r="N221" i="41" s="1"/>
  <c r="J221" i="41"/>
  <c r="I221" i="41"/>
  <c r="O220" i="41"/>
  <c r="M220" i="41"/>
  <c r="K220" i="41"/>
  <c r="N220" i="41" s="1"/>
  <c r="J220" i="41"/>
  <c r="L220" i="41" s="1"/>
  <c r="I220" i="41"/>
  <c r="M219" i="41"/>
  <c r="O219" i="41" s="1"/>
  <c r="K219" i="41"/>
  <c r="N219" i="41" s="1"/>
  <c r="J219" i="41"/>
  <c r="L219" i="41" s="1"/>
  <c r="I219" i="41"/>
  <c r="M218" i="41"/>
  <c r="K218" i="41"/>
  <c r="N218" i="41" s="1"/>
  <c r="J218" i="41"/>
  <c r="L218" i="41" s="1"/>
  <c r="I218" i="41"/>
  <c r="M217" i="41"/>
  <c r="K217" i="41"/>
  <c r="N217" i="41" s="1"/>
  <c r="J217" i="41"/>
  <c r="L217" i="41" s="1"/>
  <c r="I217" i="41"/>
  <c r="M216" i="41"/>
  <c r="K216" i="41"/>
  <c r="N216" i="41" s="1"/>
  <c r="J216" i="41"/>
  <c r="L216" i="41" s="1"/>
  <c r="I216" i="41"/>
  <c r="M215" i="41"/>
  <c r="L215" i="41"/>
  <c r="O215" i="41" s="1"/>
  <c r="K215" i="41"/>
  <c r="N215" i="41" s="1"/>
  <c r="J215" i="41"/>
  <c r="I215" i="41"/>
  <c r="M214" i="41"/>
  <c r="K214" i="41"/>
  <c r="N214" i="41" s="1"/>
  <c r="J214" i="41"/>
  <c r="L214" i="41" s="1"/>
  <c r="O214" i="41" s="1"/>
  <c r="I214" i="41"/>
  <c r="M213" i="41"/>
  <c r="K213" i="41"/>
  <c r="N213" i="41" s="1"/>
  <c r="J213" i="41"/>
  <c r="L213" i="41" s="1"/>
  <c r="O213" i="41" s="1"/>
  <c r="I213" i="41"/>
  <c r="N212" i="41"/>
  <c r="M212" i="41"/>
  <c r="O212" i="41" s="1"/>
  <c r="L212" i="41"/>
  <c r="K212" i="41"/>
  <c r="J212" i="41"/>
  <c r="I212" i="41"/>
  <c r="G212" i="41"/>
  <c r="M211" i="41"/>
  <c r="O211" i="41" s="1"/>
  <c r="L211" i="41"/>
  <c r="K211" i="41"/>
  <c r="N211" i="41" s="1"/>
  <c r="J211" i="41"/>
  <c r="I211" i="41"/>
  <c r="M210" i="41"/>
  <c r="K210" i="41"/>
  <c r="N210" i="41" s="1"/>
  <c r="J210" i="41"/>
  <c r="L210" i="41" s="1"/>
  <c r="I210" i="41"/>
  <c r="N209" i="41"/>
  <c r="M209" i="41"/>
  <c r="L209" i="41"/>
  <c r="K209" i="41"/>
  <c r="J209" i="41"/>
  <c r="I209" i="41"/>
  <c r="O209" i="41" s="1"/>
  <c r="N208" i="41"/>
  <c r="M208" i="41"/>
  <c r="K208" i="41"/>
  <c r="J208" i="41"/>
  <c r="L208" i="41" s="1"/>
  <c r="O208" i="41" s="1"/>
  <c r="I208" i="41"/>
  <c r="M207" i="41"/>
  <c r="K207" i="41"/>
  <c r="N207" i="41" s="1"/>
  <c r="J207" i="41"/>
  <c r="L207" i="41" s="1"/>
  <c r="I207" i="41"/>
  <c r="M206" i="41"/>
  <c r="K206" i="41"/>
  <c r="N206" i="41" s="1"/>
  <c r="J206" i="41"/>
  <c r="L206" i="41" s="1"/>
  <c r="O206" i="41" s="1"/>
  <c r="I206" i="41"/>
  <c r="M205" i="41"/>
  <c r="O205" i="41" s="1"/>
  <c r="K205" i="41"/>
  <c r="N205" i="41" s="1"/>
  <c r="J205" i="41"/>
  <c r="L205" i="41" s="1"/>
  <c r="I205" i="41"/>
  <c r="O204" i="41"/>
  <c r="M204" i="41"/>
  <c r="K204" i="41"/>
  <c r="N204" i="41" s="1"/>
  <c r="J204" i="41"/>
  <c r="L204" i="41" s="1"/>
  <c r="I204" i="41"/>
  <c r="M203" i="41"/>
  <c r="O203" i="41" s="1"/>
  <c r="K203" i="41"/>
  <c r="N203" i="41" s="1"/>
  <c r="J203" i="41"/>
  <c r="L203" i="41" s="1"/>
  <c r="I203" i="41"/>
  <c r="G203" i="41"/>
  <c r="H262" i="41" s="1"/>
  <c r="M202" i="41"/>
  <c r="K202" i="41"/>
  <c r="N202" i="41" s="1"/>
  <c r="J202" i="41"/>
  <c r="L202" i="41" s="1"/>
  <c r="I202" i="41"/>
  <c r="O201" i="41"/>
  <c r="N201" i="41"/>
  <c r="M201" i="41"/>
  <c r="L201" i="41"/>
  <c r="K201" i="41"/>
  <c r="J201" i="41"/>
  <c r="I201" i="41"/>
  <c r="N200" i="41"/>
  <c r="M200" i="41"/>
  <c r="L200" i="41"/>
  <c r="K200" i="41"/>
  <c r="J200" i="41"/>
  <c r="I200" i="41"/>
  <c r="M199" i="41"/>
  <c r="L199" i="41"/>
  <c r="K199" i="41"/>
  <c r="N199" i="41" s="1"/>
  <c r="J199" i="41"/>
  <c r="I199" i="41"/>
  <c r="O198" i="41"/>
  <c r="N198" i="41"/>
  <c r="M198" i="41"/>
  <c r="K198" i="41"/>
  <c r="J198" i="41"/>
  <c r="L198" i="41" s="1"/>
  <c r="I198" i="41"/>
  <c r="N197" i="41"/>
  <c r="M197" i="41"/>
  <c r="L197" i="41"/>
  <c r="K197" i="41"/>
  <c r="J197" i="41"/>
  <c r="I197" i="41"/>
  <c r="N196" i="41"/>
  <c r="M196" i="41"/>
  <c r="K196" i="41"/>
  <c r="J196" i="41"/>
  <c r="L196" i="41" s="1"/>
  <c r="I196" i="41"/>
  <c r="O195" i="41"/>
  <c r="N195" i="41"/>
  <c r="M195" i="41"/>
  <c r="L195" i="41"/>
  <c r="K195" i="41"/>
  <c r="J195" i="41"/>
  <c r="I195" i="41"/>
  <c r="N194" i="41"/>
  <c r="M194" i="41"/>
  <c r="K194" i="41"/>
  <c r="J194" i="41"/>
  <c r="L194" i="41" s="1"/>
  <c r="I194" i="41"/>
  <c r="M193" i="41"/>
  <c r="O193" i="41" s="1"/>
  <c r="L193" i="41"/>
  <c r="K193" i="41"/>
  <c r="N193" i="41" s="1"/>
  <c r="J193" i="41"/>
  <c r="I193" i="41"/>
  <c r="O192" i="41"/>
  <c r="M192" i="41"/>
  <c r="K192" i="41"/>
  <c r="N192" i="41" s="1"/>
  <c r="J192" i="41"/>
  <c r="L192" i="41" s="1"/>
  <c r="I192" i="41"/>
  <c r="M191" i="41"/>
  <c r="O191" i="41" s="1"/>
  <c r="K191" i="41"/>
  <c r="N191" i="41" s="1"/>
  <c r="J191" i="41"/>
  <c r="L191" i="41" s="1"/>
  <c r="I191" i="41"/>
  <c r="M190" i="41"/>
  <c r="O190" i="41" s="1"/>
  <c r="K190" i="41"/>
  <c r="N190" i="41" s="1"/>
  <c r="J190" i="41"/>
  <c r="L190" i="41" s="1"/>
  <c r="I190" i="41"/>
  <c r="M189" i="41"/>
  <c r="O189" i="41" s="1"/>
  <c r="K189" i="41"/>
  <c r="N189" i="41" s="1"/>
  <c r="J189" i="41"/>
  <c r="L189" i="41" s="1"/>
  <c r="I189" i="41"/>
  <c r="M188" i="41"/>
  <c r="K188" i="41"/>
  <c r="N188" i="41" s="1"/>
  <c r="J188" i="41"/>
  <c r="L188" i="41" s="1"/>
  <c r="I188" i="41"/>
  <c r="M187" i="41"/>
  <c r="K187" i="41"/>
  <c r="N187" i="41" s="1"/>
  <c r="J187" i="41"/>
  <c r="L187" i="41" s="1"/>
  <c r="I187" i="41"/>
  <c r="M186" i="41"/>
  <c r="L186" i="41"/>
  <c r="O186" i="41" s="1"/>
  <c r="K186" i="41"/>
  <c r="N186" i="41" s="1"/>
  <c r="J186" i="41"/>
  <c r="I186" i="41"/>
  <c r="M185" i="41"/>
  <c r="K185" i="41"/>
  <c r="N185" i="41" s="1"/>
  <c r="J185" i="41"/>
  <c r="L185" i="41" s="1"/>
  <c r="I185" i="41"/>
  <c r="O184" i="41"/>
  <c r="M184" i="41"/>
  <c r="L184" i="41"/>
  <c r="K184" i="41"/>
  <c r="N184" i="41" s="1"/>
  <c r="J184" i="41"/>
  <c r="I184" i="41"/>
  <c r="M183" i="41"/>
  <c r="K183" i="41"/>
  <c r="N183" i="41" s="1"/>
  <c r="J183" i="41"/>
  <c r="L183" i="41" s="1"/>
  <c r="I183" i="41"/>
  <c r="N182" i="41"/>
  <c r="M182" i="41"/>
  <c r="O182" i="41" s="1"/>
  <c r="L182" i="41"/>
  <c r="K182" i="41"/>
  <c r="J182" i="41"/>
  <c r="I182" i="41"/>
  <c r="N181" i="41"/>
  <c r="M181" i="41"/>
  <c r="L181" i="41"/>
  <c r="K181" i="41"/>
  <c r="J181" i="41"/>
  <c r="I181" i="41"/>
  <c r="M180" i="41"/>
  <c r="K180" i="41"/>
  <c r="N180" i="41" s="1"/>
  <c r="J180" i="41"/>
  <c r="L180" i="41" s="1"/>
  <c r="I180" i="41"/>
  <c r="N179" i="41"/>
  <c r="M179" i="41"/>
  <c r="O179" i="41" s="1"/>
  <c r="L179" i="41"/>
  <c r="K179" i="41"/>
  <c r="J179" i="41"/>
  <c r="I179" i="41"/>
  <c r="N178" i="41"/>
  <c r="M178" i="41"/>
  <c r="O178" i="41" s="1"/>
  <c r="K178" i="41"/>
  <c r="J178" i="41"/>
  <c r="L178" i="41" s="1"/>
  <c r="I178" i="41"/>
  <c r="M177" i="41"/>
  <c r="L177" i="41"/>
  <c r="O177" i="41" s="1"/>
  <c r="K177" i="41"/>
  <c r="N177" i="41" s="1"/>
  <c r="J177" i="41"/>
  <c r="I177" i="41"/>
  <c r="N176" i="41"/>
  <c r="M176" i="41"/>
  <c r="O176" i="41" s="1"/>
  <c r="L176" i="41"/>
  <c r="K176" i="41"/>
  <c r="J176" i="41"/>
  <c r="I176" i="41"/>
  <c r="N175" i="41"/>
  <c r="M175" i="41"/>
  <c r="L175" i="41"/>
  <c r="K175" i="41"/>
  <c r="J175" i="41"/>
  <c r="I175" i="41"/>
  <c r="O175" i="41" s="1"/>
  <c r="N174" i="41"/>
  <c r="M174" i="41"/>
  <c r="K174" i="41"/>
  <c r="J174" i="41"/>
  <c r="L174" i="41" s="1"/>
  <c r="I174" i="41"/>
  <c r="N173" i="41"/>
  <c r="M173" i="41"/>
  <c r="K173" i="41"/>
  <c r="J173" i="41"/>
  <c r="L173" i="41" s="1"/>
  <c r="O173" i="41" s="1"/>
  <c r="I173" i="41"/>
  <c r="O172" i="41"/>
  <c r="M172" i="41"/>
  <c r="K172" i="41"/>
  <c r="N172" i="41" s="1"/>
  <c r="J172" i="41"/>
  <c r="L172" i="41" s="1"/>
  <c r="I172" i="41"/>
  <c r="M171" i="41"/>
  <c r="K171" i="41"/>
  <c r="N171" i="41" s="1"/>
  <c r="J171" i="41"/>
  <c r="L171" i="41" s="1"/>
  <c r="O171" i="41" s="1"/>
  <c r="I171" i="41"/>
  <c r="N170" i="41"/>
  <c r="M170" i="41"/>
  <c r="O170" i="41" s="1"/>
  <c r="L170" i="41"/>
  <c r="K170" i="41"/>
  <c r="J170" i="41"/>
  <c r="I170" i="41"/>
  <c r="M169" i="41"/>
  <c r="K169" i="41"/>
  <c r="N169" i="41" s="1"/>
  <c r="J169" i="41"/>
  <c r="L169" i="41" s="1"/>
  <c r="I169" i="41"/>
  <c r="M168" i="41"/>
  <c r="K168" i="41"/>
  <c r="N168" i="41" s="1"/>
  <c r="J168" i="41"/>
  <c r="L168" i="41" s="1"/>
  <c r="O168" i="41" s="1"/>
  <c r="I168" i="41"/>
  <c r="N167" i="41"/>
  <c r="M167" i="41"/>
  <c r="K167" i="41"/>
  <c r="J167" i="41"/>
  <c r="L167" i="41" s="1"/>
  <c r="O167" i="41" s="1"/>
  <c r="I167" i="41"/>
  <c r="M166" i="41"/>
  <c r="K166" i="41"/>
  <c r="N166" i="41" s="1"/>
  <c r="J166" i="41"/>
  <c r="L166" i="41" s="1"/>
  <c r="O166" i="41" s="1"/>
  <c r="I166" i="41"/>
  <c r="M165" i="41"/>
  <c r="O165" i="41" s="1"/>
  <c r="K165" i="41"/>
  <c r="N165" i="41" s="1"/>
  <c r="J165" i="41"/>
  <c r="L165" i="41" s="1"/>
  <c r="I165" i="41"/>
  <c r="M164" i="41"/>
  <c r="O164" i="41" s="1"/>
  <c r="L164" i="41"/>
  <c r="K164" i="41"/>
  <c r="N164" i="41" s="1"/>
  <c r="J164" i="41"/>
  <c r="I164" i="41"/>
  <c r="M163" i="41"/>
  <c r="O163" i="41" s="1"/>
  <c r="L163" i="41"/>
  <c r="K163" i="41"/>
  <c r="N163" i="41" s="1"/>
  <c r="J163" i="41"/>
  <c r="I163" i="41"/>
  <c r="M162" i="41"/>
  <c r="L162" i="41"/>
  <c r="K162" i="41"/>
  <c r="N162" i="41" s="1"/>
  <c r="J162" i="41"/>
  <c r="I162" i="41"/>
  <c r="O161" i="41"/>
  <c r="N161" i="41"/>
  <c r="M161" i="41"/>
  <c r="L161" i="41"/>
  <c r="K161" i="41"/>
  <c r="J161" i="41"/>
  <c r="I161" i="41"/>
  <c r="N160" i="41"/>
  <c r="M160" i="41"/>
  <c r="O160" i="41" s="1"/>
  <c r="L160" i="41"/>
  <c r="K160" i="41"/>
  <c r="J160" i="41"/>
  <c r="I160" i="41"/>
  <c r="M159" i="41"/>
  <c r="L159" i="41"/>
  <c r="K159" i="41"/>
  <c r="N159" i="41" s="1"/>
  <c r="J159" i="41"/>
  <c r="I159" i="41"/>
  <c r="N158" i="41"/>
  <c r="M158" i="41"/>
  <c r="O158" i="41" s="1"/>
  <c r="K158" i="41"/>
  <c r="J158" i="41"/>
  <c r="L158" i="41" s="1"/>
  <c r="I158" i="41"/>
  <c r="N157" i="41"/>
  <c r="M157" i="41"/>
  <c r="O157" i="41" s="1"/>
  <c r="L157" i="41"/>
  <c r="K157" i="41"/>
  <c r="J157" i="41"/>
  <c r="I157" i="41"/>
  <c r="M156" i="41"/>
  <c r="O156" i="41" s="1"/>
  <c r="L156" i="41"/>
  <c r="K156" i="41"/>
  <c r="N156" i="41" s="1"/>
  <c r="J156" i="41"/>
  <c r="I156" i="41"/>
  <c r="O155" i="41"/>
  <c r="N155" i="41"/>
  <c r="M155" i="41"/>
  <c r="L155" i="41"/>
  <c r="K155" i="41"/>
  <c r="J155" i="41"/>
  <c r="I155" i="41"/>
  <c r="N154" i="41"/>
  <c r="M154" i="41"/>
  <c r="O154" i="41" s="1"/>
  <c r="L154" i="41"/>
  <c r="K154" i="41"/>
  <c r="J154" i="41"/>
  <c r="I154" i="41"/>
  <c r="N153" i="41"/>
  <c r="M153" i="41"/>
  <c r="L153" i="41"/>
  <c r="K153" i="41"/>
  <c r="J153" i="41"/>
  <c r="I153" i="41"/>
  <c r="M152" i="41"/>
  <c r="K152" i="41"/>
  <c r="N152" i="41" s="1"/>
  <c r="J152" i="41"/>
  <c r="L152" i="41" s="1"/>
  <c r="I152" i="41"/>
  <c r="O151" i="41"/>
  <c r="M151" i="41"/>
  <c r="K151" i="41"/>
  <c r="N151" i="41" s="1"/>
  <c r="J151" i="41"/>
  <c r="L151" i="41" s="1"/>
  <c r="I151" i="41"/>
  <c r="M150" i="41"/>
  <c r="K150" i="41"/>
  <c r="N150" i="41" s="1"/>
  <c r="J150" i="41"/>
  <c r="L150" i="41" s="1"/>
  <c r="I150" i="41"/>
  <c r="M149" i="41"/>
  <c r="K149" i="41"/>
  <c r="N149" i="41" s="1"/>
  <c r="J149" i="41"/>
  <c r="L149" i="41" s="1"/>
  <c r="I149" i="41"/>
  <c r="M148" i="41"/>
  <c r="K148" i="41"/>
  <c r="N148" i="41" s="1"/>
  <c r="J148" i="41"/>
  <c r="L148" i="41" s="1"/>
  <c r="O148" i="41" s="1"/>
  <c r="I148" i="41"/>
  <c r="M147" i="41"/>
  <c r="K147" i="41"/>
  <c r="N147" i="41" s="1"/>
  <c r="J147" i="41"/>
  <c r="L147" i="41" s="1"/>
  <c r="O147" i="41" s="1"/>
  <c r="I147" i="41"/>
  <c r="M146" i="41"/>
  <c r="K146" i="41"/>
  <c r="N146" i="41" s="1"/>
  <c r="J146" i="41"/>
  <c r="L146" i="41" s="1"/>
  <c r="O146" i="41" s="1"/>
  <c r="I146" i="41"/>
  <c r="M145" i="41"/>
  <c r="L145" i="41"/>
  <c r="O145" i="41" s="1"/>
  <c r="K145" i="41"/>
  <c r="N145" i="41" s="1"/>
  <c r="J145" i="41"/>
  <c r="I145" i="41"/>
  <c r="O144" i="41"/>
  <c r="N144" i="41"/>
  <c r="M144" i="41"/>
  <c r="L144" i="41"/>
  <c r="K144" i="41"/>
  <c r="J144" i="41"/>
  <c r="I144" i="41"/>
  <c r="M143" i="41"/>
  <c r="L143" i="41"/>
  <c r="K143" i="41"/>
  <c r="N143" i="41" s="1"/>
  <c r="J143" i="41"/>
  <c r="I143" i="41"/>
  <c r="N142" i="41"/>
  <c r="M142" i="41"/>
  <c r="K142" i="41"/>
  <c r="J142" i="41"/>
  <c r="L142" i="41" s="1"/>
  <c r="I142" i="41"/>
  <c r="N141" i="41"/>
  <c r="M141" i="41"/>
  <c r="O141" i="41" s="1"/>
  <c r="L141" i="41"/>
  <c r="K141" i="41"/>
  <c r="J141" i="41"/>
  <c r="I141" i="41"/>
  <c r="M140" i="41"/>
  <c r="K140" i="41"/>
  <c r="N140" i="41" s="1"/>
  <c r="J140" i="41"/>
  <c r="L140" i="41" s="1"/>
  <c r="I140" i="41"/>
  <c r="M139" i="41"/>
  <c r="K139" i="41"/>
  <c r="N139" i="41" s="1"/>
  <c r="J139" i="41"/>
  <c r="L139" i="41" s="1"/>
  <c r="I139" i="41"/>
  <c r="N138" i="41"/>
  <c r="M138" i="41"/>
  <c r="O138" i="41" s="1"/>
  <c r="K138" i="41"/>
  <c r="J138" i="41"/>
  <c r="L138" i="41" s="1"/>
  <c r="I138" i="41"/>
  <c r="M137" i="41"/>
  <c r="O137" i="41" s="1"/>
  <c r="L137" i="41"/>
  <c r="K137" i="41"/>
  <c r="N137" i="41" s="1"/>
  <c r="J137" i="41"/>
  <c r="I137" i="41"/>
  <c r="M136" i="41"/>
  <c r="K136" i="41"/>
  <c r="N136" i="41" s="1"/>
  <c r="J136" i="41"/>
  <c r="L136" i="41" s="1"/>
  <c r="I136" i="41"/>
  <c r="O135" i="41"/>
  <c r="N135" i="41"/>
  <c r="M135" i="41"/>
  <c r="L135" i="41"/>
  <c r="K135" i="41"/>
  <c r="J135" i="41"/>
  <c r="I135" i="41"/>
  <c r="G135" i="41"/>
  <c r="N134" i="41"/>
  <c r="M134" i="41"/>
  <c r="K134" i="41"/>
  <c r="J134" i="41"/>
  <c r="L134" i="41" s="1"/>
  <c r="O134" i="41" s="1"/>
  <c r="I134" i="41"/>
  <c r="A134" i="41"/>
  <c r="A255" i="41" s="1"/>
  <c r="M133" i="41"/>
  <c r="O133" i="41" s="1"/>
  <c r="L133" i="41"/>
  <c r="K133" i="41"/>
  <c r="N133" i="41" s="1"/>
  <c r="J133" i="41"/>
  <c r="I133" i="41"/>
  <c r="M130" i="41"/>
  <c r="K130" i="41"/>
  <c r="N130" i="41" s="1"/>
  <c r="J130" i="41"/>
  <c r="L130" i="41" s="1"/>
  <c r="I130" i="41"/>
  <c r="B130" i="41"/>
  <c r="M126" i="41"/>
  <c r="K126" i="41"/>
  <c r="N126" i="41" s="1"/>
  <c r="J126" i="41"/>
  <c r="L126" i="41" s="1"/>
  <c r="O126" i="41" s="1"/>
  <c r="I126" i="41"/>
  <c r="O125" i="41"/>
  <c r="N125" i="41"/>
  <c r="M125" i="41"/>
  <c r="L125" i="41"/>
  <c r="K125" i="41"/>
  <c r="J125" i="41"/>
  <c r="I125" i="41"/>
  <c r="N124" i="41"/>
  <c r="M124" i="41"/>
  <c r="K124" i="41"/>
  <c r="J124" i="41"/>
  <c r="L124" i="41" s="1"/>
  <c r="O124" i="41" s="1"/>
  <c r="I124" i="41"/>
  <c r="M123" i="41"/>
  <c r="K123" i="41"/>
  <c r="N123" i="41" s="1"/>
  <c r="J123" i="41"/>
  <c r="L123" i="41" s="1"/>
  <c r="O123" i="41" s="1"/>
  <c r="I123" i="41"/>
  <c r="M122" i="41"/>
  <c r="K122" i="41"/>
  <c r="N122" i="41" s="1"/>
  <c r="J122" i="41"/>
  <c r="L122" i="41" s="1"/>
  <c r="O122" i="41" s="1"/>
  <c r="I122" i="41"/>
  <c r="O121" i="41"/>
  <c r="N121" i="41"/>
  <c r="M121" i="41"/>
  <c r="K121" i="41"/>
  <c r="J121" i="41"/>
  <c r="L121" i="41" s="1"/>
  <c r="I121" i="41"/>
  <c r="N120" i="41"/>
  <c r="M120" i="41"/>
  <c r="K120" i="41"/>
  <c r="J120" i="41"/>
  <c r="L120" i="41" s="1"/>
  <c r="I120" i="41"/>
  <c r="M119" i="41"/>
  <c r="K119" i="41"/>
  <c r="N119" i="41" s="1"/>
  <c r="J119" i="41"/>
  <c r="L119" i="41" s="1"/>
  <c r="I119" i="41"/>
  <c r="N118" i="41"/>
  <c r="M118" i="41"/>
  <c r="L118" i="41"/>
  <c r="O118" i="41" s="1"/>
  <c r="K118" i="41"/>
  <c r="J118" i="41"/>
  <c r="I118" i="41"/>
  <c r="M117" i="41"/>
  <c r="L117" i="41"/>
  <c r="K117" i="41"/>
  <c r="N117" i="41" s="1"/>
  <c r="J117" i="41"/>
  <c r="I117" i="41"/>
  <c r="M116" i="41"/>
  <c r="K116" i="41"/>
  <c r="N116" i="41" s="1"/>
  <c r="J116" i="41"/>
  <c r="L116" i="41" s="1"/>
  <c r="O116" i="41" s="1"/>
  <c r="I116" i="41"/>
  <c r="M115" i="41"/>
  <c r="K115" i="41"/>
  <c r="N115" i="41" s="1"/>
  <c r="J115" i="41"/>
  <c r="L115" i="41" s="1"/>
  <c r="I115" i="41"/>
  <c r="G115" i="41"/>
  <c r="A115" i="41"/>
  <c r="N113" i="41"/>
  <c r="M113" i="41"/>
  <c r="K113" i="41"/>
  <c r="J113" i="41"/>
  <c r="L113" i="41" s="1"/>
  <c r="I113" i="41"/>
  <c r="M112" i="41"/>
  <c r="L112" i="41"/>
  <c r="K112" i="41"/>
  <c r="N112" i="41" s="1"/>
  <c r="J112" i="41"/>
  <c r="I112" i="41"/>
  <c r="N111" i="41"/>
  <c r="M111" i="41"/>
  <c r="O111" i="41" s="1"/>
  <c r="L111" i="41"/>
  <c r="K111" i="41"/>
  <c r="J111" i="41"/>
  <c r="I111" i="41"/>
  <c r="N110" i="41"/>
  <c r="M110" i="41"/>
  <c r="L110" i="41"/>
  <c r="K110" i="41"/>
  <c r="J110" i="41"/>
  <c r="I110" i="41"/>
  <c r="O110" i="41" s="1"/>
  <c r="N109" i="41"/>
  <c r="M109" i="41"/>
  <c r="O109" i="41" s="1"/>
  <c r="L109" i="41"/>
  <c r="K109" i="41"/>
  <c r="J109" i="41"/>
  <c r="I109" i="41"/>
  <c r="N108" i="41"/>
  <c r="M108" i="41"/>
  <c r="O108" i="41" s="1"/>
  <c r="L108" i="41"/>
  <c r="K108" i="41"/>
  <c r="J108" i="41"/>
  <c r="I108" i="41"/>
  <c r="M107" i="41"/>
  <c r="K107" i="41"/>
  <c r="N107" i="41" s="1"/>
  <c r="J107" i="41"/>
  <c r="L107" i="41" s="1"/>
  <c r="O107" i="41" s="1"/>
  <c r="I107" i="41"/>
  <c r="M106" i="41"/>
  <c r="K106" i="41"/>
  <c r="N106" i="41" s="1"/>
  <c r="J106" i="41"/>
  <c r="L106" i="41" s="1"/>
  <c r="I106" i="41"/>
  <c r="O105" i="41"/>
  <c r="M105" i="41"/>
  <c r="L105" i="41"/>
  <c r="K105" i="41"/>
  <c r="N105" i="41" s="1"/>
  <c r="J105" i="41"/>
  <c r="I105" i="41"/>
  <c r="M104" i="41"/>
  <c r="K104" i="41"/>
  <c r="N104" i="41" s="1"/>
  <c r="J104" i="41"/>
  <c r="L104" i="41" s="1"/>
  <c r="I104" i="41"/>
  <c r="O103" i="41"/>
  <c r="N103" i="41"/>
  <c r="M103" i="41"/>
  <c r="K103" i="41"/>
  <c r="J103" i="41"/>
  <c r="L103" i="41" s="1"/>
  <c r="I103" i="41"/>
  <c r="M102" i="41"/>
  <c r="O102" i="41" s="1"/>
  <c r="L102" i="41"/>
  <c r="K102" i="41"/>
  <c r="N102" i="41" s="1"/>
  <c r="J102" i="41"/>
  <c r="I102" i="41"/>
  <c r="M101" i="41"/>
  <c r="K101" i="41"/>
  <c r="N101" i="41" s="1"/>
  <c r="J101" i="41"/>
  <c r="L101" i="41" s="1"/>
  <c r="O101" i="41" s="1"/>
  <c r="I101" i="41"/>
  <c r="M100" i="41"/>
  <c r="L100" i="41"/>
  <c r="K100" i="41"/>
  <c r="N100" i="41" s="1"/>
  <c r="J100" i="41"/>
  <c r="I100" i="41"/>
  <c r="M98" i="41"/>
  <c r="O98" i="41" s="1"/>
  <c r="L98" i="41"/>
  <c r="K98" i="41"/>
  <c r="N98" i="41" s="1"/>
  <c r="J98" i="41"/>
  <c r="I98" i="41"/>
  <c r="M97" i="41"/>
  <c r="L97" i="41"/>
  <c r="K97" i="41"/>
  <c r="N97" i="41" s="1"/>
  <c r="J97" i="41"/>
  <c r="I97" i="41"/>
  <c r="M96" i="41"/>
  <c r="K96" i="41"/>
  <c r="N96" i="41" s="1"/>
  <c r="J96" i="41"/>
  <c r="L96" i="41" s="1"/>
  <c r="I96" i="41"/>
  <c r="N95" i="41"/>
  <c r="M95" i="41"/>
  <c r="L95" i="41"/>
  <c r="K95" i="41"/>
  <c r="J95" i="41"/>
  <c r="I95" i="41"/>
  <c r="M94" i="41"/>
  <c r="L94" i="41"/>
  <c r="K94" i="41"/>
  <c r="N94" i="41" s="1"/>
  <c r="J94" i="41"/>
  <c r="I94" i="41"/>
  <c r="M93" i="41"/>
  <c r="K93" i="41"/>
  <c r="N93" i="41" s="1"/>
  <c r="J93" i="41"/>
  <c r="L93" i="41" s="1"/>
  <c r="I93" i="41"/>
  <c r="N92" i="41"/>
  <c r="M92" i="41"/>
  <c r="K92" i="41"/>
  <c r="J92" i="41"/>
  <c r="L92" i="41" s="1"/>
  <c r="I92" i="41"/>
  <c r="N91" i="41"/>
  <c r="M91" i="41"/>
  <c r="O91" i="41" s="1"/>
  <c r="L91" i="41"/>
  <c r="K91" i="41"/>
  <c r="J91" i="41"/>
  <c r="I91" i="41"/>
  <c r="M90" i="41"/>
  <c r="K90" i="41"/>
  <c r="N90" i="41" s="1"/>
  <c r="J90" i="41"/>
  <c r="L90" i="41" s="1"/>
  <c r="I90" i="41"/>
  <c r="N89" i="41"/>
  <c r="M89" i="41"/>
  <c r="L89" i="41"/>
  <c r="K89" i="41"/>
  <c r="J89" i="41"/>
  <c r="I89" i="41"/>
  <c r="O89" i="41" s="1"/>
  <c r="N88" i="41"/>
  <c r="M88" i="41"/>
  <c r="O88" i="41" s="1"/>
  <c r="L88" i="41"/>
  <c r="K88" i="41"/>
  <c r="J88" i="41"/>
  <c r="I88" i="41"/>
  <c r="M87" i="41"/>
  <c r="L87" i="41"/>
  <c r="K87" i="41"/>
  <c r="N87" i="41" s="1"/>
  <c r="J87" i="41"/>
  <c r="I87" i="41"/>
  <c r="O86" i="41"/>
  <c r="M86" i="41"/>
  <c r="K86" i="41"/>
  <c r="N86" i="41" s="1"/>
  <c r="J86" i="41"/>
  <c r="L86" i="41" s="1"/>
  <c r="I86" i="41"/>
  <c r="M85" i="41"/>
  <c r="O85" i="41" s="1"/>
  <c r="K85" i="41"/>
  <c r="N85" i="41" s="1"/>
  <c r="J85" i="41"/>
  <c r="L85" i="41" s="1"/>
  <c r="I85" i="41"/>
  <c r="M84" i="41"/>
  <c r="O84" i="41" s="1"/>
  <c r="K84" i="41"/>
  <c r="N84" i="41" s="1"/>
  <c r="J84" i="41"/>
  <c r="L84" i="41" s="1"/>
  <c r="I84" i="41"/>
  <c r="M83" i="41"/>
  <c r="K83" i="41"/>
  <c r="N83" i="41" s="1"/>
  <c r="J83" i="41"/>
  <c r="L83" i="41" s="1"/>
  <c r="I83" i="41"/>
  <c r="N82" i="41"/>
  <c r="M82" i="41"/>
  <c r="K82" i="41"/>
  <c r="J82" i="41"/>
  <c r="L82" i="41" s="1"/>
  <c r="O82" i="41" s="1"/>
  <c r="I82" i="41"/>
  <c r="G82" i="41"/>
  <c r="A82" i="41"/>
  <c r="N81" i="41"/>
  <c r="M81" i="41"/>
  <c r="O81" i="41" s="1"/>
  <c r="L81" i="41"/>
  <c r="K81" i="41"/>
  <c r="J81" i="41"/>
  <c r="I81" i="41"/>
  <c r="M80" i="41"/>
  <c r="K80" i="41"/>
  <c r="N80" i="41" s="1"/>
  <c r="J80" i="41"/>
  <c r="L80" i="41" s="1"/>
  <c r="I80" i="41"/>
  <c r="N79" i="41"/>
  <c r="M79" i="41"/>
  <c r="K79" i="41"/>
  <c r="J79" i="41"/>
  <c r="L79" i="41" s="1"/>
  <c r="O79" i="41" s="1"/>
  <c r="I79" i="41"/>
  <c r="N78" i="41"/>
  <c r="M78" i="41"/>
  <c r="K78" i="41"/>
  <c r="J78" i="41"/>
  <c r="L78" i="41" s="1"/>
  <c r="I78" i="41"/>
  <c r="O77" i="41"/>
  <c r="M77" i="41"/>
  <c r="L77" i="41"/>
  <c r="K77" i="41"/>
  <c r="N77" i="41" s="1"/>
  <c r="J77" i="41"/>
  <c r="I77" i="41"/>
  <c r="M76" i="41"/>
  <c r="O76" i="41" s="1"/>
  <c r="L76" i="41"/>
  <c r="K76" i="41"/>
  <c r="N76" i="41" s="1"/>
  <c r="J76" i="41"/>
  <c r="I76" i="41"/>
  <c r="N75" i="41"/>
  <c r="M75" i="41"/>
  <c r="L75" i="41"/>
  <c r="K75" i="41"/>
  <c r="J75" i="41"/>
  <c r="I75" i="41"/>
  <c r="O75" i="41" s="1"/>
  <c r="N74" i="41"/>
  <c r="M74" i="41"/>
  <c r="O74" i="41" s="1"/>
  <c r="K74" i="41"/>
  <c r="J74" i="41"/>
  <c r="L74" i="41" s="1"/>
  <c r="I74" i="41"/>
  <c r="M73" i="41"/>
  <c r="O73" i="41" s="1"/>
  <c r="L73" i="41"/>
  <c r="K73" i="41"/>
  <c r="N73" i="41" s="1"/>
  <c r="J73" i="41"/>
  <c r="I73" i="41"/>
  <c r="M72" i="41"/>
  <c r="K72" i="41"/>
  <c r="N72" i="41" s="1"/>
  <c r="J72" i="41"/>
  <c r="L72" i="41" s="1"/>
  <c r="O72" i="41" s="1"/>
  <c r="I72" i="41"/>
  <c r="M71" i="41"/>
  <c r="K71" i="41"/>
  <c r="N71" i="41" s="1"/>
  <c r="J71" i="41"/>
  <c r="L71" i="41" s="1"/>
  <c r="I71" i="41"/>
  <c r="O71" i="41" s="1"/>
  <c r="N70" i="41"/>
  <c r="M70" i="41"/>
  <c r="K70" i="41"/>
  <c r="J70" i="41"/>
  <c r="L70" i="41" s="1"/>
  <c r="O70" i="41" s="1"/>
  <c r="I70" i="41"/>
  <c r="M69" i="41"/>
  <c r="K69" i="41"/>
  <c r="N69" i="41" s="1"/>
  <c r="J69" i="41"/>
  <c r="L69" i="41" s="1"/>
  <c r="I69" i="41"/>
  <c r="N68" i="41"/>
  <c r="M68" i="41"/>
  <c r="L68" i="41"/>
  <c r="K68" i="41"/>
  <c r="J68" i="41"/>
  <c r="I68" i="41"/>
  <c r="M67" i="41"/>
  <c r="K67" i="41"/>
  <c r="N67" i="41" s="1"/>
  <c r="J67" i="41"/>
  <c r="L67" i="41" s="1"/>
  <c r="I67" i="41"/>
  <c r="M66" i="41"/>
  <c r="L66" i="41"/>
  <c r="O66" i="41" s="1"/>
  <c r="K66" i="41"/>
  <c r="N66" i="41" s="1"/>
  <c r="J66" i="41"/>
  <c r="I66" i="41"/>
  <c r="M63" i="41"/>
  <c r="L63" i="41"/>
  <c r="K63" i="41"/>
  <c r="N63" i="41" s="1"/>
  <c r="J63" i="41"/>
  <c r="I63" i="41"/>
  <c r="M61" i="41"/>
  <c r="L61" i="41"/>
  <c r="K61" i="41"/>
  <c r="N61" i="41" s="1"/>
  <c r="J61" i="41"/>
  <c r="I61" i="41"/>
  <c r="G61" i="41"/>
  <c r="A61" i="41"/>
  <c r="O57" i="41"/>
  <c r="N57" i="41"/>
  <c r="M57" i="41"/>
  <c r="L57" i="41"/>
  <c r="K57" i="41"/>
  <c r="J57" i="41"/>
  <c r="I57" i="41"/>
  <c r="G56" i="41"/>
  <c r="A56" i="41"/>
  <c r="M55" i="41"/>
  <c r="L55" i="41"/>
  <c r="O55" i="41" s="1"/>
  <c r="K55" i="41"/>
  <c r="N55" i="41" s="1"/>
  <c r="J55" i="41"/>
  <c r="I55" i="41"/>
  <c r="A55" i="41"/>
  <c r="M54" i="41"/>
  <c r="K54" i="41"/>
  <c r="N54" i="41" s="1"/>
  <c r="J54" i="41"/>
  <c r="L54" i="41" s="1"/>
  <c r="O54" i="41" s="1"/>
  <c r="I54" i="41"/>
  <c r="M53" i="41"/>
  <c r="K53" i="41"/>
  <c r="N53" i="41" s="1"/>
  <c r="J53" i="41"/>
  <c r="L53" i="41" s="1"/>
  <c r="I53" i="41"/>
  <c r="B53" i="41"/>
  <c r="N52" i="41"/>
  <c r="M52" i="41"/>
  <c r="O52" i="41" s="1"/>
  <c r="K52" i="41"/>
  <c r="J52" i="41"/>
  <c r="L52" i="41" s="1"/>
  <c r="I52" i="41"/>
  <c r="M51" i="41"/>
  <c r="O51" i="41" s="1"/>
  <c r="L51" i="41"/>
  <c r="K51" i="41"/>
  <c r="N51" i="41" s="1"/>
  <c r="J51" i="41"/>
  <c r="I51" i="41"/>
  <c r="M50" i="41"/>
  <c r="O50" i="41" s="1"/>
  <c r="K50" i="41"/>
  <c r="N50" i="41" s="1"/>
  <c r="J50" i="41"/>
  <c r="L50" i="41" s="1"/>
  <c r="I50" i="41"/>
  <c r="N49" i="41"/>
  <c r="M49" i="41"/>
  <c r="L49" i="41"/>
  <c r="K49" i="41"/>
  <c r="J49" i="41"/>
  <c r="I49" i="41"/>
  <c r="O49" i="41" s="1"/>
  <c r="N48" i="41"/>
  <c r="M48" i="41"/>
  <c r="O48" i="41" s="1"/>
  <c r="L48" i="41"/>
  <c r="K48" i="41"/>
  <c r="J48" i="41"/>
  <c r="I48" i="41"/>
  <c r="M47" i="41"/>
  <c r="K47" i="41"/>
  <c r="N47" i="41" s="1"/>
  <c r="J47" i="41"/>
  <c r="L47" i="41" s="1"/>
  <c r="I47" i="41"/>
  <c r="M46" i="41"/>
  <c r="K46" i="41"/>
  <c r="N46" i="41" s="1"/>
  <c r="J46" i="41"/>
  <c r="L46" i="41" s="1"/>
  <c r="I46" i="41"/>
  <c r="M45" i="41"/>
  <c r="O45" i="41" s="1"/>
  <c r="K45" i="41"/>
  <c r="N45" i="41" s="1"/>
  <c r="J45" i="41"/>
  <c r="L45" i="41" s="1"/>
  <c r="I45" i="41"/>
  <c r="M44" i="41"/>
  <c r="K44" i="41"/>
  <c r="N44" i="41" s="1"/>
  <c r="J44" i="41"/>
  <c r="L44" i="41" s="1"/>
  <c r="I44" i="41"/>
  <c r="M43" i="41"/>
  <c r="K43" i="41"/>
  <c r="N43" i="41" s="1"/>
  <c r="J43" i="41"/>
  <c r="L43" i="41" s="1"/>
  <c r="I43" i="41"/>
  <c r="N42" i="41"/>
  <c r="M42" i="41"/>
  <c r="K42" i="41"/>
  <c r="J42" i="41"/>
  <c r="L42" i="41" s="1"/>
  <c r="O42" i="41" s="1"/>
  <c r="I42" i="41"/>
  <c r="N40" i="41"/>
  <c r="M40" i="41"/>
  <c r="K40" i="41"/>
  <c r="J40" i="41"/>
  <c r="L40" i="41" s="1"/>
  <c r="O40" i="41" s="1"/>
  <c r="I40" i="41"/>
  <c r="M39" i="41"/>
  <c r="L39" i="41"/>
  <c r="O39" i="41" s="1"/>
  <c r="K39" i="41"/>
  <c r="N39" i="41" s="1"/>
  <c r="J39" i="41"/>
  <c r="I39" i="41"/>
  <c r="M38" i="41"/>
  <c r="K38" i="41"/>
  <c r="N38" i="41" s="1"/>
  <c r="J38" i="41"/>
  <c r="L38" i="41" s="1"/>
  <c r="O38" i="41" s="1"/>
  <c r="I38" i="41"/>
  <c r="G38" i="41"/>
  <c r="A38" i="41"/>
  <c r="O37" i="41"/>
  <c r="N37" i="41"/>
  <c r="M37" i="41"/>
  <c r="K37" i="41"/>
  <c r="J37" i="41"/>
  <c r="L37" i="41" s="1"/>
  <c r="I37" i="41"/>
  <c r="N36" i="41"/>
  <c r="M36" i="41"/>
  <c r="L36" i="41"/>
  <c r="K36" i="41"/>
  <c r="J36" i="41"/>
  <c r="I36" i="41"/>
  <c r="M35" i="41"/>
  <c r="K35" i="41"/>
  <c r="N35" i="41" s="1"/>
  <c r="J35" i="41"/>
  <c r="L35" i="41" s="1"/>
  <c r="I35" i="41"/>
  <c r="O34" i="41"/>
  <c r="N34" i="41"/>
  <c r="M34" i="41"/>
  <c r="L34" i="41"/>
  <c r="K34" i="41"/>
  <c r="J34" i="41"/>
  <c r="I34" i="41"/>
  <c r="N33" i="41"/>
  <c r="M33" i="41"/>
  <c r="O33" i="41" s="1"/>
  <c r="K33" i="41"/>
  <c r="J33" i="41"/>
  <c r="L33" i="41" s="1"/>
  <c r="I33" i="41"/>
  <c r="M32" i="41"/>
  <c r="O32" i="41" s="1"/>
  <c r="K32" i="41"/>
  <c r="N32" i="41" s="1"/>
  <c r="J32" i="41"/>
  <c r="L32" i="41" s="1"/>
  <c r="I32" i="41"/>
  <c r="O31" i="41"/>
  <c r="M31" i="41"/>
  <c r="K31" i="41"/>
  <c r="N31" i="41" s="1"/>
  <c r="J31" i="41"/>
  <c r="L31" i="41" s="1"/>
  <c r="I31" i="41"/>
  <c r="N30" i="41"/>
  <c r="M30" i="41"/>
  <c r="O30" i="41" s="1"/>
  <c r="K30" i="41"/>
  <c r="J30" i="41"/>
  <c r="L30" i="41" s="1"/>
  <c r="I30" i="41"/>
  <c r="G30" i="41"/>
  <c r="A30" i="41"/>
  <c r="M29" i="41"/>
  <c r="O29" i="41" s="1"/>
  <c r="L29" i="41"/>
  <c r="K29" i="41"/>
  <c r="N29" i="41" s="1"/>
  <c r="J29" i="41"/>
  <c r="I29" i="41"/>
  <c r="M28" i="41"/>
  <c r="O28" i="41" s="1"/>
  <c r="L28" i="41"/>
  <c r="K28" i="41"/>
  <c r="N28" i="41" s="1"/>
  <c r="J28" i="41"/>
  <c r="I28" i="41"/>
  <c r="M27" i="41"/>
  <c r="L27" i="41"/>
  <c r="K27" i="41"/>
  <c r="N27" i="41" s="1"/>
  <c r="J27" i="41"/>
  <c r="I27" i="41"/>
  <c r="N26" i="41"/>
  <c r="M26" i="41"/>
  <c r="L26" i="41"/>
  <c r="O26" i="41" s="1"/>
  <c r="K26" i="41"/>
  <c r="J26" i="41"/>
  <c r="I26" i="41"/>
  <c r="N25" i="41"/>
  <c r="M25" i="41"/>
  <c r="L25" i="41"/>
  <c r="K25" i="41"/>
  <c r="J25" i="41"/>
  <c r="I25" i="41"/>
  <c r="M24" i="41"/>
  <c r="L24" i="41"/>
  <c r="K24" i="41"/>
  <c r="N24" i="41" s="1"/>
  <c r="J24" i="41"/>
  <c r="I24" i="41"/>
  <c r="G24" i="41"/>
  <c r="H53" i="41" s="1"/>
  <c r="A24" i="41"/>
  <c r="M23" i="41"/>
  <c r="K23" i="41"/>
  <c r="N23" i="41" s="1"/>
  <c r="J23" i="41"/>
  <c r="L23" i="41" s="1"/>
  <c r="O23" i="41" s="1"/>
  <c r="I23" i="41"/>
  <c r="N22" i="41"/>
  <c r="M22" i="41"/>
  <c r="O22" i="41" s="1"/>
  <c r="K22" i="41"/>
  <c r="J22" i="41"/>
  <c r="L22" i="41" s="1"/>
  <c r="I22" i="41"/>
  <c r="M21" i="41"/>
  <c r="O21" i="41" s="1"/>
  <c r="L21" i="41"/>
  <c r="K21" i="41"/>
  <c r="N21" i="41" s="1"/>
  <c r="J21" i="41"/>
  <c r="I21" i="41"/>
  <c r="M20" i="41"/>
  <c r="O20" i="41" s="1"/>
  <c r="K20" i="41"/>
  <c r="N20" i="41" s="1"/>
  <c r="J20" i="41"/>
  <c r="L20" i="41" s="1"/>
  <c r="I20" i="41"/>
  <c r="M19" i="41"/>
  <c r="K19" i="41"/>
  <c r="N19" i="41" s="1"/>
  <c r="J19" i="41"/>
  <c r="L19" i="41" s="1"/>
  <c r="O19" i="41" s="1"/>
  <c r="I19" i="41"/>
  <c r="M18" i="41"/>
  <c r="K18" i="41"/>
  <c r="N18" i="41" s="1"/>
  <c r="J18" i="41"/>
  <c r="L18" i="41" s="1"/>
  <c r="I18" i="41"/>
  <c r="G18" i="41"/>
  <c r="M17" i="41"/>
  <c r="K17" i="41"/>
  <c r="N17" i="41" s="1"/>
  <c r="J17" i="41"/>
  <c r="L17" i="41" s="1"/>
  <c r="I17" i="41"/>
  <c r="O16" i="41"/>
  <c r="N16" i="41"/>
  <c r="M16" i="41"/>
  <c r="L16" i="41"/>
  <c r="K16" i="41"/>
  <c r="J16" i="41"/>
  <c r="I16" i="41"/>
  <c r="A16" i="41"/>
  <c r="N15" i="41"/>
  <c r="M15" i="41"/>
  <c r="L15" i="41"/>
  <c r="K15" i="41"/>
  <c r="J15" i="41"/>
  <c r="I15" i="41"/>
  <c r="O15" i="41" s="1"/>
  <c r="N14" i="41"/>
  <c r="M14" i="41"/>
  <c r="K14" i="41"/>
  <c r="J14" i="41"/>
  <c r="L14" i="41" s="1"/>
  <c r="I14" i="41"/>
  <c r="O13" i="41"/>
  <c r="N13" i="41"/>
  <c r="M13" i="41"/>
  <c r="K13" i="41"/>
  <c r="J13" i="41"/>
  <c r="L13" i="41" s="1"/>
  <c r="I13" i="41"/>
  <c r="M12" i="41"/>
  <c r="K12" i="41"/>
  <c r="N12" i="41" s="1"/>
  <c r="J12" i="41"/>
  <c r="L12" i="41" s="1"/>
  <c r="I12" i="41"/>
  <c r="I11" i="41"/>
  <c r="H11" i="41"/>
  <c r="M10" i="41"/>
  <c r="K10" i="41"/>
  <c r="N10" i="41" s="1"/>
  <c r="J10" i="41"/>
  <c r="L10" i="41" s="1"/>
  <c r="I10" i="41"/>
  <c r="O9" i="41"/>
  <c r="N9" i="41"/>
  <c r="M9" i="41"/>
  <c r="L9" i="41"/>
  <c r="K9" i="41"/>
  <c r="J9" i="41"/>
  <c r="I9" i="41"/>
  <c r="M8" i="41"/>
  <c r="L8" i="41"/>
  <c r="K8" i="41"/>
  <c r="N8" i="41" s="1"/>
  <c r="J8" i="41"/>
  <c r="I8" i="41"/>
  <c r="N7" i="41"/>
  <c r="M7" i="41"/>
  <c r="K7" i="41"/>
  <c r="J7" i="41"/>
  <c r="L7" i="41" s="1"/>
  <c r="O7" i="41" s="1"/>
  <c r="I7" i="41"/>
  <c r="N6" i="41"/>
  <c r="M6" i="41"/>
  <c r="O6" i="41" s="1"/>
  <c r="K6" i="41"/>
  <c r="J6" i="41"/>
  <c r="L6" i="41" s="1"/>
  <c r="I6" i="41"/>
  <c r="I671" i="40"/>
  <c r="H671" i="40"/>
  <c r="G671" i="40"/>
  <c r="B671" i="40"/>
  <c r="I638" i="40"/>
  <c r="I428" i="40"/>
  <c r="B419" i="40"/>
  <c r="I415" i="40"/>
  <c r="G400" i="40"/>
  <c r="G401" i="40" s="1"/>
  <c r="G399" i="40"/>
  <c r="B399" i="40"/>
  <c r="H393" i="40"/>
  <c r="B393" i="40"/>
  <c r="H387" i="40"/>
  <c r="B387" i="40"/>
  <c r="H381" i="40"/>
  <c r="I366" i="40" s="1"/>
  <c r="B381" i="40"/>
  <c r="H374" i="40"/>
  <c r="B374" i="40"/>
  <c r="H368" i="40"/>
  <c r="B368" i="40"/>
  <c r="H321" i="40"/>
  <c r="H311" i="40"/>
  <c r="B311" i="40"/>
  <c r="I309" i="40"/>
  <c r="H294" i="40"/>
  <c r="H245" i="40"/>
  <c r="B245" i="40"/>
  <c r="H236" i="40"/>
  <c r="B236" i="40"/>
  <c r="H225" i="40"/>
  <c r="B225" i="40"/>
  <c r="H214" i="40"/>
  <c r="B214" i="40"/>
  <c r="H197" i="40"/>
  <c r="B197" i="40"/>
  <c r="H184" i="40"/>
  <c r="B184" i="40"/>
  <c r="H171" i="40"/>
  <c r="B171" i="40"/>
  <c r="H155" i="40"/>
  <c r="B155" i="40"/>
  <c r="H148" i="40"/>
  <c r="B148" i="40"/>
  <c r="H142" i="40"/>
  <c r="I58" i="40" s="1"/>
  <c r="B142" i="40"/>
  <c r="H120" i="40"/>
  <c r="B120" i="40"/>
  <c r="H108" i="40"/>
  <c r="B108" i="40"/>
  <c r="H60" i="40"/>
  <c r="B60" i="40"/>
  <c r="H47" i="40"/>
  <c r="H37" i="40"/>
  <c r="I13" i="40" s="1"/>
  <c r="H27" i="40"/>
  <c r="H17" i="40"/>
  <c r="H399" i="40" s="1"/>
  <c r="B3" i="40"/>
  <c r="B2" i="40"/>
  <c r="O314" i="41" l="1"/>
  <c r="O440" i="41"/>
  <c r="O115" i="41"/>
  <c r="O233" i="41"/>
  <c r="O14" i="41"/>
  <c r="O224" i="41"/>
  <c r="O519" i="41"/>
  <c r="O25" i="41"/>
  <c r="O555" i="41"/>
  <c r="O606" i="41"/>
  <c r="O216" i="41"/>
  <c r="O532" i="41"/>
  <c r="O44" i="41"/>
  <c r="O61" i="41"/>
  <c r="O119" i="41"/>
  <c r="O159" i="41"/>
  <c r="O188" i="41"/>
  <c r="O257" i="41"/>
  <c r="O304" i="41"/>
  <c r="O469" i="41"/>
  <c r="O525" i="41"/>
  <c r="O593" i="41"/>
  <c r="O92" i="41"/>
  <c r="O404" i="41"/>
  <c r="O489" i="41"/>
  <c r="O68" i="41"/>
  <c r="O180" i="41"/>
  <c r="O269" i="41"/>
  <c r="O356" i="41"/>
  <c r="O389" i="41"/>
  <c r="O547" i="41"/>
  <c r="O635" i="41"/>
  <c r="O677" i="41"/>
  <c r="O681" i="41"/>
  <c r="O872" i="41"/>
  <c r="O1347" i="41"/>
  <c r="O18" i="41"/>
  <c r="O268" i="41"/>
  <c r="O452" i="41"/>
  <c r="O915" i="41"/>
  <c r="O927" i="41"/>
  <c r="O492" i="41"/>
  <c r="O528" i="41"/>
  <c r="O938" i="41"/>
  <c r="O952" i="41"/>
  <c r="O1310" i="41"/>
  <c r="O12" i="41"/>
  <c r="O43" i="41"/>
  <c r="O78" i="41"/>
  <c r="O183" i="41"/>
  <c r="O187" i="41"/>
  <c r="O238" i="41"/>
  <c r="O477" i="41"/>
  <c r="O641" i="41"/>
  <c r="O688" i="41"/>
  <c r="O767" i="41"/>
  <c r="O779" i="41"/>
  <c r="O1195" i="41"/>
  <c r="O1214" i="41"/>
  <c r="O8" i="41"/>
  <c r="O285" i="41"/>
  <c r="O481" i="41"/>
  <c r="O561" i="41"/>
  <c r="O720" i="41"/>
  <c r="O724" i="41"/>
  <c r="O755" i="41"/>
  <c r="O1033" i="41"/>
  <c r="O1558" i="41"/>
  <c r="O36" i="41"/>
  <c r="O153" i="41"/>
  <c r="O202" i="41"/>
  <c r="O231" i="41"/>
  <c r="O334" i="41"/>
  <c r="O453" i="41"/>
  <c r="O879" i="41"/>
  <c r="O199" i="41"/>
  <c r="O210" i="41"/>
  <c r="O217" i="41"/>
  <c r="O221" i="41"/>
  <c r="O254" i="41"/>
  <c r="O301" i="41"/>
  <c r="O381" i="41"/>
  <c r="O393" i="41"/>
  <c r="O401" i="41"/>
  <c r="O409" i="41"/>
  <c r="O425" i="41"/>
  <c r="O478" i="41"/>
  <c r="O557" i="41"/>
  <c r="A1501" i="41"/>
  <c r="A1526" i="41"/>
  <c r="O586" i="41"/>
  <c r="O702" i="41"/>
  <c r="O843" i="41"/>
  <c r="O1130" i="41"/>
  <c r="O1134" i="41"/>
  <c r="O1177" i="41"/>
  <c r="O1722" i="41"/>
  <c r="O120" i="41"/>
  <c r="O174" i="41"/>
  <c r="O323" i="41"/>
  <c r="O338" i="41"/>
  <c r="O544" i="41"/>
  <c r="O619" i="41"/>
  <c r="O788" i="41"/>
  <c r="O876" i="41"/>
  <c r="O464" i="41"/>
  <c r="O27" i="41"/>
  <c r="O150" i="41"/>
  <c r="O207" i="41"/>
  <c r="O283" i="41"/>
  <c r="O320" i="41"/>
  <c r="O422" i="41"/>
  <c r="O458" i="41"/>
  <c r="O722" i="41"/>
  <c r="O737" i="41"/>
  <c r="O741" i="41"/>
  <c r="O826" i="41"/>
  <c r="O833" i="41"/>
  <c r="O840" i="41"/>
  <c r="O1047" i="41"/>
  <c r="O90" i="41"/>
  <c r="O139" i="41"/>
  <c r="O218" i="41"/>
  <c r="O375" i="41"/>
  <c r="O510" i="41"/>
  <c r="O530" i="41"/>
  <c r="O570" i="41"/>
  <c r="O575" i="41"/>
  <c r="O670" i="41"/>
  <c r="O765" i="41"/>
  <c r="O1361" i="41"/>
  <c r="O614" i="41"/>
  <c r="O24" i="41"/>
  <c r="O106" i="41"/>
  <c r="O117" i="41"/>
  <c r="O185" i="41"/>
  <c r="O200" i="41"/>
  <c r="O222" i="41"/>
  <c r="O280" i="41"/>
  <c r="O306" i="41"/>
  <c r="O317" i="41"/>
  <c r="O354" i="41"/>
  <c r="O534" i="41"/>
  <c r="O563" i="41"/>
  <c r="A576" i="41"/>
  <c r="O624" i="41"/>
  <c r="H1802" i="41"/>
  <c r="O152" i="41"/>
  <c r="O35" i="41"/>
  <c r="O234" i="41"/>
  <c r="H382" i="41"/>
  <c r="H286" i="41" s="1"/>
  <c r="O360" i="41"/>
  <c r="O550" i="41"/>
  <c r="O610" i="41"/>
  <c r="O911" i="41"/>
  <c r="O230" i="41"/>
  <c r="O273" i="41"/>
  <c r="O364" i="41"/>
  <c r="O408" i="41"/>
  <c r="A720" i="41"/>
  <c r="A694" i="41"/>
  <c r="A747" i="41"/>
  <c r="H130" i="41"/>
  <c r="H14" i="41" s="1"/>
  <c r="H881" i="41" s="1"/>
  <c r="O112" i="41"/>
  <c r="O181" i="41"/>
  <c r="O594" i="41"/>
  <c r="O17" i="41"/>
  <c r="O46" i="41"/>
  <c r="O87" i="41"/>
  <c r="O94" i="41"/>
  <c r="O255" i="41"/>
  <c r="O299" i="41"/>
  <c r="O406" i="41"/>
  <c r="O511" i="41"/>
  <c r="O558" i="41"/>
  <c r="O726" i="41"/>
  <c r="O738" i="41"/>
  <c r="O1066" i="41"/>
  <c r="O1573" i="41"/>
  <c r="O596" i="41"/>
  <c r="O10" i="41"/>
  <c r="O113" i="41"/>
  <c r="O136" i="41"/>
  <c r="O197" i="41"/>
  <c r="O249" i="41"/>
  <c r="O690" i="41"/>
  <c r="O1384" i="41"/>
  <c r="A212" i="41"/>
  <c r="A135" i="41"/>
  <c r="A203" i="41"/>
  <c r="O284" i="41"/>
  <c r="O584" i="41"/>
  <c r="O399" i="41"/>
  <c r="O438" i="41"/>
  <c r="O694" i="41"/>
  <c r="O743" i="41"/>
  <c r="O790" i="41"/>
  <c r="O813" i="41"/>
  <c r="O67" i="41"/>
  <c r="O95" i="41"/>
  <c r="O264" i="41"/>
  <c r="O292" i="41"/>
  <c r="O300" i="41"/>
  <c r="O355" i="41"/>
  <c r="O645" i="41"/>
  <c r="O787" i="41"/>
  <c r="O1124" i="41"/>
  <c r="O47" i="41"/>
  <c r="O100" i="41"/>
  <c r="O499" i="41"/>
  <c r="O512" i="41"/>
  <c r="O93" i="41"/>
  <c r="O196" i="41"/>
  <c r="O63" i="41"/>
  <c r="O97" i="41"/>
  <c r="O362" i="41"/>
  <c r="O647" i="41"/>
  <c r="O733" i="41"/>
  <c r="O967" i="41"/>
  <c r="O1436" i="41"/>
  <c r="O53" i="41"/>
  <c r="O194" i="41"/>
  <c r="O430" i="41"/>
  <c r="O753" i="41"/>
  <c r="O793" i="41"/>
  <c r="O797" i="41"/>
  <c r="O1280" i="41"/>
  <c r="O1355" i="41"/>
  <c r="O1429" i="41"/>
  <c r="O330" i="41"/>
  <c r="O450" i="41"/>
  <c r="O516" i="41"/>
  <c r="O646" i="41"/>
  <c r="O730" i="41"/>
  <c r="O848" i="41"/>
  <c r="O1018" i="41"/>
  <c r="O142" i="41"/>
  <c r="O396" i="41"/>
  <c r="O400" i="41"/>
  <c r="O403" i="41"/>
  <c r="O441" i="41"/>
  <c r="O447" i="41"/>
  <c r="O468" i="41"/>
  <c r="O471" i="41"/>
  <c r="O498" i="41"/>
  <c r="O527" i="41"/>
  <c r="H573" i="41"/>
  <c r="O603" i="41"/>
  <c r="O712" i="41"/>
  <c r="O723" i="41"/>
  <c r="O784" i="41"/>
  <c r="O830" i="41"/>
  <c r="O904" i="41"/>
  <c r="O937" i="41"/>
  <c r="O954" i="41"/>
  <c r="O1034" i="41"/>
  <c r="O1161" i="41"/>
  <c r="O1314" i="41"/>
  <c r="O1321" i="41"/>
  <c r="O1664" i="41"/>
  <c r="O1690" i="41"/>
  <c r="O1828" i="41"/>
  <c r="O1299" i="41"/>
  <c r="O1674" i="41"/>
  <c r="O1809" i="41"/>
  <c r="O80" i="41"/>
  <c r="O149" i="41"/>
  <c r="O324" i="41"/>
  <c r="O343" i="41"/>
  <c r="O367" i="41"/>
  <c r="O421" i="41"/>
  <c r="O465" i="41"/>
  <c r="A488" i="41"/>
  <c r="A497" i="41"/>
  <c r="O571" i="41"/>
  <c r="O667" i="41"/>
  <c r="O780" i="41"/>
  <c r="O869" i="41"/>
  <c r="O1143" i="41"/>
  <c r="O1398" i="41"/>
  <c r="O1637" i="41"/>
  <c r="O1731" i="41"/>
  <c r="O1820" i="41"/>
  <c r="O83" i="41"/>
  <c r="O289" i="41"/>
  <c r="O321" i="41"/>
  <c r="O350" i="41"/>
  <c r="O502" i="41"/>
  <c r="O524" i="41"/>
  <c r="O617" i="41"/>
  <c r="O628" i="41"/>
  <c r="O636" i="41"/>
  <c r="O716" i="41"/>
  <c r="O873" i="41"/>
  <c r="O934" i="41"/>
  <c r="H1298" i="41"/>
  <c r="O143" i="41"/>
  <c r="O162" i="41"/>
  <c r="O228" i="41"/>
  <c r="O435" i="41"/>
  <c r="O496" i="41"/>
  <c r="O521" i="41"/>
  <c r="O538" i="41"/>
  <c r="O572" i="41"/>
  <c r="O604" i="41"/>
  <c r="O735" i="41"/>
  <c r="O810" i="41"/>
  <c r="O1495" i="41"/>
  <c r="O1626" i="41"/>
  <c r="O462" i="41"/>
  <c r="O535" i="41"/>
  <c r="O821" i="41"/>
  <c r="O1016" i="41"/>
  <c r="O169" i="41"/>
  <c r="O344" i="41"/>
  <c r="O370" i="41"/>
  <c r="O394" i="41"/>
  <c r="O411" i="41"/>
  <c r="O455" i="41"/>
  <c r="O601" i="41"/>
  <c r="O629" i="41"/>
  <c r="O633" i="41"/>
  <c r="O728" i="41"/>
  <c r="O762" i="41"/>
  <c r="O770" i="41"/>
  <c r="O773" i="41"/>
  <c r="O939" i="41"/>
  <c r="O993" i="41"/>
  <c r="O1148" i="41"/>
  <c r="O1171" i="41"/>
  <c r="O1286" i="41"/>
  <c r="O1368" i="41"/>
  <c r="O96" i="41"/>
  <c r="O140" i="41"/>
  <c r="O361" i="41"/>
  <c r="A903" i="41"/>
  <c r="A927" i="41"/>
  <c r="A18" i="41"/>
  <c r="A908" i="41"/>
  <c r="O104" i="41"/>
  <c r="O290" i="41"/>
  <c r="O341" i="41"/>
  <c r="O432" i="41"/>
  <c r="O591" i="41"/>
  <c r="O672" i="41"/>
  <c r="O693" i="41"/>
  <c r="O1120" i="41"/>
  <c r="O1304" i="41"/>
  <c r="O1461" i="41"/>
  <c r="O1530" i="41"/>
  <c r="O303" i="41"/>
  <c r="O365" i="41"/>
  <c r="O380" i="41"/>
  <c r="O391" i="41"/>
  <c r="O622" i="41"/>
  <c r="O644" i="41"/>
  <c r="O703" i="41"/>
  <c r="O750" i="41"/>
  <c r="O1295" i="41"/>
  <c r="O1482" i="41"/>
  <c r="O1736" i="41"/>
  <c r="O625" i="41"/>
  <c r="O69" i="41"/>
  <c r="O130" i="41"/>
  <c r="O259" i="41"/>
  <c r="O569" i="41"/>
  <c r="O574" i="41"/>
  <c r="O807" i="41"/>
  <c r="O839" i="41"/>
  <c r="O867" i="41"/>
  <c r="O914" i="41"/>
  <c r="O997" i="41"/>
  <c r="O1058" i="41"/>
  <c r="O1435" i="41"/>
  <c r="O1439" i="41"/>
  <c r="O1519" i="41"/>
  <c r="O1608" i="41"/>
  <c r="O1646" i="41"/>
  <c r="O899" i="41"/>
  <c r="O964" i="41"/>
  <c r="O1065" i="41"/>
  <c r="O1068" i="41"/>
  <c r="O1179" i="41"/>
  <c r="O1223" i="41"/>
  <c r="O1230" i="41"/>
  <c r="O1351" i="41"/>
  <c r="O1590" i="41"/>
  <c r="O1754" i="41"/>
  <c r="O1773" i="41"/>
  <c r="O1784" i="41"/>
  <c r="O1874" i="41"/>
  <c r="O777" i="41"/>
  <c r="O1026" i="41"/>
  <c r="O1037" i="41"/>
  <c r="O1116" i="41"/>
  <c r="O1140" i="41"/>
  <c r="O1157" i="41"/>
  <c r="O1183" i="41"/>
  <c r="O1215" i="41"/>
  <c r="O1253" i="41"/>
  <c r="O1311" i="41"/>
  <c r="O1315" i="41"/>
  <c r="O1340" i="41"/>
  <c r="O1514" i="41"/>
  <c r="O1582" i="41"/>
  <c r="O1657" i="41"/>
  <c r="O1687" i="41"/>
  <c r="O1763" i="41"/>
  <c r="O1860" i="41"/>
  <c r="O632" i="41"/>
  <c r="O709" i="41"/>
  <c r="O801" i="41"/>
  <c r="O811" i="41"/>
  <c r="O987" i="41"/>
  <c r="O1048" i="41"/>
  <c r="O1076" i="41"/>
  <c r="O1121" i="41"/>
  <c r="O1137" i="41"/>
  <c r="O1211" i="41"/>
  <c r="O1283" i="41"/>
  <c r="O1312" i="41"/>
  <c r="O1380" i="41"/>
  <c r="O1562" i="41"/>
  <c r="O1613" i="41"/>
  <c r="O691" i="41"/>
  <c r="O713" i="41"/>
  <c r="O745" i="41"/>
  <c r="O771" i="41"/>
  <c r="O774" i="41"/>
  <c r="O794" i="41"/>
  <c r="O818" i="41"/>
  <c r="O932" i="41"/>
  <c r="O1020" i="41"/>
  <c r="O1027" i="41"/>
  <c r="O1069" i="41"/>
  <c r="O1098" i="41"/>
  <c r="O1169" i="41"/>
  <c r="O1239" i="41"/>
  <c r="O1308" i="41"/>
  <c r="O1441" i="41"/>
  <c r="O1534" i="41"/>
  <c r="O1553" i="41"/>
  <c r="O1636" i="41"/>
  <c r="O1662" i="41"/>
  <c r="O1721" i="41"/>
  <c r="O1834" i="41"/>
  <c r="O791" i="41"/>
  <c r="O808" i="41"/>
  <c r="O969" i="41"/>
  <c r="O1052" i="41"/>
  <c r="O1158" i="41"/>
  <c r="O1523" i="41"/>
  <c r="O1579" i="41"/>
  <c r="H1800" i="41"/>
  <c r="H1740" i="41" s="1"/>
  <c r="O1826" i="41"/>
  <c r="H1859" i="41"/>
  <c r="O626" i="41"/>
  <c r="O732" i="41"/>
  <c r="O768" i="41"/>
  <c r="O798" i="41"/>
  <c r="O828" i="41"/>
  <c r="O929" i="41"/>
  <c r="O1002" i="41"/>
  <c r="O1031" i="41"/>
  <c r="O1162" i="41"/>
  <c r="O1414" i="41"/>
  <c r="O1621" i="41"/>
  <c r="O1760" i="41"/>
  <c r="O1811" i="41"/>
  <c r="O1882" i="41"/>
  <c r="O459" i="41"/>
  <c r="O653" i="41"/>
  <c r="O710" i="41"/>
  <c r="O966" i="41"/>
  <c r="O988" i="41"/>
  <c r="O1063" i="41"/>
  <c r="O1087" i="41"/>
  <c r="O1102" i="41"/>
  <c r="H1234" i="41"/>
  <c r="H1224" i="41"/>
  <c r="H1125" i="41" s="1"/>
  <c r="O1353" i="41"/>
  <c r="O1831" i="41"/>
  <c r="O1846" i="41"/>
  <c r="O560" i="41"/>
  <c r="O580" i="41"/>
  <c r="O623" i="41"/>
  <c r="O707" i="41"/>
  <c r="O805" i="41"/>
  <c r="O1084" i="41"/>
  <c r="O1305" i="41"/>
  <c r="O1349" i="41"/>
  <c r="O1460" i="41"/>
  <c r="O1655" i="41"/>
  <c r="O1728" i="41"/>
  <c r="O1839" i="41"/>
  <c r="G881" i="41"/>
  <c r="O576" i="41"/>
  <c r="O583" i="41"/>
  <c r="O620" i="41"/>
  <c r="O704" i="41"/>
  <c r="O855" i="41"/>
  <c r="O1035" i="41"/>
  <c r="O1516" i="41"/>
  <c r="O1560" i="41"/>
  <c r="O1564" i="41"/>
  <c r="O1651" i="41"/>
  <c r="O1678" i="41"/>
  <c r="O1858" i="41"/>
  <c r="O536" i="41"/>
  <c r="O539" i="41"/>
  <c r="O650" i="41"/>
  <c r="O663" i="41"/>
  <c r="O666" i="41"/>
  <c r="O692" i="41"/>
  <c r="O701" i="41"/>
  <c r="O809" i="41"/>
  <c r="O819" i="41"/>
  <c r="O849" i="41"/>
  <c r="O901" i="41"/>
  <c r="O1010" i="41"/>
  <c r="O1056" i="41"/>
  <c r="O1060" i="41"/>
  <c r="O1081" i="41"/>
  <c r="O1119" i="41"/>
  <c r="O1131" i="41"/>
  <c r="O1159" i="41"/>
  <c r="O1200" i="41"/>
  <c r="O1221" i="41"/>
  <c r="O1331" i="41"/>
  <c r="O1378" i="41"/>
  <c r="O1568" i="41"/>
  <c r="O1588" i="41"/>
  <c r="O1732" i="41"/>
  <c r="O1808" i="41"/>
  <c r="O1835" i="41"/>
  <c r="O643" i="41"/>
  <c r="O854" i="41"/>
  <c r="O857" i="41"/>
  <c r="O963" i="41"/>
  <c r="O977" i="41"/>
  <c r="O1287" i="41"/>
  <c r="O1458" i="41"/>
  <c r="O1531" i="41"/>
  <c r="O1559" i="41"/>
  <c r="O1633" i="41"/>
  <c r="O1725" i="41"/>
  <c r="O1739" i="41"/>
  <c r="O1771" i="41"/>
  <c r="O1803" i="41"/>
  <c r="O1862" i="41"/>
  <c r="O1879" i="41"/>
  <c r="O1876" i="41"/>
  <c r="O736" i="41"/>
  <c r="O816" i="41"/>
  <c r="O822" i="41"/>
  <c r="O926" i="41"/>
  <c r="O978" i="41"/>
  <c r="O1078" i="41"/>
  <c r="O1118" i="41"/>
  <c r="O1365" i="41"/>
  <c r="O1437" i="41"/>
  <c r="O1448" i="41"/>
  <c r="O1452" i="41"/>
  <c r="O1528" i="41"/>
  <c r="O1539" i="41"/>
  <c r="O1571" i="41"/>
  <c r="O1627" i="41"/>
  <c r="O1640" i="41"/>
  <c r="O1677" i="41"/>
  <c r="O1726" i="41"/>
  <c r="O1733" i="41"/>
  <c r="O1743" i="41"/>
  <c r="O1866" i="41"/>
  <c r="O1181" i="41"/>
  <c r="O1219" i="41"/>
  <c r="O1316" i="41"/>
  <c r="H1415" i="41"/>
  <c r="O1466" i="41"/>
  <c r="O1605" i="41"/>
  <c r="O1665" i="41"/>
  <c r="O1740" i="41"/>
  <c r="O1870" i="41"/>
  <c r="O804" i="41"/>
  <c r="O858" i="41"/>
  <c r="O947" i="41"/>
  <c r="H1106" i="41"/>
  <c r="O1160" i="41"/>
  <c r="O1445" i="41"/>
  <c r="O1476" i="41"/>
  <c r="O1547" i="41"/>
  <c r="O1612" i="41"/>
  <c r="O1672" i="41"/>
  <c r="O1789" i="41"/>
  <c r="O1859" i="41"/>
  <c r="O589" i="41"/>
  <c r="O786" i="41"/>
  <c r="H848" i="41"/>
  <c r="O871" i="41"/>
  <c r="O902" i="41"/>
  <c r="O950" i="41"/>
  <c r="O953" i="41"/>
  <c r="O1019" i="41"/>
  <c r="O1093" i="41"/>
  <c r="O1099" i="41"/>
  <c r="O1111" i="41"/>
  <c r="O1114" i="41"/>
  <c r="O1122" i="41"/>
  <c r="O1227" i="41"/>
  <c r="O1379" i="41"/>
  <c r="O1427" i="41"/>
  <c r="O1463" i="41"/>
  <c r="O1717" i="41"/>
  <c r="O1730" i="41"/>
  <c r="O1804" i="41"/>
  <c r="O962" i="41"/>
  <c r="O1022" i="41"/>
  <c r="O1025" i="41"/>
  <c r="O1059" i="41"/>
  <c r="O1075" i="41"/>
  <c r="O1115" i="41"/>
  <c r="O1172" i="41"/>
  <c r="O1755" i="41"/>
  <c r="O1759" i="41"/>
  <c r="O1865" i="41"/>
  <c r="O1153" i="41"/>
  <c r="O1156" i="41"/>
  <c r="O1306" i="41"/>
  <c r="O1313" i="41"/>
  <c r="O1344" i="41"/>
  <c r="O1377" i="41"/>
  <c r="O1602" i="41"/>
  <c r="O1768" i="41"/>
  <c r="O1819" i="41"/>
  <c r="O1863" i="41"/>
  <c r="O800" i="41"/>
  <c r="O998" i="41"/>
  <c r="O1001" i="41"/>
  <c r="O1042" i="41"/>
  <c r="O1054" i="41"/>
  <c r="O1057" i="41"/>
  <c r="O1073" i="41"/>
  <c r="O1420" i="41"/>
  <c r="O1455" i="41"/>
  <c r="O1670" i="41"/>
  <c r="O1679" i="41"/>
  <c r="O1822" i="41"/>
  <c r="O1838" i="41"/>
  <c r="O1873" i="41"/>
  <c r="O878" i="41"/>
  <c r="G1887" i="41"/>
  <c r="H974" i="41"/>
  <c r="O940" i="41"/>
  <c r="O995" i="41"/>
  <c r="O1128" i="41"/>
  <c r="O1271" i="41"/>
  <c r="O1399" i="41"/>
  <c r="O1424" i="41"/>
  <c r="O1494" i="41"/>
  <c r="O1522" i="41"/>
  <c r="O1550" i="41"/>
  <c r="O1574" i="41"/>
  <c r="O1643" i="41"/>
  <c r="O1747" i="41"/>
  <c r="O1778" i="41"/>
  <c r="O1816" i="41"/>
  <c r="O1853" i="41"/>
  <c r="O1395" i="41"/>
  <c r="O1408" i="41"/>
  <c r="O1512" i="41"/>
  <c r="O1565" i="41"/>
  <c r="O1729" i="41"/>
  <c r="O1764" i="41"/>
  <c r="O1800" i="41"/>
  <c r="O1004" i="41"/>
  <c r="O1028" i="41"/>
  <c r="O1141" i="41"/>
  <c r="O1175" i="41"/>
  <c r="O1254" i="41"/>
  <c r="O1343" i="41"/>
  <c r="O1375" i="41"/>
  <c r="O1470" i="41"/>
  <c r="O1496" i="41"/>
  <c r="O1526" i="41"/>
  <c r="O1593" i="41"/>
  <c r="O1607" i="41"/>
  <c r="O1639" i="41"/>
  <c r="O1653" i="41"/>
  <c r="O1684" i="41"/>
  <c r="O1694" i="41"/>
  <c r="O1742" i="41"/>
  <c r="O1781" i="41"/>
  <c r="O1817" i="41"/>
  <c r="O1843" i="41"/>
  <c r="O1297" i="41"/>
  <c r="O1336" i="41"/>
  <c r="O1350" i="41"/>
  <c r="O1406" i="41"/>
  <c r="O1563" i="41"/>
  <c r="O1711" i="41"/>
  <c r="O1727" i="41"/>
  <c r="O1765" i="41"/>
  <c r="O1798" i="41"/>
  <c r="O1836" i="41"/>
  <c r="O1840" i="41"/>
  <c r="O1883" i="41"/>
  <c r="O1251" i="41"/>
  <c r="O1333" i="41"/>
  <c r="O1385" i="41"/>
  <c r="O1403" i="41"/>
  <c r="O1449" i="41"/>
  <c r="O1465" i="41"/>
  <c r="O1493" i="41"/>
  <c r="O1537" i="41"/>
  <c r="O1650" i="41"/>
  <c r="O1681" i="41"/>
  <c r="O1708" i="41"/>
  <c r="O1346" i="41"/>
  <c r="O1383" i="41"/>
  <c r="O1410" i="41"/>
  <c r="O1649" i="41"/>
  <c r="O1697" i="41"/>
  <c r="O1818" i="41"/>
  <c r="O1877" i="41"/>
  <c r="O1303" i="41"/>
  <c r="O1500" i="41"/>
  <c r="O1566" i="41"/>
  <c r="O1600" i="41"/>
  <c r="O1625" i="41"/>
  <c r="O1656" i="41"/>
  <c r="O1659" i="41"/>
  <c r="O1830" i="41"/>
  <c r="O1833" i="41"/>
  <c r="O1597" i="41"/>
  <c r="O1622" i="41"/>
  <c r="O1777" i="41"/>
  <c r="O1807" i="41"/>
  <c r="O1212" i="41"/>
  <c r="H1551" i="41"/>
  <c r="H1492" i="41" s="1"/>
  <c r="H1842" i="41"/>
  <c r="O1543" i="41"/>
  <c r="O1546" i="41"/>
  <c r="O1844" i="41"/>
  <c r="O1720" i="41"/>
  <c r="H400" i="40"/>
  <c r="H401" i="40"/>
  <c r="I399" i="40"/>
  <c r="G672" i="40"/>
  <c r="G673" i="40" s="1"/>
  <c r="H672" i="40"/>
  <c r="H673" i="40" s="1"/>
  <c r="I672" i="40"/>
  <c r="I673" i="40" s="1"/>
  <c r="H883" i="41" l="1"/>
  <c r="H884" i="41" s="1"/>
  <c r="H885" i="41" s="1"/>
  <c r="G883" i="41"/>
  <c r="G884" i="41" s="1"/>
  <c r="G885" i="41" s="1"/>
  <c r="G1889" i="41"/>
  <c r="G1890" i="41" s="1"/>
  <c r="G1891" i="41" s="1"/>
  <c r="H900" i="41"/>
  <c r="H1887" i="41" s="1"/>
  <c r="I400" i="40"/>
  <c r="I401" i="40"/>
  <c r="H1889" i="41" l="1"/>
  <c r="H1890" i="41" s="1"/>
  <c r="H1891" i="41" s="1"/>
  <c r="H56" i="32" l="1"/>
  <c r="H22" i="32"/>
  <c r="H23" i="32"/>
  <c r="H12" i="32"/>
  <c r="H13" i="32"/>
  <c r="H14" i="32"/>
  <c r="H15" i="32"/>
  <c r="H16" i="32"/>
  <c r="H17" i="32"/>
  <c r="H18" i="32"/>
  <c r="H19" i="32"/>
  <c r="H20" i="32"/>
  <c r="H21" i="32"/>
  <c r="H11" i="32"/>
  <c r="H10" i="32" s="1"/>
  <c r="H36" i="32"/>
  <c r="H37" i="32"/>
  <c r="H38" i="32"/>
  <c r="H39" i="32"/>
  <c r="H30" i="32"/>
  <c r="H31" i="32"/>
  <c r="H32" i="32"/>
  <c r="H35" i="32"/>
  <c r="H29" i="32"/>
  <c r="H26" i="32"/>
  <c r="H25" i="32" s="1"/>
  <c r="H44" i="32"/>
  <c r="H45" i="32"/>
  <c r="H46" i="32"/>
  <c r="H47" i="32"/>
  <c r="H49" i="32"/>
  <c r="H50" i="32"/>
  <c r="H51" i="32"/>
  <c r="H53" i="32"/>
  <c r="H54" i="32"/>
  <c r="H55" i="32"/>
  <c r="H57" i="32"/>
  <c r="H59" i="32"/>
  <c r="H60" i="32"/>
  <c r="H61" i="32"/>
  <c r="H62" i="32"/>
  <c r="H63" i="32"/>
  <c r="H65" i="32"/>
  <c r="H66" i="32"/>
  <c r="H70" i="32"/>
  <c r="H71" i="32"/>
  <c r="H72" i="32"/>
  <c r="H41" i="32" s="1"/>
  <c r="H73" i="32"/>
  <c r="H74" i="32"/>
  <c r="H75" i="32"/>
  <c r="H76" i="32"/>
  <c r="H77" i="32"/>
  <c r="H79" i="32"/>
  <c r="H80" i="32"/>
  <c r="H81" i="32"/>
  <c r="H82" i="32"/>
  <c r="H83" i="32"/>
  <c r="H84" i="32"/>
  <c r="H85" i="32"/>
  <c r="H86" i="32"/>
  <c r="H87" i="32"/>
  <c r="H88" i="32"/>
  <c r="H89" i="32"/>
  <c r="H90" i="32"/>
  <c r="H91" i="32"/>
  <c r="H93" i="32"/>
  <c r="H94" i="32"/>
  <c r="H95" i="32"/>
  <c r="H96" i="32"/>
  <c r="H98" i="32"/>
  <c r="H99" i="32"/>
  <c r="H100" i="32"/>
  <c r="H101" i="32"/>
  <c r="H102" i="32"/>
  <c r="H103" i="32"/>
  <c r="H104" i="32"/>
  <c r="H105" i="32"/>
  <c r="H107" i="32"/>
  <c r="H108" i="32"/>
  <c r="H109" i="32"/>
  <c r="H110" i="32"/>
  <c r="H111" i="32"/>
  <c r="H112" i="32"/>
  <c r="H125" i="32"/>
  <c r="H124" i="32"/>
  <c r="H123" i="32"/>
  <c r="H121" i="32"/>
  <c r="H120" i="32"/>
  <c r="H117" i="32"/>
  <c r="H114" i="32" s="1"/>
  <c r="H136" i="17"/>
  <c r="H137" i="17" s="1"/>
  <c r="H138" i="17" s="1"/>
  <c r="H79" i="21"/>
  <c r="H127" i="32" l="1"/>
  <c r="H14" i="8"/>
  <c r="H134" i="16" l="1"/>
  <c r="H135" i="16" l="1"/>
  <c r="H136" i="16" s="1"/>
  <c r="H124" i="8" l="1"/>
  <c r="H125" i="8" l="1"/>
  <c r="H126" i="8" s="1"/>
</calcChain>
</file>

<file path=xl/sharedStrings.xml><?xml version="1.0" encoding="utf-8"?>
<sst xmlns="http://schemas.openxmlformats.org/spreadsheetml/2006/main" count="5116" uniqueCount="1528">
  <si>
    <r>
      <rPr>
        <b/>
        <sz val="18"/>
        <color theme="1"/>
        <rFont val="Franklin Gothic Medium"/>
        <family val="2"/>
      </rPr>
      <t>REHABILITATION DE 6 LOGEMENTS ET RESTRUCTURATION LOURDE POUR CREATION DE 7 LOGEMENTS</t>
    </r>
    <r>
      <rPr>
        <b/>
        <sz val="20"/>
        <color theme="1"/>
        <rFont val="Franklin Gothic Medium"/>
        <family val="2"/>
      </rPr>
      <t xml:space="preserve">
</t>
    </r>
    <r>
      <rPr>
        <b/>
        <sz val="12"/>
        <color theme="1"/>
        <rFont val="Franklin Gothic Medium"/>
        <family val="2"/>
      </rPr>
      <t xml:space="preserve">42 AVENUE JEAN JAURES PARIS 19EME
</t>
    </r>
    <r>
      <rPr>
        <sz val="12"/>
        <color theme="1"/>
        <rFont val="Franklin Gothic Medium"/>
        <family val="2"/>
      </rPr>
      <t xml:space="preserve">
</t>
    </r>
    <r>
      <rPr>
        <b/>
        <sz val="18"/>
        <color theme="1"/>
        <rFont val="Franklin Gothic Medium"/>
        <family val="2"/>
      </rPr>
      <t>DECOMPOSITION DU PRIX GLOBAL ET FORFAITAIRE</t>
    </r>
  </si>
  <si>
    <t>N°</t>
  </si>
  <si>
    <t>LOTS</t>
  </si>
  <si>
    <t xml:space="preserve">MONTANTS </t>
  </si>
  <si>
    <t>00</t>
  </si>
  <si>
    <t>DEPOLLUTION – DESAMIANTAGE - DEPLOMBAGE</t>
  </si>
  <si>
    <t>01</t>
  </si>
  <si>
    <t>CURAGE</t>
  </si>
  <si>
    <t>02</t>
  </si>
  <si>
    <t>INSTALLATIONS DE CHANTIER – FONDATIONS - GROS ŒUVRE – CHARPENTE BOIS</t>
  </si>
  <si>
    <t>03</t>
  </si>
  <si>
    <t>COUVERTURE</t>
  </si>
  <si>
    <t>04</t>
  </si>
  <si>
    <t>TRAITEMENT DES FAÇADES</t>
  </si>
  <si>
    <t>05</t>
  </si>
  <si>
    <t>MENUISERIES EXTERIEURES - OCCULTATIONS</t>
  </si>
  <si>
    <t>06</t>
  </si>
  <si>
    <t>METALLERIE</t>
  </si>
  <si>
    <t>07</t>
  </si>
  <si>
    <t>MENUISERIES INTERIEURES</t>
  </si>
  <si>
    <t>08</t>
  </si>
  <si>
    <t>CLOISONS - DOUBLAGE - FAUX PLAFONDS</t>
  </si>
  <si>
    <t>09</t>
  </si>
  <si>
    <t>REVETEMENTS DE SOL - FAÏENCES</t>
  </si>
  <si>
    <t>10</t>
  </si>
  <si>
    <t>PEINTURE</t>
  </si>
  <si>
    <t>11</t>
  </si>
  <si>
    <t>ASCENSEUR</t>
  </si>
  <si>
    <t>12</t>
  </si>
  <si>
    <t>PLOMBERIE - CHAUFFAGE - VENTILATION</t>
  </si>
  <si>
    <t>13</t>
  </si>
  <si>
    <t>ELECTRICITE</t>
  </si>
  <si>
    <t>AMENAGEMENTS EXTERIEURS</t>
  </si>
  <si>
    <t xml:space="preserve">MONTANT TOTAL HT DES TRAVAUX DU PROJET </t>
  </si>
  <si>
    <t xml:space="preserve">MONTANT TOTAL TTC DES TRAVAUX DU PROJET </t>
  </si>
  <si>
    <t>Variante tomettes</t>
  </si>
  <si>
    <r>
      <rPr>
        <b/>
        <sz val="14"/>
        <color theme="1"/>
        <rFont val="Franklin Gothic Medium"/>
        <family val="2"/>
      </rPr>
      <t>REHABILITATION DE 6 LOGEMENTS ET RESTRUCTURATION LOURDE POUR CREATION DE 7 LOGEMENTS</t>
    </r>
    <r>
      <rPr>
        <b/>
        <sz val="20"/>
        <color theme="1"/>
        <rFont val="Franklin Gothic Medium"/>
        <family val="2"/>
      </rPr>
      <t xml:space="preserve">
</t>
    </r>
    <r>
      <rPr>
        <b/>
        <sz val="12"/>
        <color theme="1"/>
        <rFont val="Franklin Gothic Medium"/>
        <family val="2"/>
      </rPr>
      <t xml:space="preserve">42 AVENUE JEAN JAURES PARIS 19EME
</t>
    </r>
    <r>
      <rPr>
        <sz val="12"/>
        <color theme="1"/>
        <rFont val="Franklin Gothic Medium"/>
        <family val="2"/>
      </rPr>
      <t xml:space="preserve">
</t>
    </r>
    <r>
      <rPr>
        <b/>
        <sz val="18"/>
        <color theme="1"/>
        <rFont val="Franklin Gothic Medium"/>
        <family val="2"/>
      </rPr>
      <t>DECOMPOSITION DU PRIX GLOBAL ET FORFAITAIRE</t>
    </r>
  </si>
  <si>
    <t>LOT 00 DEPOLLUTION – DESAMIANTAGE - DEPLOMBAGE</t>
  </si>
  <si>
    <t>POSTES CCTP - OUVRAGES</t>
  </si>
  <si>
    <t>UNITES</t>
  </si>
  <si>
    <t>QUANTITES</t>
  </si>
  <si>
    <t>PRIX UNITAIRES</t>
  </si>
  <si>
    <t>MONTANTS</t>
  </si>
  <si>
    <t>Tous les postes de la DPGF doivent être renseignés : Montant du poste OU "Pour Mémoire" OU "Inclus" OU "Sans Objet"</t>
  </si>
  <si>
    <t>Traitment de l'amiante</t>
  </si>
  <si>
    <t>Etablissement et gestion du plan de retrait, avenant(s) au plan de retrait, CAP, BSDA, DOE</t>
  </si>
  <si>
    <t>Ens</t>
  </si>
  <si>
    <t>Installation de chantier comprenant amenée et repli des matériels</t>
  </si>
  <si>
    <t>U</t>
  </si>
  <si>
    <t>Mise en œuvre d'une zone confinée de niveau 2 (confinement, sas, extracteurs, UCF, etc..)</t>
  </si>
  <si>
    <t>Retrait des conduits et mitrons en toiture</t>
  </si>
  <si>
    <t>Retrait des revêtements de sol</t>
  </si>
  <si>
    <t>m²</t>
  </si>
  <si>
    <t>Retrait de colle de faïence</t>
  </si>
  <si>
    <t>Analyses de contrôles et libératoires, y compris stratégie d'échantillonnage</t>
  </si>
  <si>
    <t>Conditionnement, transport et mise en centre d'enfouissement des déchets</t>
  </si>
  <si>
    <t>T</t>
  </si>
  <si>
    <t>Traitment du plomb dans les peintures</t>
  </si>
  <si>
    <t>Mise en œuvre des protections (confinement, sas, extracteurs, UCF, etc..)</t>
  </si>
  <si>
    <t>Mise en sécurité des supports contenant du plomb dégradé</t>
  </si>
  <si>
    <t>Analyses surfaciques (test lingettes)</t>
  </si>
  <si>
    <t>Conditionnement, transport et évacuation des déchets</t>
  </si>
  <si>
    <t xml:space="preserve">TOTAL H.T </t>
  </si>
  <si>
    <t>TVA 20 %</t>
  </si>
  <si>
    <t xml:space="preserve">TOTAL T.T.C </t>
  </si>
  <si>
    <t>LOT 01 CURAGE</t>
  </si>
  <si>
    <t>3.1</t>
  </si>
  <si>
    <t>Installation de chantier</t>
  </si>
  <si>
    <t>3.2</t>
  </si>
  <si>
    <t>Constat d’huissier / Référé préventif (A la charge du MOA)</t>
  </si>
  <si>
    <t>PM</t>
  </si>
  <si>
    <t>3.3</t>
  </si>
  <si>
    <t>Quitus des réseaux existants</t>
  </si>
  <si>
    <t>3.4</t>
  </si>
  <si>
    <t>Travaux préparatoires aux travaux de curage</t>
  </si>
  <si>
    <t>(A développer par l'entreprise)</t>
  </si>
  <si>
    <t>3.5</t>
  </si>
  <si>
    <t>Protection des ouvrages conservés</t>
  </si>
  <si>
    <t>3.6</t>
  </si>
  <si>
    <t>Désamiantage</t>
  </si>
  <si>
    <t>LOT 00</t>
  </si>
  <si>
    <t>3.7</t>
  </si>
  <si>
    <t>Traitement du plomb</t>
  </si>
  <si>
    <t>3.8</t>
  </si>
  <si>
    <t>Curage et réemploi</t>
  </si>
  <si>
    <t>3.8.1</t>
  </si>
  <si>
    <t>Stockage soigné d’ouvrages déposés par d’autres lots, pour réemploi in situ</t>
  </si>
  <si>
    <t>3.8.2</t>
  </si>
  <si>
    <t>Dépose soignée d’ouvrages pour réemploi in situ</t>
  </si>
  <si>
    <t>6.7.2 / Note réemploi</t>
  </si>
  <si>
    <t>Curage soigné : Pavé</t>
  </si>
  <si>
    <t>6.7.4 / Note réemploi</t>
  </si>
  <si>
    <t>Curage soigné : Luminaire intérieur</t>
  </si>
  <si>
    <t>u</t>
  </si>
  <si>
    <t>6.7.12 / Note réemploi</t>
  </si>
  <si>
    <t>Curage soigné : Ferme-porte (accessoire de porte intérieure)</t>
  </si>
  <si>
    <t>6.7.13 / Note réemploi</t>
  </si>
  <si>
    <t>Curage soigné : Tomette</t>
  </si>
  <si>
    <t>3.8.3</t>
  </si>
  <si>
    <t>Stockage soigné d’ouvrages déposés par d’autres lots, pour réemploi ex situ ou valorisation</t>
  </si>
  <si>
    <t>3.8.4</t>
  </si>
  <si>
    <t>Dépose soignée d’ouvrages pour réemploi ex situ ou valorisation</t>
  </si>
  <si>
    <t>3.8.5</t>
  </si>
  <si>
    <t>Dépose et évacuation d’ouvrages non concernés par le réemploi</t>
  </si>
  <si>
    <t>3.8.5.1</t>
  </si>
  <si>
    <t>Dépose d'ouvrages extérieurs</t>
  </si>
  <si>
    <t>SO</t>
  </si>
  <si>
    <t>3.8.5.2</t>
  </si>
  <si>
    <t>Débarras des locaux</t>
  </si>
  <si>
    <t>3.8.5.3</t>
  </si>
  <si>
    <t>Appareillage, filerie et terminaux électriques</t>
  </si>
  <si>
    <t>3.8.5.4</t>
  </si>
  <si>
    <t>Appareillage, filerie, canalisations, gaines et terminaux des ouvrages de Plomberie sanitaires et ventilation</t>
  </si>
  <si>
    <t>3.8.5.5</t>
  </si>
  <si>
    <t>Dépose des mobiliers fixes</t>
  </si>
  <si>
    <t>3.8.5.6</t>
  </si>
  <si>
    <t>Dépose des carrelages et autres carreaux de ciment - tomettes</t>
  </si>
  <si>
    <t>3.8.5.7</t>
  </si>
  <si>
    <t>Dépose des Parquets</t>
  </si>
  <si>
    <t>3.8.5.8</t>
  </si>
  <si>
    <t>Sols souples</t>
  </si>
  <si>
    <t>3.8.5.9</t>
  </si>
  <si>
    <t>Dépose des plinthes</t>
  </si>
  <si>
    <t>ml</t>
  </si>
  <si>
    <t>3.8.5.10</t>
  </si>
  <si>
    <t>Dépose de chapes</t>
  </si>
  <si>
    <t>3.8.5.11</t>
  </si>
  <si>
    <t>Dépose de Faux-plafond</t>
  </si>
  <si>
    <t>3.8.5.12</t>
  </si>
  <si>
    <t>Dépose de menuiseries intérieures</t>
  </si>
  <si>
    <t>3.8.5.13</t>
  </si>
  <si>
    <t>Dépose de cloisonnements</t>
  </si>
  <si>
    <t>3.8.5.14</t>
  </si>
  <si>
    <t>Dépose des revêtements muraux et doublage</t>
  </si>
  <si>
    <t>3.8.5.15</t>
  </si>
  <si>
    <t>Dépose d’ouvrage de métallerie</t>
  </si>
  <si>
    <t>3.9</t>
  </si>
  <si>
    <t>Matériaux à sourcer</t>
  </si>
  <si>
    <t>HL</t>
  </si>
  <si>
    <t>LOT 02 INSTALLATIONS DE CHANTIER – FONDATIONS - GROS ŒUVRE – CHARPENTE BOIS</t>
  </si>
  <si>
    <t>2.1</t>
  </si>
  <si>
    <t>Travaux d'intérêts généraux - Aménagement de site</t>
  </si>
  <si>
    <t>2.1.1</t>
  </si>
  <si>
    <t>Installation de la base-vie</t>
  </si>
  <si>
    <t>ENS</t>
  </si>
  <si>
    <t>2.1.2</t>
  </si>
  <si>
    <t>Branchements de chantier et consommation</t>
  </si>
  <si>
    <t>2.1.3</t>
  </si>
  <si>
    <t>Manutention et levage</t>
  </si>
  <si>
    <t>2.1.4</t>
  </si>
  <si>
    <t>Etaiement et stabilité provisoire</t>
  </si>
  <si>
    <t>2.1.5</t>
  </si>
  <si>
    <t>Protection provisoire</t>
  </si>
  <si>
    <t>2.1.6</t>
  </si>
  <si>
    <t>Entretien du chantier et de ses abords</t>
  </si>
  <si>
    <t>2.1.7</t>
  </si>
  <si>
    <t>Nuisances, dééchets et sécurité</t>
  </si>
  <si>
    <t>2.1.8</t>
  </si>
  <si>
    <t>Tri, valorisation et évacuation des déchets</t>
  </si>
  <si>
    <t>2.1.9</t>
  </si>
  <si>
    <t>Organisation et sécurité du chantier</t>
  </si>
  <si>
    <t>2.1.10</t>
  </si>
  <si>
    <t>Protections des voies puubliques</t>
  </si>
  <si>
    <t>2.1.11</t>
  </si>
  <si>
    <t>Etudes et encadrement entreprise générale</t>
  </si>
  <si>
    <t>2.1.12</t>
  </si>
  <si>
    <t>Etudes complémentaires</t>
  </si>
  <si>
    <t>2.1.13</t>
  </si>
  <si>
    <t>Mesures de sécurité - PAQ, PPSPS, PQE</t>
  </si>
  <si>
    <t>2.2</t>
  </si>
  <si>
    <t>Travaux préalables</t>
  </si>
  <si>
    <t>2.2.1</t>
  </si>
  <si>
    <t>Nivellement et implantations</t>
  </si>
  <si>
    <t>2.2.2</t>
  </si>
  <si>
    <t>Démolition structures rapportées dans la cour intérieur</t>
  </si>
  <si>
    <t>2.2.2.1</t>
  </si>
  <si>
    <t>Démolition des superstructures rapportées dans la cour</t>
  </si>
  <si>
    <t>2.2.2.2</t>
  </si>
  <si>
    <t>Purge des fondations existantes</t>
  </si>
  <si>
    <t>M3</t>
  </si>
  <si>
    <t>2.2.2.3</t>
  </si>
  <si>
    <t>Nettoyage, purge des résidus et remise à niveau</t>
  </si>
  <si>
    <t>M2</t>
  </si>
  <si>
    <t>2.2.2.4</t>
  </si>
  <si>
    <t>Remblaiement au droit des fonds de fouilles de fondations existantes</t>
  </si>
  <si>
    <t>2.2.3</t>
  </si>
  <si>
    <t>Réseaux enterrés</t>
  </si>
  <si>
    <t>2.2.3.1</t>
  </si>
  <si>
    <t>Tranchées pour passage des réseaux enterrés</t>
  </si>
  <si>
    <t>2.2.3.2</t>
  </si>
  <si>
    <t>Regards enterrés</t>
  </si>
  <si>
    <t>2.2.3.3</t>
  </si>
  <si>
    <t>Réseaux EU/EV</t>
  </si>
  <si>
    <t>ML</t>
  </si>
  <si>
    <t>2.2.3.4</t>
  </si>
  <si>
    <t>Réseaux EP</t>
  </si>
  <si>
    <t>2.2.3.5</t>
  </si>
  <si>
    <t>Réseaux EF/ECS/chauffage</t>
  </si>
  <si>
    <t>2.3</t>
  </si>
  <si>
    <t>Bâtiment A</t>
  </si>
  <si>
    <t>2.3.1</t>
  </si>
  <si>
    <t>Fondations et infrastructures</t>
  </si>
  <si>
    <t>2.3.1.1</t>
  </si>
  <si>
    <t>Travaux de démolition</t>
  </si>
  <si>
    <t>2.3.1.1.1</t>
  </si>
  <si>
    <t>Démolition de voiles maçonnés</t>
  </si>
  <si>
    <t>2.3.1.1.2</t>
  </si>
  <si>
    <t>Démolition des dallages exitant des caves</t>
  </si>
  <si>
    <t>2.3.1.2</t>
  </si>
  <si>
    <t>Terrassements complémentaires</t>
  </si>
  <si>
    <t>2.3.1.3</t>
  </si>
  <si>
    <t>Evacuation des terres excédentaires</t>
  </si>
  <si>
    <t>2.3.1.4</t>
  </si>
  <si>
    <t>2.3.1.4.1</t>
  </si>
  <si>
    <t>Siphons</t>
  </si>
  <si>
    <t>2.3.1.4.2</t>
  </si>
  <si>
    <t>2.3.1.4.3</t>
  </si>
  <si>
    <t>Fosse de relevage</t>
  </si>
  <si>
    <t>2.3.1.5</t>
  </si>
  <si>
    <t>Travaux de construction</t>
  </si>
  <si>
    <t>2.3.1.5.1</t>
  </si>
  <si>
    <t>Cuvette ascenseur</t>
  </si>
  <si>
    <t>2.3.1.5.2</t>
  </si>
  <si>
    <t>Fondations superficielles</t>
  </si>
  <si>
    <t>2.3.1.5.3</t>
  </si>
  <si>
    <t>Remblaiements contre ouvrages enterrés</t>
  </si>
  <si>
    <t>2.3.1.5.4</t>
  </si>
  <si>
    <t>Remblaiement sous dallage</t>
  </si>
  <si>
    <t>2.3.1.5.5</t>
  </si>
  <si>
    <t>Reconstitution dallage béton armé</t>
  </si>
  <si>
    <t>2.3.1.6</t>
  </si>
  <si>
    <t>Ouvrages en infrastructure</t>
  </si>
  <si>
    <t>2.3.1.6.1</t>
  </si>
  <si>
    <t>Démolition de plancher haut des caves</t>
  </si>
  <si>
    <t>2.3.1.6.2</t>
  </si>
  <si>
    <t>Maçonnerie de blocs à bancher porteuses</t>
  </si>
  <si>
    <t>2.3.1.6.3</t>
  </si>
  <si>
    <t>Dalle BA</t>
  </si>
  <si>
    <t>2.3.1.6.4</t>
  </si>
  <si>
    <t>Création poutre/linteau et poteaux BA</t>
  </si>
  <si>
    <t>2.3.1.6.5</t>
  </si>
  <si>
    <t>Maçonnerie en parpaing pour remplissage</t>
  </si>
  <si>
    <t>2.3.1.7</t>
  </si>
  <si>
    <t>Ouvrages divers</t>
  </si>
  <si>
    <t>2.3.1.7.1</t>
  </si>
  <si>
    <t>Reprises diverses sur les ouvrages existants</t>
  </si>
  <si>
    <t>2.3.1.7.2</t>
  </si>
  <si>
    <t>Socles pour équipements techniques</t>
  </si>
  <si>
    <t>2.3.2</t>
  </si>
  <si>
    <t>Superstructure bâtiment A</t>
  </si>
  <si>
    <t>2.3.2.1</t>
  </si>
  <si>
    <t>Intervention au rez-de-chaussée</t>
  </si>
  <si>
    <t>2.3.2.1.1</t>
  </si>
  <si>
    <t>Création d'ouverture dans mur maçonnés</t>
  </si>
  <si>
    <t>2.3.2.1.2</t>
  </si>
  <si>
    <t>2.3.2.1.3</t>
  </si>
  <si>
    <t>Purge chape existante</t>
  </si>
  <si>
    <t>2.3.2.1.4</t>
  </si>
  <si>
    <t>Bouchement de baies existantes</t>
  </si>
  <si>
    <t>2.3.2.1.5</t>
  </si>
  <si>
    <t>Recharge en chape allégée</t>
  </si>
  <si>
    <t>2.3.2.1.7</t>
  </si>
  <si>
    <t>Poteaux métallique en façade et en commerce</t>
  </si>
  <si>
    <t>KG</t>
  </si>
  <si>
    <t>2.3.2.1.8</t>
  </si>
  <si>
    <t>Poutres métalliques de renfort</t>
  </si>
  <si>
    <t>2.3.2.1.9</t>
  </si>
  <si>
    <t>Réalisation des jambages de baies sur rue</t>
  </si>
  <si>
    <t>2.3.2.2</t>
  </si>
  <si>
    <t>Intervention dans les niveaux supérieurs</t>
  </si>
  <si>
    <t>2.3.2.2.1</t>
  </si>
  <si>
    <t>Démolition pans de bois intérieur</t>
  </si>
  <si>
    <t>2.3.2.2.2</t>
  </si>
  <si>
    <t>Poteaux intérieurs en bois</t>
  </si>
  <si>
    <t>2.3.2.2.3</t>
  </si>
  <si>
    <t>Poutres intérieurs en bois</t>
  </si>
  <si>
    <t>2.3.2.2.4</t>
  </si>
  <si>
    <t>Démolition plancher bois</t>
  </si>
  <si>
    <t>2.3.2.2.5</t>
  </si>
  <si>
    <t>Solivage bois</t>
  </si>
  <si>
    <t>2.3.2.2.6</t>
  </si>
  <si>
    <t>Plancher courant trame centrale</t>
  </si>
  <si>
    <t>2.3.2.2.7</t>
  </si>
  <si>
    <t>Reprise manuelles des assemblages de planchers</t>
  </si>
  <si>
    <t>2.3.2.2.8</t>
  </si>
  <si>
    <t>Plancher connecté courant sur solivage existant et neuf</t>
  </si>
  <si>
    <t>2.3.2.2.9</t>
  </si>
  <si>
    <t>Démolition pans de bois en façade</t>
  </si>
  <si>
    <t>2.3.2.2.10</t>
  </si>
  <si>
    <t>Réalisation d'assise BA</t>
  </si>
  <si>
    <t>2.3.2.2.11</t>
  </si>
  <si>
    <t>Façade à ossature bois</t>
  </si>
  <si>
    <t>2.3.2.2.12</t>
  </si>
  <si>
    <t>Poteaux bois de façade</t>
  </si>
  <si>
    <t>2.3.2.2.13</t>
  </si>
  <si>
    <t>Poutres bois de façade</t>
  </si>
  <si>
    <t>2.3.2.2.14</t>
  </si>
  <si>
    <t>Provision pour remplacement de solives dégradées ou à dimensions réduites</t>
  </si>
  <si>
    <t>Solives primaires de plancher</t>
  </si>
  <si>
    <t>Solives plancher sous salle d'eau</t>
  </si>
  <si>
    <t>2.3.2.2.15</t>
  </si>
  <si>
    <t>Reprise de pans de bois existants conservés</t>
  </si>
  <si>
    <t>2.3.2.2.16</t>
  </si>
  <si>
    <t>Reprise linteaux bois de façade</t>
  </si>
  <si>
    <t>2.3.2.3</t>
  </si>
  <si>
    <t>Intervention en toiture</t>
  </si>
  <si>
    <t>2.3.2.3.1</t>
  </si>
  <si>
    <t>Edicule d'ascenseur</t>
  </si>
  <si>
    <t>2.3.2.3.2</t>
  </si>
  <si>
    <t>Dépose plancher et courverture</t>
  </si>
  <si>
    <t>2.3.2.3.3</t>
  </si>
  <si>
    <t>2.3.2.3.4</t>
  </si>
  <si>
    <t>Poutres support de toiture technique</t>
  </si>
  <si>
    <t>2.3.2.3.5</t>
  </si>
  <si>
    <t>Plancher béton sur bac collaborant</t>
  </si>
  <si>
    <t>2.3.2.3.6</t>
  </si>
  <si>
    <t>Pannes bois</t>
  </si>
  <si>
    <t>2.3.2.3.7</t>
  </si>
  <si>
    <t>Chevrons</t>
  </si>
  <si>
    <t>2.3.2.3.8</t>
  </si>
  <si>
    <t>Reprise chevêtre pour trémie de désenfumage en toiture</t>
  </si>
  <si>
    <t>2.3.2.4</t>
  </si>
  <si>
    <t>Ouvrages divers bâtiment A</t>
  </si>
  <si>
    <t>2.3.2.4.1</t>
  </si>
  <si>
    <t>Bouchement trémies</t>
  </si>
  <si>
    <t>2.3.2.4.2</t>
  </si>
  <si>
    <t>Ouvertures trémies</t>
  </si>
  <si>
    <t>2.3.2.4.3</t>
  </si>
  <si>
    <t>Seuils BA</t>
  </si>
  <si>
    <t>2.3.2.4.4</t>
  </si>
  <si>
    <t>2.3.2.4.5</t>
  </si>
  <si>
    <t>Maçonneries en parpaing de remplissage</t>
  </si>
  <si>
    <t>2.3.2.4.6</t>
  </si>
  <si>
    <t>Sommiers/Empochement BA</t>
  </si>
  <si>
    <t>2.4</t>
  </si>
  <si>
    <t>Bâtiment B</t>
  </si>
  <si>
    <t>2.4.1</t>
  </si>
  <si>
    <t>2.4.1.1</t>
  </si>
  <si>
    <t>2.4.1.1.1</t>
  </si>
  <si>
    <t>Révision générale des anciens planchers</t>
  </si>
  <si>
    <t>2.4.2</t>
  </si>
  <si>
    <t>Superstructure bâtiment B</t>
  </si>
  <si>
    <t>2.4.2.1</t>
  </si>
  <si>
    <t>Provision pour de la charpente existante</t>
  </si>
  <si>
    <t>2.4.2.2</t>
  </si>
  <si>
    <t>Création chevêtre pour trémie de désenfumage en toiture</t>
  </si>
  <si>
    <t>2.4.2.3</t>
  </si>
  <si>
    <t>Ouvrages divers bâtiment B</t>
  </si>
  <si>
    <t>2.4.2.3.1</t>
  </si>
  <si>
    <t>2.4.2.3.2</t>
  </si>
  <si>
    <t>2.4.2.3.3</t>
  </si>
  <si>
    <t>LOT 03 COUVERTURE</t>
  </si>
  <si>
    <t>Etudes techniques</t>
  </si>
  <si>
    <t>Prescriptions en lien avec les certifications et labels</t>
  </si>
  <si>
    <t>Constat d’état avant travaux</t>
  </si>
  <si>
    <t>Echafaudage et protection</t>
  </si>
  <si>
    <t>Révision de la couverture existante en zinc du bâtiment A</t>
  </si>
  <si>
    <t>3.6.1</t>
  </si>
  <si>
    <t>Protection étanche</t>
  </si>
  <si>
    <t>3.6.2</t>
  </si>
  <si>
    <t>Dépose d’ouvrages non conservés</t>
  </si>
  <si>
    <t>3.6.3</t>
  </si>
  <si>
    <t>Travaux sur charpente bois conservée</t>
  </si>
  <si>
    <t>LOT 02</t>
  </si>
  <si>
    <t>3.6.4</t>
  </si>
  <si>
    <t>Révision de la couverture existante en zinc</t>
  </si>
  <si>
    <t>3.6.5</t>
  </si>
  <si>
    <t>Ouvrages d’évacuation des eaux pluviales</t>
  </si>
  <si>
    <t>3.6.5.1</t>
  </si>
  <si>
    <t>Modification des ouvrages linéaires d’évacuation des eaux pluviales</t>
  </si>
  <si>
    <t>Dépose</t>
  </si>
  <si>
    <t>Chéneaux</t>
  </si>
  <si>
    <t>Gouttière</t>
  </si>
  <si>
    <t>3.6.5.2</t>
  </si>
  <si>
    <t>Descentes extérieures des EP</t>
  </si>
  <si>
    <t>DEP</t>
  </si>
  <si>
    <t>Dauphins fonte</t>
  </si>
  <si>
    <t>3.6.6</t>
  </si>
  <si>
    <t>Sorties de toitures à créer</t>
  </si>
  <si>
    <t>3.6.7</t>
  </si>
  <si>
    <t>Ouvrages de zinguerie : Couvertines et entablement</t>
  </si>
  <si>
    <t>3.6.8</t>
  </si>
  <si>
    <t>Sécurité en toiture</t>
  </si>
  <si>
    <t>3.6.8.1</t>
  </si>
  <si>
    <t>Anneaux d’ancrage</t>
  </si>
  <si>
    <t>3.6.8.2</t>
  </si>
  <si>
    <t>Garde-corps au droit de la terrasse technique</t>
  </si>
  <si>
    <t>3.6.8.3</t>
  </si>
  <si>
    <t>Ligne de vie</t>
  </si>
  <si>
    <t>3.6.9</t>
  </si>
  <si>
    <t>Châssis de toit de désenfumage</t>
  </si>
  <si>
    <t>3.6.10</t>
  </si>
  <si>
    <t>Rehausse des souches</t>
  </si>
  <si>
    <t>3.6.11</t>
  </si>
  <si>
    <t>Protection étanche des souches de cheminées</t>
  </si>
  <si>
    <t>Couvertures neuves en zinc sur bâtiment B</t>
  </si>
  <si>
    <t>3.7.1</t>
  </si>
  <si>
    <t>Dépose de la couverture existante</t>
  </si>
  <si>
    <t>3.7.2</t>
  </si>
  <si>
    <t>Charpente bois pour couverture créée</t>
  </si>
  <si>
    <t>3.7.3</t>
  </si>
  <si>
    <t>3.7.4</t>
  </si>
  <si>
    <t>Voligeage pour couverture</t>
  </si>
  <si>
    <t>3.7.5</t>
  </si>
  <si>
    <t>Ecran sous toiture – Pare pluie</t>
  </si>
  <si>
    <t>3.7.6</t>
  </si>
  <si>
    <t>Couverture en feuilles de zinc</t>
  </si>
  <si>
    <t>3.7.7</t>
  </si>
  <si>
    <t>Traitement des singularités du toit</t>
  </si>
  <si>
    <t>3.7.8</t>
  </si>
  <si>
    <t>Ventilation de la couverture</t>
  </si>
  <si>
    <t>3.7.8.1</t>
  </si>
  <si>
    <t>Aération linéaire</t>
  </si>
  <si>
    <t>3.7.8.2</t>
  </si>
  <si>
    <t>Chatières (norme NF P 37-410)</t>
  </si>
  <si>
    <t>3.7.9</t>
  </si>
  <si>
    <t>Sorties de toitures</t>
  </si>
  <si>
    <t>3.7.10</t>
  </si>
  <si>
    <t>3.7.11</t>
  </si>
  <si>
    <t>3.7.11.1</t>
  </si>
  <si>
    <t>Chéneaux zinc encaissés côté courette</t>
  </si>
  <si>
    <t>3.7.11.2</t>
  </si>
  <si>
    <t>Gouttières zinc sur entablement côté cour</t>
  </si>
  <si>
    <t>3.7.11.3</t>
  </si>
  <si>
    <t>3.7.12</t>
  </si>
  <si>
    <t>3.7.12.1</t>
  </si>
  <si>
    <t>3.7.12.2</t>
  </si>
  <si>
    <t>3.7.13</t>
  </si>
  <si>
    <t>3.7.14</t>
  </si>
  <si>
    <t>Châssis de toit d’accès</t>
  </si>
  <si>
    <t>3.7.15</t>
  </si>
  <si>
    <t>3.7.16</t>
  </si>
  <si>
    <t>Etanchéité sur terrasses techniques</t>
  </si>
  <si>
    <t>Etanchéité pour toiture terrasse technique avec protection gravillon</t>
  </si>
  <si>
    <t>Edicules : Protection autoprotégée</t>
  </si>
  <si>
    <t>Châssis de toit d'accès</t>
  </si>
  <si>
    <t>LOT 04 TRAITEMENT DES FACADES</t>
  </si>
  <si>
    <t>Echafaudage</t>
  </si>
  <si>
    <t>Travaux préparatoires de rénovation</t>
  </si>
  <si>
    <t>Travaux sur façade rue du bâtiment A : Du RdC au R+4</t>
  </si>
  <si>
    <t>Enduit à la chaux</t>
  </si>
  <si>
    <t>Surface courante</t>
  </si>
  <si>
    <t>Ebrasements</t>
  </si>
  <si>
    <t>Soubassements</t>
  </si>
  <si>
    <t>Appuis de fenêtres</t>
  </si>
  <si>
    <t>Bandeaux</t>
  </si>
  <si>
    <t>Encadrement des menuiseries</t>
  </si>
  <si>
    <t>Travaux sur façade cour des bâtiments A et B, y compris courette bâtiment B : Du RdC au R+2</t>
  </si>
  <si>
    <t>Soubassement minéral à RdC</t>
  </si>
  <si>
    <t>6.7.16 / Note réemploi</t>
  </si>
  <si>
    <t>Réemploi in-situ : Soubassement façade</t>
  </si>
  <si>
    <t>Enduits sur ITE du RdC au R+2 : Support maçonnés existants</t>
  </si>
  <si>
    <t>Appuis de baies</t>
  </si>
  <si>
    <t>Travaux sur façade du bâtiment A : ITE sur FOB</t>
  </si>
  <si>
    <t>Travaux sur souches - cheminées en toitures</t>
  </si>
  <si>
    <t>3.9.1</t>
  </si>
  <si>
    <t>Nature des matériaux des cheminées</t>
  </si>
  <si>
    <t>3.9.2</t>
  </si>
  <si>
    <t>Ravalement des souches et cheminées en briques non enduites</t>
  </si>
  <si>
    <t>3.9.3</t>
  </si>
  <si>
    <t>Ravalement des souches et cheminées enduites</t>
  </si>
  <si>
    <t>3.9.3.1</t>
  </si>
  <si>
    <t>Préparations des supports</t>
  </si>
  <si>
    <t>3.9.3.2</t>
  </si>
  <si>
    <t>3.10</t>
  </si>
  <si>
    <t>Travaux sur pignons et mitoyens</t>
  </si>
  <si>
    <t>3.10.1</t>
  </si>
  <si>
    <t>3.10.2</t>
  </si>
  <si>
    <t>Ravalement sur façades non enduites</t>
  </si>
  <si>
    <t>3.10.3</t>
  </si>
  <si>
    <t>Ravalement sur façades enduites</t>
  </si>
  <si>
    <t>3.11</t>
  </si>
  <si>
    <t>Peinture sur ouvrages bois extérieurs</t>
  </si>
  <si>
    <t>3.12</t>
  </si>
  <si>
    <t>Peinture sur ouvrages métalliques extérieurs</t>
  </si>
  <si>
    <t>3.13</t>
  </si>
  <si>
    <t>Peinture sur ouvrages maçonnés extérieurs</t>
  </si>
  <si>
    <t>3.14</t>
  </si>
  <si>
    <t>Couvertines</t>
  </si>
  <si>
    <t>3.15</t>
  </si>
  <si>
    <t>LOT 03</t>
  </si>
  <si>
    <t>LOT 05 MENUISERIES EXTERIEURES - OCCULTATIONS</t>
  </si>
  <si>
    <t>Généralités</t>
  </si>
  <si>
    <t>Dépose des blocs portes extérieurs et menuiseries extérieures</t>
  </si>
  <si>
    <t>Menuiseries extérieures neuves en acier des commerces à RdC : MEN-A-2</t>
  </si>
  <si>
    <t>Parties fixes vitrées</t>
  </si>
  <si>
    <t>Parties vitrées</t>
  </si>
  <si>
    <t>Allèges pleines</t>
  </si>
  <si>
    <t>Grille de ventgilation</t>
  </si>
  <si>
    <t>Habillage bandeaux et pilastres</t>
  </si>
  <si>
    <t>Blocs portes</t>
  </si>
  <si>
    <t>Menuiseries extérieures neuves en aluminium des parties communes à rdc côté cour</t>
  </si>
  <si>
    <t>Parties fixes : MEN-A-12</t>
  </si>
  <si>
    <t>Bloc porte d’accès au local vélos : MEN-A-10</t>
  </si>
  <si>
    <t>Bloc porte d’accès au hall : MEN-A-11</t>
  </si>
  <si>
    <t>Menuiseries extérieures neuves en bois des logements</t>
  </si>
  <si>
    <t>MEN-A-03</t>
  </si>
  <si>
    <t>MEN-A-04</t>
  </si>
  <si>
    <t>MEN-A-05</t>
  </si>
  <si>
    <t>MEN-A-06</t>
  </si>
  <si>
    <t>MEN-A-07</t>
  </si>
  <si>
    <t>MEN-A-08</t>
  </si>
  <si>
    <t>MEN-A-09</t>
  </si>
  <si>
    <t>MEN-A-13</t>
  </si>
  <si>
    <t>MEN-A-14</t>
  </si>
  <si>
    <t>MEN-A-15</t>
  </si>
  <si>
    <t>MEN-A-16</t>
  </si>
  <si>
    <t>MEN-A-17</t>
  </si>
  <si>
    <t>MEN-A-18</t>
  </si>
  <si>
    <t>MEN-A-19</t>
  </si>
  <si>
    <t>MEN-A-20</t>
  </si>
  <si>
    <t>MEN-B-02</t>
  </si>
  <si>
    <t>MEN-B-03</t>
  </si>
  <si>
    <t>MEN-B-04</t>
  </si>
  <si>
    <t>MEN-B-07</t>
  </si>
  <si>
    <t>MEN-B-08</t>
  </si>
  <si>
    <t>Blocs portes intérieurs du hall en bois</t>
  </si>
  <si>
    <t>MeIn-10</t>
  </si>
  <si>
    <t>MeIn-11</t>
  </si>
  <si>
    <t>Bouche d'entrée d'air</t>
  </si>
  <si>
    <t>Bavette d’habillage en zinc</t>
  </si>
  <si>
    <t>Habillage ébrasements extérieurs</t>
  </si>
  <si>
    <t>LOT 04</t>
  </si>
  <si>
    <t>Révision des blocs porte d’entrée des bâtiments A et B</t>
  </si>
  <si>
    <t>MEN-A-01</t>
  </si>
  <si>
    <t>MEN-B-01</t>
  </si>
  <si>
    <t>Occultation des menuiseries des logements</t>
  </si>
  <si>
    <t>3.14.1</t>
  </si>
  <si>
    <t>Volets pliants en bois</t>
  </si>
  <si>
    <t>3.14.2</t>
  </si>
  <si>
    <t>Stores toiles extérieurs sur menuiseries côté cour</t>
  </si>
  <si>
    <t>Nettoyage des façades vitrées</t>
  </si>
  <si>
    <t>LOT 06 METALLERIE</t>
  </si>
  <si>
    <t>Bloc porte métallique - MEN-B-09</t>
  </si>
  <si>
    <t>Garde-corps</t>
  </si>
  <si>
    <t>3.5.1</t>
  </si>
  <si>
    <t>Dépose de garde existants remplacés</t>
  </si>
  <si>
    <t>3.5.2</t>
  </si>
  <si>
    <t>Garde-corps extérieurs neufs en tableaux : SE 10 – SE 11 – SE 13</t>
  </si>
  <si>
    <t>SE 10</t>
  </si>
  <si>
    <t>SE 11</t>
  </si>
  <si>
    <t>SE 13</t>
  </si>
  <si>
    <t>3.5.3</t>
  </si>
  <si>
    <t>Garde-corps extérieurs existants conservés : SE 12</t>
  </si>
  <si>
    <t>3.5.4</t>
  </si>
  <si>
    <t>Garde-corps extérieurs neufs sur terrasse technique du bâtiment A : SE 05</t>
  </si>
  <si>
    <t>3.5.5</t>
  </si>
  <si>
    <t>Garde-corps et mains courantes escalier extérieur du bâtiment B : SE 03</t>
  </si>
  <si>
    <t>3.5.6</t>
  </si>
  <si>
    <t>Garde-corps des escaliers communs intérieurs</t>
  </si>
  <si>
    <t>LOT 07</t>
  </si>
  <si>
    <t>Mains courantes intérieures</t>
  </si>
  <si>
    <t>Grilles de ventilation</t>
  </si>
  <si>
    <t>Grilles de ventilation statiques extérieures en pose verticale</t>
  </si>
  <si>
    <t>Grilles statiques de Ventilation intérieures</t>
  </si>
  <si>
    <t>Grilles à la charge du corps d’état CVC</t>
  </si>
  <si>
    <t>LOT 12</t>
  </si>
  <si>
    <t>Grilles en pose horizontale extérieure sur édicule de ventilation</t>
  </si>
  <si>
    <t>Echelles</t>
  </si>
  <si>
    <t>Echelles bâtiments A et B : SE 05</t>
  </si>
  <si>
    <t>Echelle bâtiment B : SE 04</t>
  </si>
  <si>
    <t>Portillon coffret Enedis</t>
  </si>
  <si>
    <t>Parking deux roues</t>
  </si>
  <si>
    <t>Habillage de la zone technique sur couverture du bâtiment A</t>
  </si>
  <si>
    <t>Joints</t>
  </si>
  <si>
    <t>LOT 07 MENUISERIES INTERIEURES</t>
  </si>
  <si>
    <t>Serrures et canons provisoires</t>
  </si>
  <si>
    <t>Organigramme</t>
  </si>
  <si>
    <t>Contrôle d’accès</t>
  </si>
  <si>
    <t>Prescriptions générales</t>
  </si>
  <si>
    <t>Prescriptions particulières</t>
  </si>
  <si>
    <t>Préconisations acoustiques</t>
  </si>
  <si>
    <t>Description des blocs portes</t>
  </si>
  <si>
    <t>3.5.6.1</t>
  </si>
  <si>
    <t>Blocs portes paliers blindés des logements : MeIn-1 et MeIn-7</t>
  </si>
  <si>
    <t>MeIn1</t>
  </si>
  <si>
    <t>MeIn7</t>
  </si>
  <si>
    <t>3.5.6.2</t>
  </si>
  <si>
    <t>Blocs portes intérieurs pleins sur circulation commune</t>
  </si>
  <si>
    <t>MeIn-3b</t>
  </si>
  <si>
    <t>MeIn-4</t>
  </si>
  <si>
    <t>MeIn-5</t>
  </si>
  <si>
    <t>MeIn-6</t>
  </si>
  <si>
    <t>MeIn-17</t>
  </si>
  <si>
    <t>Accès locaux techniques au sous sol du bâtiment A</t>
  </si>
  <si>
    <t>6.7.17 / Note réemploi</t>
  </si>
  <si>
    <t>Réemploi in-situ : Ferme-porte</t>
  </si>
  <si>
    <t>Approvisionnement exterieur : Ferme-porte</t>
  </si>
  <si>
    <t>3.5.6.3</t>
  </si>
  <si>
    <t>Portes intérieures des logements : Battantes : MeIn-2</t>
  </si>
  <si>
    <t>3.5.6.4</t>
  </si>
  <si>
    <t>Portes coulissantes à galandage des logements : MeIn-8 et MeIn9</t>
  </si>
  <si>
    <t>MeIn-8</t>
  </si>
  <si>
    <t>MeIn-9</t>
  </si>
  <si>
    <t>3.5.6.5</t>
  </si>
  <si>
    <t>Portes des caves du bâtiment A : MeIn-3a</t>
  </si>
  <si>
    <t>3.5.6.6</t>
  </si>
  <si>
    <t>Travaux sur blocs portes conservés</t>
  </si>
  <si>
    <t>Placards des logements</t>
  </si>
  <si>
    <t>Façades de Placards coulissantes</t>
  </si>
  <si>
    <t>Façades de placards battantes</t>
  </si>
  <si>
    <t>Façades de placards GTL</t>
  </si>
  <si>
    <t>Aménagement intérieur de placards</t>
  </si>
  <si>
    <t>Trappes de visites en bois : MeIn -18 à MeIn -22</t>
  </si>
  <si>
    <t>MeIn-18</t>
  </si>
  <si>
    <t>MeIn-19</t>
  </si>
  <si>
    <t>MeIn-20</t>
  </si>
  <si>
    <t>MeIn-21</t>
  </si>
  <si>
    <t>MeIn-22</t>
  </si>
  <si>
    <t>Plinthes en bois</t>
  </si>
  <si>
    <t>Logements</t>
  </si>
  <si>
    <t>Hall</t>
  </si>
  <si>
    <t>Autres</t>
  </si>
  <si>
    <t>Façades de gaines techniques avec un PV d'essai pour un degré coupe-feu 1/2h</t>
  </si>
  <si>
    <t>Coffre cache tuyaux</t>
  </si>
  <si>
    <t>Ft</t>
  </si>
  <si>
    <t>Miroirs des SdB des logements</t>
  </si>
  <si>
    <t>Travaux sur escaliers communs existants tous niveaux</t>
  </si>
  <si>
    <t>Tablette d’habillage</t>
  </si>
  <si>
    <t>Chants, calfeutrements</t>
  </si>
  <si>
    <t>Equipements du hall</t>
  </si>
  <si>
    <t>3.15.1</t>
  </si>
  <si>
    <t>Boîtes aux lettres</t>
  </si>
  <si>
    <t>3.15.2</t>
  </si>
  <si>
    <t>Tableau d’affichage</t>
  </si>
  <si>
    <t>3.15.3</t>
  </si>
  <si>
    <t>Corbeille</t>
  </si>
  <si>
    <t>3.15.4</t>
  </si>
  <si>
    <t>Miroir</t>
  </si>
  <si>
    <t>3.16</t>
  </si>
  <si>
    <t>Signalétiques</t>
  </si>
  <si>
    <t>Numéro postal (signalétique extérieur)</t>
  </si>
  <si>
    <t>Numérotation de chaque porte palière</t>
  </si>
  <si>
    <t>Identification pour chaque local annexe</t>
  </si>
  <si>
    <t>Signalétique réglementaire (portes CF, étiquetage des colonnes montantes, etc.).</t>
  </si>
  <si>
    <t>Evacuation Sécurité incendie </t>
  </si>
  <si>
    <t xml:space="preserve">Panneaux pour les consignes de TRI </t>
  </si>
  <si>
    <t>3.17</t>
  </si>
  <si>
    <t>Escalier bois du commerce</t>
  </si>
  <si>
    <t>3.18</t>
  </si>
  <si>
    <t>Meubles de cuisine et bacs de compostage</t>
  </si>
  <si>
    <t>T1 - T2</t>
  </si>
  <si>
    <t>T3 - T4</t>
  </si>
  <si>
    <t>LOT 08 CLOISONS - DOUBLAGE - FAUX PLAFONDS</t>
  </si>
  <si>
    <t>Isolation - Doublage</t>
  </si>
  <si>
    <t>Doublage intérieur ITI sur façades maçonnées des bâtiments A : 12 cm</t>
  </si>
  <si>
    <t>PV hydro</t>
  </si>
  <si>
    <t>Doublage intérieur ITI sur pignons maçonnés des bâtiments A : 12 cm</t>
  </si>
  <si>
    <t>Doublage intérieur ITI sur pignons maçonnés des bâtiments B : 14 cm</t>
  </si>
  <si>
    <t>Doublage intérieur ITI sur pignons maçonnés des bâtiments B : 12 cm</t>
  </si>
  <si>
    <t>Doublage intérieur sur façades FOB du bâtiment A : Côté rue</t>
  </si>
  <si>
    <t>Doublage intérieur sur façades FOB du bâtiment A : Côté cour</t>
  </si>
  <si>
    <t>3.5.7</t>
  </si>
  <si>
    <t>Doublage intérieur thermo-acoustique sur escaliers communs et cage d’ascenseur des bâtiments A et B</t>
  </si>
  <si>
    <t>3.5.8</t>
  </si>
  <si>
    <t>Doublage intérieur thermo-acoustique entre commerces et parties communes à RdC</t>
  </si>
  <si>
    <t>3.5.9</t>
  </si>
  <si>
    <t>Isolation acoustique, thermique et feu en sous face de plancher du bâtiment A</t>
  </si>
  <si>
    <t>Entre RDC et logement à R+1 / plancher haut des espaces escalier et cellier non chauffé à R+1 sous le logement à R+2</t>
  </si>
  <si>
    <t>Sujétions particulières pour le commerce</t>
  </si>
  <si>
    <t>Sujétions particulières pour accroche de soffite sous le faux plafond coupe feu</t>
  </si>
  <si>
    <t xml:space="preserve">Entre étages courant de logements </t>
  </si>
  <si>
    <t>Sujétions particulières pour accroche de soffite sous le faux plafond coupe feu :</t>
  </si>
  <si>
    <t>3.5.10</t>
  </si>
  <si>
    <t>Isolation acoustique et thermique en sous face de plancher du bâtiment B</t>
  </si>
  <si>
    <t>3.5.11</t>
  </si>
  <si>
    <t>Isolation thermique sous couverture des bâtiments A et B</t>
  </si>
  <si>
    <t>3.5.12</t>
  </si>
  <si>
    <t>Plaques de BA13 collées</t>
  </si>
  <si>
    <t>3.5.13</t>
  </si>
  <si>
    <t>Plaques de BA13 demi stil sur pignons</t>
  </si>
  <si>
    <t>3.5.14</t>
  </si>
  <si>
    <t>Chapes sèches</t>
  </si>
  <si>
    <t>3.5.15</t>
  </si>
  <si>
    <t>Chapes humides acoustique</t>
  </si>
  <si>
    <t>3.5.16</t>
  </si>
  <si>
    <t>Isolation thermique et acoustique rapportée pour éléments techniques</t>
  </si>
  <si>
    <t>LC</t>
  </si>
  <si>
    <t>3.5.17</t>
  </si>
  <si>
    <t>Flocage en PH des sous-sols des bâtiments A et B</t>
  </si>
  <si>
    <t>Encoffrement coupe-feu des structures bois</t>
  </si>
  <si>
    <t>Cloisons intérieures</t>
  </si>
  <si>
    <t>Cloisons de distribution sur ossature des logements de 72 mm</t>
  </si>
  <si>
    <t>Cloisons sur ossature de 98 mm</t>
  </si>
  <si>
    <t>Cloisons sur ossature de 160 mm</t>
  </si>
  <si>
    <t>Cloisons de distribution sur rail de 200 mm</t>
  </si>
  <si>
    <t>Cloisons en carreaux de plâtre</t>
  </si>
  <si>
    <t>Habillages techniques</t>
  </si>
  <si>
    <t>Soffites – Gaines techniques</t>
  </si>
  <si>
    <t>Gaines verticales coupe-feu 1 H ou 2 H sur 4 faces</t>
  </si>
  <si>
    <t>CF 1 H</t>
  </si>
  <si>
    <t>CF 2H</t>
  </si>
  <si>
    <t>Gaines horizontales coupe-feu 1 H ou 2 H sur 4 faces</t>
  </si>
  <si>
    <t>Gaine technique verticale TYPE 1</t>
  </si>
  <si>
    <t>Gaine technique verticale TYPE 2</t>
  </si>
  <si>
    <t>Soffite technique</t>
  </si>
  <si>
    <t>Trappes de visite et volets de désenfumage</t>
  </si>
  <si>
    <t>Pose des trappes de visites</t>
  </si>
  <si>
    <t>Pose des volets de désenfumage</t>
  </si>
  <si>
    <t xml:space="preserve">Fourniture et posede trappes de visite </t>
  </si>
  <si>
    <t>Faux plafonds</t>
  </si>
  <si>
    <t>Faux plafonds en plaque de plâtre</t>
  </si>
  <si>
    <t>Sous plancher</t>
  </si>
  <si>
    <t>Voir ci avant</t>
  </si>
  <si>
    <t>Sous combles</t>
  </si>
  <si>
    <t>Trappes de visites en plâtre</t>
  </si>
  <si>
    <t>Jouées et retombées</t>
  </si>
  <si>
    <t>Plâtre projeté en sous faces escaliers</t>
  </si>
  <si>
    <t>Rebouchages et reprises de plâtre</t>
  </si>
  <si>
    <t>LOT 09 REVETEMENTS DE SOLS - FAIENCES</t>
  </si>
  <si>
    <t>Supports livrés</t>
  </si>
  <si>
    <t>Chape thermo-acoustique - Chape humide</t>
  </si>
  <si>
    <t>Ragréage</t>
  </si>
  <si>
    <t>Sous couche résiliente</t>
  </si>
  <si>
    <t>Etanchéité sous carrelage</t>
  </si>
  <si>
    <t>Au sol des salles d’eau et salles de bains du bâtiment A</t>
  </si>
  <si>
    <t>Au sol des salles d’eau du bâtiment B</t>
  </si>
  <si>
    <t>Au sol du local OM à RdC</t>
  </si>
  <si>
    <t>Au mur</t>
  </si>
  <si>
    <t>Revêtements des logements</t>
  </si>
  <si>
    <t>Revêtement de sol souple en linoléum : Toutes pièces</t>
  </si>
  <si>
    <t>Faïence murale des logements</t>
  </si>
  <si>
    <t>Arrêt de carrelage</t>
  </si>
  <si>
    <t>Revêtements des parties communes</t>
  </si>
  <si>
    <t>Revêtement de sol du hall et du dégagement à rez de chaussée</t>
  </si>
  <si>
    <t>Revêtement des paliers : Tomettes conservées</t>
  </si>
  <si>
    <t>Revêtement des paliers : Tomettes de récupération</t>
  </si>
  <si>
    <t>6.7.20 / Note réemploi</t>
  </si>
  <si>
    <t>Réemploi in-situ : Revêtement de sol tomettes</t>
  </si>
  <si>
    <t>3.9.4</t>
  </si>
  <si>
    <t>Tapis d’entrée dans le hall à rez-de-chaussée</t>
  </si>
  <si>
    <t>3.9.5</t>
  </si>
  <si>
    <t>Carrelage au sol anti dérapant : Local OM à RdC</t>
  </si>
  <si>
    <t>Plinthe</t>
  </si>
  <si>
    <t>3.9.6</t>
  </si>
  <si>
    <t>Carrelage mural : Local OM à RdC</t>
  </si>
  <si>
    <t>Paillasses, tabliers de baignoires et socles</t>
  </si>
  <si>
    <t>Trappes de visites : MeIn 23 et MeIn 24</t>
  </si>
  <si>
    <t>MeIn-23</t>
  </si>
  <si>
    <t>MeIn-24</t>
  </si>
  <si>
    <t>Joints étanches</t>
  </si>
  <si>
    <t>Variante pour les Revêtement des paliers : Tomettes conservées dans la base à remplacer par des tomettes neuves respectant les exigences Cerqual</t>
  </si>
  <si>
    <t>LOT 10 PEINTURE</t>
  </si>
  <si>
    <t>Prestations</t>
  </si>
  <si>
    <t>Encapsulage des parois polluées conservées</t>
  </si>
  <si>
    <t>Travaux sur parois maçonnées des sous-sols</t>
  </si>
  <si>
    <t>Parois hétérogènes</t>
  </si>
  <si>
    <t>Parois homogènes en moellons - pierres</t>
  </si>
  <si>
    <t>Peinture de sol</t>
  </si>
  <si>
    <t>Peinture anti-poussière</t>
  </si>
  <si>
    <t>Sol coulé</t>
  </si>
  <si>
    <t>Sujétions particulières pour escaliers communs restants bruts </t>
  </si>
  <si>
    <t>Peinture sur éléments verticaux</t>
  </si>
  <si>
    <t>Peinture vinylique en phase aqueuse (famille 1 – classes 7a2) satinée – Finition B</t>
  </si>
  <si>
    <t>Cornière d'angle</t>
  </si>
  <si>
    <t>Peinture acrylique en phase aqueuse (famille 1 – classes 7b2) – Finition A</t>
  </si>
  <si>
    <t>Peinture sur plafond et poutre</t>
  </si>
  <si>
    <t>Peinture vinylique en phase aqueuse (famille 1 – classes 7a2) mate– Finition B</t>
  </si>
  <si>
    <t>Peinture sur éléments menuisés</t>
  </si>
  <si>
    <t>Peinture sur ouvrages métalliques</t>
  </si>
  <si>
    <t>Peinture sur matière plastique rigide</t>
  </si>
  <si>
    <t>Peinture sur ouvrage de plomberie</t>
  </si>
  <si>
    <t>Nettoyage et mise en service</t>
  </si>
  <si>
    <t>Nettoyage pour la réception des ouvrages</t>
  </si>
  <si>
    <t>Nettoyage de livraison</t>
  </si>
  <si>
    <t>LOT 11 ASCENSEUR</t>
  </si>
  <si>
    <t>Etudes et plans d’exécution</t>
  </si>
  <si>
    <t>Caractéristiques générales</t>
  </si>
  <si>
    <t>Prescriptions techniques</t>
  </si>
  <si>
    <t>Mise en œuvre des points de Mesure de la télésurveillance GETRALINE</t>
  </si>
  <si>
    <t>Utilisation de l’ascenseur en phase chantier</t>
  </si>
  <si>
    <t>Contrat d’entretien</t>
  </si>
  <si>
    <t>BATIMENT A</t>
  </si>
  <si>
    <t>Chauffage Ventilation Plomberie et Sanitaires</t>
  </si>
  <si>
    <t>Désignation des ouvrages à réaliser en base</t>
  </si>
  <si>
    <t>Q
(entreprise)</t>
  </si>
  <si>
    <t>Prix 
unitaire
en € HT</t>
  </si>
  <si>
    <t>Prix
total
en € HT</t>
  </si>
  <si>
    <t>Prix
par poste
en € HT</t>
  </si>
  <si>
    <t>Prix
par chapitre
en € HT</t>
  </si>
  <si>
    <t>Total
Fourniture
en € HT</t>
  </si>
  <si>
    <t>Total
Main d'œuvre
en heures</t>
  </si>
  <si>
    <t>Main d'œuvre
unitaire
en € HT</t>
  </si>
  <si>
    <t>Total
Main d'œuvre
en € HT</t>
  </si>
  <si>
    <t>Total
Sous-traitance
en € HT</t>
  </si>
  <si>
    <t>Deboursé
unitaire
en € HT</t>
  </si>
  <si>
    <t>Total
déboursé
en € HT</t>
  </si>
  <si>
    <t>L'entreprise vérifiera toutes les quantités et dimensions indiquées sur le bordereau qui sont données à titre indicatif. Il lui appartient de faire tous les changements de quantités selon son propre relevé sur les documents du dossier de consultation et sur site si cela s'avère possible.
Aucune plus-value ne sera accordée en cas d'augmentation des quantités ou des diamètres indiquées, ni en cas de mauvaise interprétation du présent document.
L'entreprise remplira les prix unitaires de toutes les lignes du bordereau, même pour les quantités qu'elle considère nulles.
La présente offre est considérée globale et forfaitaire. Il appartiendra à l'entreprise de se rapporter aux documents de l'appel d'offre pour réaliser son offre et tenir compte de toutes les spécificités des équipements (pose et description).
L'entreprise se doit de répondre sur le présent bordereau. Elle est en droit d'ajouter ou de modifier le bordereau pour préciser son offre mais fera apparaître les modifications en rouge.
Avant de répondre à cet appel d'offre et dans le cas des réhabilitations ou rénovation, l'entreprise réalisera une visite sur place pour appréhender l'opération et ses difficultés.</t>
  </si>
  <si>
    <t>PREAMBULE</t>
  </si>
  <si>
    <t>Le présent bordereau inclue toutes les prestations nécessaires au respect du CCTP Chauffage Ventilation Climatisation Désenfumage | Plomberie et Sanitaires ainsi qu'au respect de la réglementation.</t>
  </si>
  <si>
    <t>TRAVAUX PREALABLES</t>
  </si>
  <si>
    <t>CHAUFFAGE/ECS</t>
  </si>
  <si>
    <t>AMENAGEMENT DU LOCAL TECHNIQUE</t>
  </si>
  <si>
    <t>Schémas de principe et étiquetages</t>
  </si>
  <si>
    <t xml:space="preserve">Schéma de principe plastifié </t>
  </si>
  <si>
    <t>ens</t>
  </si>
  <si>
    <t>Pupitre</t>
  </si>
  <si>
    <t>Etiquetages</t>
  </si>
  <si>
    <t>Moyens de lutte contre l'incendie</t>
  </si>
  <si>
    <t>Extincteur y compris support et étiquetage</t>
  </si>
  <si>
    <t>Support mural pour dito</t>
  </si>
  <si>
    <t>inc</t>
  </si>
  <si>
    <t>Signalétique pour dito</t>
  </si>
  <si>
    <t>Vidange et relevage</t>
  </si>
  <si>
    <t>Réseaux d'évacuation des vidanges, en PVC Haute Température</t>
  </si>
  <si>
    <t>Vannes de vidanges y compris accessoires</t>
  </si>
  <si>
    <t xml:space="preserve">Pompe de relevage </t>
  </si>
  <si>
    <t>Coupure spécifique pompe relevage, y compris coffret</t>
  </si>
  <si>
    <t>Caillebotis y compris accessoires</t>
  </si>
  <si>
    <t>Alimentation en eau et remplissage</t>
  </si>
  <si>
    <t>L'entreprise du présent lot devra les travaux suivants pour l'alimentation d'eau de la sous station :</t>
  </si>
  <si>
    <t>Compteur d'eau du type prise d'impulsion et manchette de remplacement</t>
  </si>
  <si>
    <t>Canalisation d'alimentation d'Eau Froide</t>
  </si>
  <si>
    <t>Vannes d'isolement</t>
  </si>
  <si>
    <t>Manomètres</t>
  </si>
  <si>
    <t xml:space="preserve">filtre à tamis </t>
  </si>
  <si>
    <t>Adoucisseur</t>
  </si>
  <si>
    <t xml:space="preserve">clapet anti retour </t>
  </si>
  <si>
    <t xml:space="preserve">prise d'eau pour échantilon </t>
  </si>
  <si>
    <t>manchette témoin</t>
  </si>
  <si>
    <t>Ensemble de disconnexion conforme au CCTP</t>
  </si>
  <si>
    <t>Production de chaleur par PAC AIR/EAU</t>
  </si>
  <si>
    <t>PAC AIR/EAU (1 seule installation répartie sur les deux bâtiments au prorata de la surface)</t>
  </si>
  <si>
    <t>PAC AIR/EAU dito CCTP avec module hydraulique intégré</t>
  </si>
  <si>
    <t>plots antivibratils</t>
  </si>
  <si>
    <t xml:space="preserve">raccordement électrique </t>
  </si>
  <si>
    <t>Réseaux primaires</t>
  </si>
  <si>
    <t xml:space="preserve">Ballon tampon y compris accessoires </t>
  </si>
  <si>
    <t>Résistance électrique appoint 6kW</t>
  </si>
  <si>
    <t>Résistance électrique secours 30 kW</t>
  </si>
  <si>
    <t>Collecteurs</t>
  </si>
  <si>
    <t xml:space="preserve">soupapes de sécurité </t>
  </si>
  <si>
    <t>vanne papillon</t>
  </si>
  <si>
    <t xml:space="preserve">thermomètre </t>
  </si>
  <si>
    <t>aquastat</t>
  </si>
  <si>
    <t xml:space="preserve">vanne de réglage </t>
  </si>
  <si>
    <t>Vase d'expansion</t>
  </si>
  <si>
    <t>Désemboueur magnétique</t>
  </si>
  <si>
    <t>Séparateur d'air</t>
  </si>
  <si>
    <t xml:space="preserve">Produit de traitement d'eau </t>
  </si>
  <si>
    <t>Remplissage</t>
  </si>
  <si>
    <t>Vidange</t>
  </si>
  <si>
    <t>Réseaux secondaires</t>
  </si>
  <si>
    <t>Circuit EC n°01 à température variable (Radiateurs)</t>
  </si>
  <si>
    <t>Groupe de pompe  simple</t>
  </si>
  <si>
    <t>Manchons antivibratiles</t>
  </si>
  <si>
    <t>Aquastat</t>
  </si>
  <si>
    <t>Vannes de réglage</t>
  </si>
  <si>
    <t>Filtre</t>
  </si>
  <si>
    <t>Purgeur automatique</t>
  </si>
  <si>
    <t>Doigts de gant</t>
  </si>
  <si>
    <t>Thermomètres (aller et retour)</t>
  </si>
  <si>
    <t>Compteur de calories liaisonnable sur GTC (y compris sondes)</t>
  </si>
  <si>
    <t>Vannes 3 voies et servomoteurs (y compris sondes)</t>
  </si>
  <si>
    <t>Circuit EC n°02 Circuit à température constante (ECS)</t>
  </si>
  <si>
    <t>Groupe de pompe simple</t>
  </si>
  <si>
    <t xml:space="preserve">Régulation et électricité en local technique </t>
  </si>
  <si>
    <t>Régulateur départ chauffage :</t>
  </si>
  <si>
    <t>Automate dito CCTP</t>
  </si>
  <si>
    <t>Electricité</t>
  </si>
  <si>
    <t>Coffrets DTU</t>
  </si>
  <si>
    <t>Armoire électrique et de régulation</t>
  </si>
  <si>
    <t>Câblages et raccordements</t>
  </si>
  <si>
    <t>Alarme</t>
  </si>
  <si>
    <t>Report d'alarme</t>
  </si>
  <si>
    <t>DISTRIBUTION DE CHALEUR</t>
  </si>
  <si>
    <t>Distribution secondaire EC</t>
  </si>
  <si>
    <t>Tuyauteries EC en acier :</t>
  </si>
  <si>
    <t>- DN200</t>
  </si>
  <si>
    <t>- DN150</t>
  </si>
  <si>
    <t>- DN125</t>
  </si>
  <si>
    <t>- DN100</t>
  </si>
  <si>
    <t>- DN80</t>
  </si>
  <si>
    <t>- DN65</t>
  </si>
  <si>
    <t>- DN50</t>
  </si>
  <si>
    <t>- DN40</t>
  </si>
  <si>
    <t>- DN32</t>
  </si>
  <si>
    <t>- DN25</t>
  </si>
  <si>
    <t>- DN20</t>
  </si>
  <si>
    <t>- DN15</t>
  </si>
  <si>
    <t>Tuyauteries EC en cuivre écroui :</t>
  </si>
  <si>
    <t xml:space="preserve">- DN15 </t>
  </si>
  <si>
    <t>Tuyauteries EC multi-couche :</t>
  </si>
  <si>
    <t>Tuyauteries EC PVC pression:</t>
  </si>
  <si>
    <t>Tuyauteries EC PER:</t>
  </si>
  <si>
    <t>Traçage, Calorifuge et protections</t>
  </si>
  <si>
    <t>Peinture de l'ensemble des tuyauteries</t>
  </si>
  <si>
    <t>Traçage électrique</t>
  </si>
  <si>
    <t>Calorifuge, y compris revetement de protection en local technique</t>
  </si>
  <si>
    <t>Calorifuge, y compris revetement de protection hors chaufferie</t>
  </si>
  <si>
    <t>Calorifuge, y compris revetement de protection en extérieur</t>
  </si>
  <si>
    <t>Accessoires</t>
  </si>
  <si>
    <t>Vannes d'isolement :</t>
  </si>
  <si>
    <t>Vannes d'équilibrage :</t>
  </si>
  <si>
    <t>- DN 15</t>
  </si>
  <si>
    <t>Vannes de vidange bouchonnées</t>
  </si>
  <si>
    <t>Purgeur</t>
  </si>
  <si>
    <t>Pots à boues</t>
  </si>
  <si>
    <t>Fourniture et pose de l'ensemble des instrumentation :</t>
  </si>
  <si>
    <t>- manomètre</t>
  </si>
  <si>
    <t>- thermomètre</t>
  </si>
  <si>
    <t>- doigt de gant</t>
  </si>
  <si>
    <t>- prise de pression</t>
  </si>
  <si>
    <t>- purgeur</t>
  </si>
  <si>
    <t>Nourrice Départ CHAUFFAGE:</t>
  </si>
  <si>
    <t>- Vannes d'isolement</t>
  </si>
  <si>
    <t>- Clapet anti-retour</t>
  </si>
  <si>
    <t>- Nourrice</t>
  </si>
  <si>
    <t>Rinçage des réseaux de distribution EC</t>
  </si>
  <si>
    <t>Réactif Siloxy ou équivalent</t>
  </si>
  <si>
    <t>Désembouage des installations de chauffage</t>
  </si>
  <si>
    <t>Rinçage des installations de chauffage</t>
  </si>
  <si>
    <t>By-pass provisoire</t>
  </si>
  <si>
    <t>EMISSION DE CHALEUR</t>
  </si>
  <si>
    <t>Radiateurs</t>
  </si>
  <si>
    <t xml:space="preserve">Radiateur à eau en acier horizontal </t>
  </si>
  <si>
    <t>Seche serviette</t>
  </si>
  <si>
    <t xml:space="preserve">Robinet thermostatique à bulbe incorporé </t>
  </si>
  <si>
    <t>Té de réglage</t>
  </si>
  <si>
    <t>Purgeur manuel</t>
  </si>
  <si>
    <t>REGULATION DE CHALEUR</t>
  </si>
  <si>
    <t>Thermostat d'ambiance</t>
  </si>
  <si>
    <t>Robinets thermostatiques</t>
  </si>
  <si>
    <t>VENTILATION</t>
  </si>
  <si>
    <t>VMC</t>
  </si>
  <si>
    <t>Equipements</t>
  </si>
  <si>
    <t>Extracteur</t>
  </si>
  <si>
    <t>Variateur de vitesse</t>
  </si>
  <si>
    <t>Supportage</t>
  </si>
  <si>
    <t>Manutention et grutage</t>
  </si>
  <si>
    <t>Plots antivibratiles</t>
  </si>
  <si>
    <t>Régulation</t>
  </si>
  <si>
    <t>Distribution aéraulique et accessoires</t>
  </si>
  <si>
    <t>Réseau Air Neuf</t>
  </si>
  <si>
    <t>Réseau Air Soufflé</t>
  </si>
  <si>
    <t>Réseau Air Repris</t>
  </si>
  <si>
    <t>Gaine rectangulaire acier galvanisé</t>
  </si>
  <si>
    <t>kg</t>
  </si>
  <si>
    <t>Gaine cylindrique acier galvanisé :</t>
  </si>
  <si>
    <t>- DN450</t>
  </si>
  <si>
    <t>- DN400</t>
  </si>
  <si>
    <t>- DN355</t>
  </si>
  <si>
    <t>- DN315</t>
  </si>
  <si>
    <t>- DN250</t>
  </si>
  <si>
    <t>- DN160</t>
  </si>
  <si>
    <t>Conduit souple isophonique</t>
  </si>
  <si>
    <t>Calorifuge</t>
  </si>
  <si>
    <t>m2</t>
  </si>
  <si>
    <t>Revêtement de protection</t>
  </si>
  <si>
    <t>Trappes de visite</t>
  </si>
  <si>
    <t>Registres d'équilibrage</t>
  </si>
  <si>
    <t>Pièges à sons</t>
  </si>
  <si>
    <t>Clapets coupe-feu avec moteurs</t>
  </si>
  <si>
    <t>Réseau Air Rejeté</t>
  </si>
  <si>
    <t>Clapets coupe-feu</t>
  </si>
  <si>
    <t>Grilles de rejet d'air</t>
  </si>
  <si>
    <t>Bouches d'extraction</t>
  </si>
  <si>
    <t>Bouches d'extraction autoréglable</t>
  </si>
  <si>
    <t>Bouches d'extraction CF</t>
  </si>
  <si>
    <t>Modules de régulation</t>
  </si>
  <si>
    <t>Bouches d'extraction logements :</t>
  </si>
  <si>
    <t xml:space="preserve"> . 5-30 m3/h (WC)</t>
  </si>
  <si>
    <t xml:space="preserve"> . 15-45-30 m3/h (SDB/WC)</t>
  </si>
  <si>
    <t xml:space="preserve"> . 10-40 m3/h (Salle de bains) T1</t>
  </si>
  <si>
    <t xml:space="preserve"> . 10-45 m3/h (Salle de bains) T2 / T3 / T4 / T5</t>
  </si>
  <si>
    <t xml:space="preserve"> . 5-40 m3/h (buanderie)</t>
  </si>
  <si>
    <t>. 10/40/90 m³/h (cuisine T1 / T2)</t>
  </si>
  <si>
    <t>. 10/45/135 m³/h (cuisine T3 / T4 / T5)</t>
  </si>
  <si>
    <t xml:space="preserve"> - Raccordement électrique bouche WC / cuisine</t>
  </si>
  <si>
    <t>Entrées d'air</t>
  </si>
  <si>
    <t>Bouche d'entrée d'air autoréglable VMC hygro A</t>
  </si>
  <si>
    <t xml:space="preserve"> . Entrée d'air 30 m3/h (fourniture seule)</t>
  </si>
  <si>
    <t xml:space="preserve"> . Entrée d'air 45 m3/h (fourniture seule)</t>
  </si>
  <si>
    <t>Compris manchons acoustiques en traversée de murs et modules d'entrée d'air (fourniture seule)</t>
  </si>
  <si>
    <t>Bouche d'entrée d'air hygroréglable VMC hygro B</t>
  </si>
  <si>
    <t>EAU FROIDE</t>
  </si>
  <si>
    <t>ARRIVEE GENERALE</t>
  </si>
  <si>
    <t>Pour l'arrivée générale :</t>
  </si>
  <si>
    <t>- Tube PVC</t>
  </si>
  <si>
    <t>- Disconnecteur hydraulique</t>
  </si>
  <si>
    <t>- Filtre</t>
  </si>
  <si>
    <t>- Détendeur</t>
  </si>
  <si>
    <t>- Antibélier</t>
  </si>
  <si>
    <t>- Compteur générale liaisonnable sur la GTB</t>
  </si>
  <si>
    <t>- Manchette témoin</t>
  </si>
  <si>
    <t>- Robinet de vidange</t>
  </si>
  <si>
    <t>Pour chaque circuit :</t>
  </si>
  <si>
    <t>- Robinet d'équilibrage</t>
  </si>
  <si>
    <t>- Compteur générale sur la GTB</t>
  </si>
  <si>
    <t>- Clapet anti-retour controlable</t>
  </si>
  <si>
    <t>Armoire électrique</t>
  </si>
  <si>
    <t>Calorifuge anti-condensation</t>
  </si>
  <si>
    <t>DISTRIBUTION EF</t>
  </si>
  <si>
    <t>Distribution EFS</t>
  </si>
  <si>
    <t>Tube cuivre :</t>
  </si>
  <si>
    <t>- DN 50</t>
  </si>
  <si>
    <t>- DN 40</t>
  </si>
  <si>
    <t>- DN 32</t>
  </si>
  <si>
    <t>- DN 25</t>
  </si>
  <si>
    <t>- DN 20</t>
  </si>
  <si>
    <t>- DN 10</t>
  </si>
  <si>
    <t>Tube multicouche :</t>
  </si>
  <si>
    <t>Tube PVC Pression :</t>
  </si>
  <si>
    <t>Tube PER pré gainé et isolé</t>
  </si>
  <si>
    <t>Robinets d'équilibrage</t>
  </si>
  <si>
    <t>Nourrice Départ EAU FROIDE SANITAIRE:</t>
  </si>
  <si>
    <t>- Compteur ou manchette pour mise en œuvre de compteur</t>
  </si>
  <si>
    <t>Désinfection des installations EFS</t>
  </si>
  <si>
    <t>Mise en œuvre de manchettes provisoire en lieu et place des compteurs pour désinfection</t>
  </si>
  <si>
    <t>Désinfection des réseaux et accessoires</t>
  </si>
  <si>
    <t>Prise d'échantillon et analyse laboratoire</t>
  </si>
  <si>
    <t>Bordereau de résultats du laboratoire garantissant la potabilité</t>
  </si>
  <si>
    <t>ATTENTES ET POINTS DE PUISAGE</t>
  </si>
  <si>
    <t>Attentes bouchonnées</t>
  </si>
  <si>
    <t>Vannes d'isolement bouchonnées :</t>
  </si>
  <si>
    <t>Points de puisage</t>
  </si>
  <si>
    <t>Robinets de puisage</t>
  </si>
  <si>
    <t>Robinets de puisage verrouillables et vidangeables</t>
  </si>
  <si>
    <t>EAU CHAUDE SANITAIRE</t>
  </si>
  <si>
    <t>DISTRIBUTION ECS</t>
  </si>
  <si>
    <t>Distribution ECS et bouclage</t>
  </si>
  <si>
    <t>Tube acier :</t>
  </si>
  <si>
    <t>Tube multicouche prégainé :</t>
  </si>
  <si>
    <t>Calorifuge et revêtement de finition</t>
  </si>
  <si>
    <t>Groupe de pompe double</t>
  </si>
  <si>
    <t>Vanne de vidange</t>
  </si>
  <si>
    <t xml:space="preserve">anti-bélier </t>
  </si>
  <si>
    <t xml:space="preserve">Piquage sur colonne montante </t>
  </si>
  <si>
    <t xml:space="preserve">manchettes en laiton </t>
  </si>
  <si>
    <t xml:space="preserve">réducteur hydrobloc </t>
  </si>
  <si>
    <t>- Nourrice ECS</t>
  </si>
  <si>
    <t>Désinfection des installations ECS</t>
  </si>
  <si>
    <t>ASSAINISSEMENT</t>
  </si>
  <si>
    <t>EAUX USEES</t>
  </si>
  <si>
    <t>Evacuation des appareils</t>
  </si>
  <si>
    <t>Siphons de parcours</t>
  </si>
  <si>
    <t>Fourniture siphons  de sol</t>
  </si>
  <si>
    <t>Pose et raccordement siphons  de sol (à la charge du lot GO)</t>
  </si>
  <si>
    <t>Chutes EU - Ventilations primaires</t>
  </si>
  <si>
    <t>Tube PVC :</t>
  </si>
  <si>
    <t>- DN140</t>
  </si>
  <si>
    <t>- DN75</t>
  </si>
  <si>
    <t xml:space="preserve">Accessoires : </t>
  </si>
  <si>
    <t>- Coude</t>
  </si>
  <si>
    <t>- Manchon</t>
  </si>
  <si>
    <t>Tampons de visite</t>
  </si>
  <si>
    <t>Chapeau pare-pluie pour VP</t>
  </si>
  <si>
    <t>Collecteurs EU</t>
  </si>
  <si>
    <t>Tube fonte :</t>
  </si>
  <si>
    <t>- DN350</t>
  </si>
  <si>
    <t>- DN300</t>
  </si>
  <si>
    <t>EAUX VANNES</t>
  </si>
  <si>
    <t>Pipes de raccordements</t>
  </si>
  <si>
    <t>Chutes EV - Ventilations primaires</t>
  </si>
  <si>
    <t>Accessoires :</t>
  </si>
  <si>
    <t>Collecteurs EV</t>
  </si>
  <si>
    <t>EAUX PLUVIALES</t>
  </si>
  <si>
    <t>Chute EP</t>
  </si>
  <si>
    <t>Siphon de parcours</t>
  </si>
  <si>
    <t>Calorifuge et revêtement de finition PVC</t>
  </si>
  <si>
    <t>Collecteurs EP</t>
  </si>
  <si>
    <t>Récupération des eaux pluviales</t>
  </si>
  <si>
    <t>Tube Multicouche :</t>
  </si>
  <si>
    <t>- Raccords</t>
  </si>
  <si>
    <t>- Tés</t>
  </si>
  <si>
    <t>- Vannes</t>
  </si>
  <si>
    <t>- Filtres</t>
  </si>
  <si>
    <t>Groupe de pompage gestionnaire d'eau de pluie/eau de ville avec régulation</t>
  </si>
  <si>
    <t>Surpresseur</t>
  </si>
  <si>
    <t>APPAREILS SANITAIRES</t>
  </si>
  <si>
    <t>SANITAIRES</t>
  </si>
  <si>
    <t>WC ( Réemploi)</t>
  </si>
  <si>
    <t>Vasques</t>
  </si>
  <si>
    <t>Mitigeur temporisé</t>
  </si>
  <si>
    <t>Sèche-mains électriques</t>
  </si>
  <si>
    <t>Miroirs</t>
  </si>
  <si>
    <t>Distributeurs de papier hygiénique</t>
  </si>
  <si>
    <t>Distributeurs de savon</t>
  </si>
  <si>
    <t>Patères</t>
  </si>
  <si>
    <t>SALLE DE BAIN</t>
  </si>
  <si>
    <t>Lavabo (Réemploi)</t>
  </si>
  <si>
    <t>Robinetterie  lavabo</t>
  </si>
  <si>
    <t>Baignoire</t>
  </si>
  <si>
    <t>Robinetterie baignoire</t>
  </si>
  <si>
    <t>Pare-baignoire</t>
  </si>
  <si>
    <t>Douche (Rémploi)</t>
  </si>
  <si>
    <t>Robinetterie douche</t>
  </si>
  <si>
    <t>Pare-douche</t>
  </si>
  <si>
    <t>Rideau de douche</t>
  </si>
  <si>
    <t>CUISINE</t>
  </si>
  <si>
    <t>Evier</t>
  </si>
  <si>
    <t>Robinetterie evier</t>
  </si>
  <si>
    <t>Attente lave-vaisselle</t>
  </si>
  <si>
    <t>Attente lave-linge</t>
  </si>
  <si>
    <t>Plaques de cuisson</t>
  </si>
  <si>
    <t>Hotes</t>
  </si>
  <si>
    <t>Fours</t>
  </si>
  <si>
    <t>LOCAUX D'ENTRETIEN</t>
  </si>
  <si>
    <t>Déversoir mural (Réemploi)</t>
  </si>
  <si>
    <t>Robinet de puisage</t>
  </si>
  <si>
    <t>SYSTÈME D'EXTINCTION INCENDIE</t>
  </si>
  <si>
    <t>COLONNES SECHES</t>
  </si>
  <si>
    <t>Prises incendie</t>
  </si>
  <si>
    <t>Canlisation en acier galvanisé</t>
  </si>
  <si>
    <t>Raccords d'alimentation</t>
  </si>
  <si>
    <t>Anti-bélier</t>
  </si>
  <si>
    <t>Robinets de vidange</t>
  </si>
  <si>
    <t>Signalisations</t>
  </si>
  <si>
    <t>Rebouchages et calfeutrements</t>
  </si>
  <si>
    <t>Essais statiques et dynamiques</t>
  </si>
  <si>
    <t>EXTINCTEURS</t>
  </si>
  <si>
    <t>Extincteurs à eau pulvérisée avec accessoires</t>
  </si>
  <si>
    <t>Extincteurs CO2 avec accessoires</t>
  </si>
  <si>
    <t>Plans d'évacuations</t>
  </si>
  <si>
    <t>TRAVAUX ANNEXES</t>
  </si>
  <si>
    <t>ETUDES</t>
  </si>
  <si>
    <t>Etudes d'exécution</t>
  </si>
  <si>
    <t>Calcul RT</t>
  </si>
  <si>
    <t>Etudes de synthèse</t>
  </si>
  <si>
    <t>INSTALLATIONS DE CHANTIER</t>
  </si>
  <si>
    <t>Cantonnement</t>
  </si>
  <si>
    <t>Coffret électrique de chantier</t>
  </si>
  <si>
    <t>Eclairage provisoire de chantier</t>
  </si>
  <si>
    <t xml:space="preserve">Extracteur de 1000 m³/h </t>
  </si>
  <si>
    <t>MISE EN SERVICE</t>
  </si>
  <si>
    <t>Essais</t>
  </si>
  <si>
    <t>Réglages</t>
  </si>
  <si>
    <t>Mise en service</t>
  </si>
  <si>
    <t>DOE</t>
  </si>
  <si>
    <t>DOE format papier</t>
  </si>
  <si>
    <t>DOE numérique</t>
  </si>
  <si>
    <t>TOTAL HT
BASE</t>
  </si>
  <si>
    <t>TOTAL HT
remisé</t>
  </si>
  <si>
    <t>TOTAL TTC
BASE</t>
  </si>
  <si>
    <t>Seche serviettes</t>
  </si>
  <si>
    <t xml:space="preserve">Radiateur électrique </t>
  </si>
  <si>
    <t>Collecteur Raccord d’Etage : CRE multi-logement</t>
  </si>
  <si>
    <t>EXTRACTIONS SPECIFIQUES</t>
  </si>
  <si>
    <t>Extraction des locaux "déchets"</t>
  </si>
  <si>
    <t>Extracteur 200m3/h</t>
  </si>
  <si>
    <t>Réseaux et accessoires de gaines</t>
  </si>
  <si>
    <t>Ventilation naturelle</t>
  </si>
  <si>
    <t>Grilles pour cage d'ascenseur</t>
  </si>
  <si>
    <t>Grilles pour local transformateur</t>
  </si>
  <si>
    <t>DESENFUMAGE</t>
  </si>
  <si>
    <t>AMENEE D'AIR</t>
  </si>
  <si>
    <t xml:space="preserve">Insufflateur de désenfumage : </t>
  </si>
  <si>
    <t>- Interrupteur de proximité</t>
  </si>
  <si>
    <t>- Pressostat</t>
  </si>
  <si>
    <t>- Palque support terrasse</t>
  </si>
  <si>
    <t>- Contre-cadre</t>
  </si>
  <si>
    <t>- Raccordements électriques en câble CR1</t>
  </si>
  <si>
    <t>Coffret de relayage</t>
  </si>
  <si>
    <t>Socle</t>
  </si>
  <si>
    <t>Raccordements et câblages</t>
  </si>
  <si>
    <t>Flocage CF2H</t>
  </si>
  <si>
    <t>Conduits CF 2h avec PV de résistance au feu.</t>
  </si>
  <si>
    <t xml:space="preserve">Volets CF2H : </t>
  </si>
  <si>
    <t>- Contre cadre</t>
  </si>
  <si>
    <t>- Grille acier</t>
  </si>
  <si>
    <t>- Contacts de débuts et fin de course</t>
  </si>
  <si>
    <t>Ouvrant de désenfumage pour l'amenée d'air :</t>
  </si>
  <si>
    <t>Grille de prise d'air extérieure pare-pluie et antirongeur</t>
  </si>
  <si>
    <t>EXTRACTION D'AIR</t>
  </si>
  <si>
    <t>Extracteur de désenfumage 400°C 2H0 :</t>
  </si>
  <si>
    <t>Volets CF2H :</t>
  </si>
  <si>
    <t>Ouvrant de désenfumage</t>
  </si>
  <si>
    <t>Grille de rejet d'air extérieure pare-pluie et antirongeur</t>
  </si>
  <si>
    <t>WC (Réemploi)</t>
  </si>
  <si>
    <t>Douche (Réemploi)</t>
  </si>
  <si>
    <t xml:space="preserve">Système d'arrosage automatique </t>
  </si>
  <si>
    <t>INSTALLATIONS RIA</t>
  </si>
  <si>
    <t>Alimentation EF</t>
  </si>
  <si>
    <t>Poste de surpression</t>
  </si>
  <si>
    <t>Réservoir</t>
  </si>
  <si>
    <t>Raccordements hydrauliques</t>
  </si>
  <si>
    <t>Raccordements électriques</t>
  </si>
  <si>
    <t>Distribution EF</t>
  </si>
  <si>
    <t>Tuyauterie acier :</t>
  </si>
  <si>
    <t>Peinture</t>
  </si>
  <si>
    <t>Robinets d'Incendie Armés</t>
  </si>
  <si>
    <t>RIA tournant pivotant avec seau et vannes papillon</t>
  </si>
  <si>
    <t>- 25/8</t>
  </si>
  <si>
    <t>- 19/6</t>
  </si>
  <si>
    <t>Manomètre</t>
  </si>
  <si>
    <t>ELECTRICITE, REGULATION ET GTB</t>
  </si>
  <si>
    <t>Armoires et  coffrets électriques</t>
  </si>
  <si>
    <t>Armoire électrique Chaufferie</t>
  </si>
  <si>
    <t>Armoire électrique local eau</t>
  </si>
  <si>
    <t>Raccordements</t>
  </si>
  <si>
    <t>Ventilo-convecteurs</t>
  </si>
  <si>
    <t>Radiateur</t>
  </si>
  <si>
    <t>Ballon électrique</t>
  </si>
  <si>
    <t>REGULATION</t>
  </si>
  <si>
    <t>Régulation de la production</t>
  </si>
  <si>
    <t>Production de chaud</t>
  </si>
  <si>
    <t>Production de froid</t>
  </si>
  <si>
    <t>Régulation de la distribution</t>
  </si>
  <si>
    <t>Régulation départs chauds</t>
  </si>
  <si>
    <t>Régulation départs froids</t>
  </si>
  <si>
    <t>Régulation terminale</t>
  </si>
  <si>
    <t>Régulation radiateurs avec robinets thermostatiques (voir chapitre émission de chaleur)</t>
  </si>
  <si>
    <t>Régulation radiateurs avec thermostat d'ambiance</t>
  </si>
  <si>
    <t>Régulation panneaux rayonnants</t>
  </si>
  <si>
    <t>Régulation plancher chauffant</t>
  </si>
  <si>
    <t>Régulation ventilo-convecteurs</t>
  </si>
  <si>
    <t>Régulation radiateurs électriques</t>
  </si>
  <si>
    <t>Régulation armoires de climatisation</t>
  </si>
  <si>
    <t>Régulation CTA</t>
  </si>
  <si>
    <t>Régulation ventilation de cuisine</t>
  </si>
  <si>
    <t>GTB</t>
  </si>
  <si>
    <t xml:space="preserve">Matériel : </t>
  </si>
  <si>
    <t>- PC</t>
  </si>
  <si>
    <t>- Ecran</t>
  </si>
  <si>
    <t>- Clavier</t>
  </si>
  <si>
    <t>- Souris</t>
  </si>
  <si>
    <t>- Imprimante</t>
  </si>
  <si>
    <t>Supervision / Vues</t>
  </si>
  <si>
    <t>Bus de terrain</t>
  </si>
  <si>
    <t>Concentrateur</t>
  </si>
  <si>
    <t>REPERAGES</t>
  </si>
  <si>
    <t>Relevés et repérages</t>
  </si>
  <si>
    <t xml:space="preserve">Etiquetages </t>
  </si>
  <si>
    <t>Schéma chaufferie</t>
  </si>
  <si>
    <t>Schéma LT</t>
  </si>
  <si>
    <t>Schéma CTA</t>
  </si>
  <si>
    <t>Schéma local Eau</t>
  </si>
  <si>
    <t>Q</t>
  </si>
  <si>
    <t>Le présent bordereau inclue toutes les prestations nécessaires au respect du CCTP Courants Forts &amp; Faibles ainsi qu'au respect de la réglementation.</t>
  </si>
  <si>
    <t>LOGEMENTS</t>
  </si>
  <si>
    <t>NOTA : chiffrer les logements avec une simple DCL au-dessus des lavabos SdB. Merci de chiffrer la fourniture et la pose du luminaire type E en option à la fin du document. Idem pour les attentes électriques pour brasseur d'air.</t>
  </si>
  <si>
    <t>Logement type T2</t>
  </si>
  <si>
    <t>Distribution logement</t>
  </si>
  <si>
    <t>Descentes cloison</t>
  </si>
  <si>
    <t>cis</t>
  </si>
  <si>
    <t>Gaine Technique Logement comprenant également le coffret de communication et support box opérateur</t>
  </si>
  <si>
    <t>Appareillage (compris douille DCL, luminaires SDB et Cuisine, luminaire extérieur, sonnette, ...)</t>
  </si>
  <si>
    <t>Alimentation vers lot CVC (vmc...)</t>
  </si>
  <si>
    <t>Consuel</t>
  </si>
  <si>
    <t>Logement type T3</t>
  </si>
  <si>
    <t>Logement type T4</t>
  </si>
  <si>
    <t>Logement type T5</t>
  </si>
  <si>
    <t>SERVICES GENERAUX LOGEMENT</t>
  </si>
  <si>
    <t>Colonnes Montantes Electrique Logements</t>
  </si>
  <si>
    <t>COUPE-CIRCUIT PRINCIPAL COLLECTIF</t>
  </si>
  <si>
    <t>CA305</t>
  </si>
  <si>
    <t>Borne de coupure et protection 3 directions ECP-3D</t>
  </si>
  <si>
    <t>DISTRIBUTEURS DE COLONNE ET ACCESSOIRES</t>
  </si>
  <si>
    <t>Q903</t>
  </si>
  <si>
    <t>Distributeur de niveau 200A 6 DEP CPF</t>
  </si>
  <si>
    <t>Q881</t>
  </si>
  <si>
    <t>ENS CPF 60A Universel Tri</t>
  </si>
  <si>
    <t>Q880</t>
  </si>
  <si>
    <t>ENS CPF 60A Universel Mono</t>
  </si>
  <si>
    <t>Q907</t>
  </si>
  <si>
    <t>Cornet distributeur 200/400A CPF</t>
  </si>
  <si>
    <t>PROTECTION FUSIBLE</t>
  </si>
  <si>
    <t>P241</t>
  </si>
  <si>
    <t>Cartouche fusible T00 AD 30A</t>
  </si>
  <si>
    <t>P243</t>
  </si>
  <si>
    <t>Cartouche fusible T00 AD 60A</t>
  </si>
  <si>
    <t>P240</t>
  </si>
  <si>
    <t>Neutre couteau taille 00</t>
  </si>
  <si>
    <t>P242</t>
  </si>
  <si>
    <t>Cartouche fusible T00 AD 45A</t>
  </si>
  <si>
    <t>COMPTAGE</t>
  </si>
  <si>
    <t>R111</t>
  </si>
  <si>
    <t>Panneau 250 x 250 compteur TRI + Disjoncteur</t>
  </si>
  <si>
    <t>R112</t>
  </si>
  <si>
    <t>Habillage pour Panneau Triphasé 250 x 250</t>
  </si>
  <si>
    <t>P470</t>
  </si>
  <si>
    <t>Panneau 250 x 250 Linky + Disjoncteur Type A</t>
  </si>
  <si>
    <t>N468</t>
  </si>
  <si>
    <t>Disjoncteur de branchement TETRA 30A sélectif</t>
  </si>
  <si>
    <t>N463</t>
  </si>
  <si>
    <t>Disjoncteur de branchement BIPO 45A sélectif</t>
  </si>
  <si>
    <t>Disjoncteur de branchement BIPO 60A sélectif</t>
  </si>
  <si>
    <t>Disjoncteur de branchement TETRA 45A sélectif</t>
  </si>
  <si>
    <t>N469</t>
  </si>
  <si>
    <t>Disjoncteur de branchement TETRA 60A sélectif</t>
  </si>
  <si>
    <t>P474</t>
  </si>
  <si>
    <t>Habillage Panneau 250 x 250 Linky + Disjoncteur</t>
  </si>
  <si>
    <t>ACCESSOIRES</t>
  </si>
  <si>
    <t>EE010</t>
  </si>
  <si>
    <t>Plaque obturation étages Gaine de Colonne</t>
  </si>
  <si>
    <t>EE002</t>
  </si>
  <si>
    <t>Lot de 10 Plaques identitfication logement</t>
  </si>
  <si>
    <t>EE012</t>
  </si>
  <si>
    <t>Kit condomnation Gaine colonne + serrure</t>
  </si>
  <si>
    <t>N090</t>
  </si>
  <si>
    <t>Ensemble de mise à la terre des émergences</t>
  </si>
  <si>
    <t>Colonne 4x95²</t>
  </si>
  <si>
    <t>Colonne 4x50²</t>
  </si>
  <si>
    <t>Colonne 4x35²</t>
  </si>
  <si>
    <t>DI 4x16²</t>
  </si>
  <si>
    <t>DI 2x10²</t>
  </si>
  <si>
    <t>DI 2x16²</t>
  </si>
  <si>
    <t>DI 2x25²</t>
  </si>
  <si>
    <t>TARIF JAUNE - SERVICES GENERAUX</t>
  </si>
  <si>
    <t>COUPE-CIRCUIT PRINCIPAL</t>
  </si>
  <si>
    <t>Pose du coffret type C400/P200 (hors fourniture)</t>
  </si>
  <si>
    <t>Mise à la terre du coffret C400/P200</t>
  </si>
  <si>
    <t>Liaison coupe circuit vers comptage :</t>
  </si>
  <si>
    <t xml:space="preserve">Câble U1000R2V </t>
  </si>
  <si>
    <t xml:space="preserve">Accessoires de pose et raccordement </t>
  </si>
  <si>
    <t>Tableau de comptage :</t>
  </si>
  <si>
    <t>Fixation et raccordement de l'armoire de comptage</t>
  </si>
  <si>
    <t>Liaison Tableau de comptage vers TGBT:</t>
  </si>
  <si>
    <t>Réseau de terre</t>
  </si>
  <si>
    <t>Réalisation de toutes les liaisons équipotentielles (y compris soudure exothermique type Cadwell)</t>
  </si>
  <si>
    <t>Adjonction piquet de terre</t>
  </si>
  <si>
    <t>Pénétration des locaux par fourreaux</t>
  </si>
  <si>
    <t>so</t>
  </si>
  <si>
    <t>Réalisation de l'interconnexion des terres</t>
  </si>
  <si>
    <t>Colonne de terre</t>
  </si>
  <si>
    <t>BARRETTE DE COUPURE DE TERRE BASSE POUR COLONNE</t>
  </si>
  <si>
    <t>BOÎTIER POUR BARRETTE DE TERRE (SANS BARRETTE)</t>
  </si>
  <si>
    <t>RÉPARTITEUR DE TERRE 5 DÉRIVATIONS POUR COLONNE</t>
  </si>
  <si>
    <t>Tableau Général Basse Tension "TGBT SGX"</t>
  </si>
  <si>
    <t>Fourniture et pose du TGBT SGX</t>
  </si>
  <si>
    <t>Enveloppe, jeu de barre</t>
  </si>
  <si>
    <t>Protection des personnes et du matériel (disj. Magn. Therm. , DDR) de type débrochable</t>
  </si>
  <si>
    <t>Connexions, goulottes, borniers, plastrons</t>
  </si>
  <si>
    <t>Compteurs d'énergies</t>
  </si>
  <si>
    <t>Appareils de mesure, plans à jour sous pochette plastique</t>
  </si>
  <si>
    <t>Alimentation Issus du TGBT SGX</t>
  </si>
  <si>
    <t>Alimentation CTA U1000R02V 5G6mm²</t>
  </si>
  <si>
    <t>Alimentation PAC U1000R02V 5G16mm²</t>
  </si>
  <si>
    <t>Alimentation Ascenseurs U1000R02V 5G6mm²</t>
  </si>
  <si>
    <t>Alimentation Portail sur rue U1000R02V 3G2,5mm²</t>
  </si>
  <si>
    <t>Alimentation VMC Poubelle CR1 3G2,5mm²</t>
  </si>
  <si>
    <t>Alimentation Pompe de relevage EU/EV U1000R02V 3G2,5mm²</t>
  </si>
  <si>
    <t>Alimentation Pompe de relevage EP U1000R02V 3G2,5mm²</t>
  </si>
  <si>
    <t>Alimentation Centrale Interphonie U1000R02V 3G2,5mm²</t>
  </si>
  <si>
    <t>Alimentation Porte d'accès U1000R02V 3G2,5mm²</t>
  </si>
  <si>
    <t>Coffret DTU</t>
  </si>
  <si>
    <t>Fourniture, pose et raccordement d'un Coffret de sécurité Ascenseurs (boîtier DTU)</t>
  </si>
  <si>
    <t>Mise en service et essai</t>
  </si>
  <si>
    <t>Centrale d'Alarme Technique</t>
  </si>
  <si>
    <t>Fourniture, pose et raccordement d'un tableau d'alarme technique 8 zones</t>
  </si>
  <si>
    <t>Réalisation du câblage</t>
  </si>
  <si>
    <t>Distribution</t>
  </si>
  <si>
    <t>Fourreaux Ø16</t>
  </si>
  <si>
    <t>Fourreaux Ø20</t>
  </si>
  <si>
    <t>Fourreaux Ø25</t>
  </si>
  <si>
    <t>Fourreaux Ø32</t>
  </si>
  <si>
    <t>Fourreaux Ø40</t>
  </si>
  <si>
    <t>Fourreaux Ø50</t>
  </si>
  <si>
    <t>Fourreaux Ø63</t>
  </si>
  <si>
    <t>Chemin de câbles Cablofil 200x54
Mise en œuvre, suspensions, accessoires et MALT (réemploi)</t>
  </si>
  <si>
    <t>Chemin de câbles DM dédié concessionnaire 300*60
Mise en œuvre, suspensions, accessoires et MALT (réemploi)</t>
  </si>
  <si>
    <t>Boîtes de dérivation</t>
  </si>
  <si>
    <t>Tube ICT</t>
  </si>
  <si>
    <t>Tube IRO</t>
  </si>
  <si>
    <t>Alimentations Diverses</t>
  </si>
  <si>
    <t>Alimentation en attente des équipements du lot CVC (implantation plans CVC)</t>
  </si>
  <si>
    <t>Alimentation en attente des équipements du lot Plomberie (implantation plans Pb)</t>
  </si>
  <si>
    <t>Alimentation Appareillages U1000R02V 3G2,5mm²</t>
  </si>
  <si>
    <t>Alimentation Luminaires Intérieur U1000R02V 5G1,5mm²</t>
  </si>
  <si>
    <t>Alimentation Luminaires Extérieur U1000R02V 5G1,5mm²</t>
  </si>
  <si>
    <t>Alimentation Luminaires Extérieur Borne U1000R02V 3G10mm²</t>
  </si>
  <si>
    <t>Alimentation Luminaires Extérieur MAT U1000R02V 3G25mm²</t>
  </si>
  <si>
    <t>Alimentation Blocs de Secours Autonome U1000R02V 5G1,5mm²</t>
  </si>
  <si>
    <t>Alimentation Porte motorisée U1000R2V 3G2,5mm²</t>
  </si>
  <si>
    <t>Appareillages "SGX"</t>
  </si>
  <si>
    <t>Détecteur de présence, mouvement et luminosité en applique mural (escaliers, locaux sans faux plafond)</t>
  </si>
  <si>
    <t>Détecteur de présence, mouvement et luminosité faux plafond (hall, circulations,…)</t>
  </si>
  <si>
    <t>Ajout Inter bouton poussoir lumineux pour variation DALI</t>
  </si>
  <si>
    <t>Ajout Inter bouton poussoir étanche lumineux</t>
  </si>
  <si>
    <t>Ajout Interrupteur Etanche</t>
  </si>
  <si>
    <t>Ajout Interrupteur SA</t>
  </si>
  <si>
    <t>Prise de courant 16A 2P+T  (réemploi)</t>
  </si>
  <si>
    <t>Prise de Courant 16A 2P+T Etanche pour locaux techniques,toiture …</t>
  </si>
  <si>
    <t>Prise de courant à clé</t>
  </si>
  <si>
    <t>Eclairage "SGX"</t>
  </si>
  <si>
    <t>Eclairage Intérieur</t>
  </si>
  <si>
    <t>Fourniture, pose et raccordement de Luminaire équipé Type A (réemploi)</t>
  </si>
  <si>
    <t>Fourniture, pose et raccordement de Luminaire équipé Type D (réemploi)</t>
  </si>
  <si>
    <t>Fourniture, pose et raccordement de Luminaire équipé Type x</t>
  </si>
  <si>
    <t>Eclairage Extérieur</t>
  </si>
  <si>
    <t>Fourniture, pose et raccordement de Luminaire équipé Type B</t>
  </si>
  <si>
    <t>Fourniture, pose et raccordement de Luminaire équipé Type C</t>
  </si>
  <si>
    <t>Eclairage de Sécurité</t>
  </si>
  <si>
    <t>Centrale d'état</t>
  </si>
  <si>
    <t>Fourniture, pose et raccordement BAEH d'évacuation SATI Autodiag (réemploi)</t>
  </si>
  <si>
    <t>Fourniture, pose et raccordement BAEH d'évacuation SATI Autodiag DRAPEAU (réemploi)</t>
  </si>
  <si>
    <t>Fourniture, pose et raccordement BAEH d'évacuation SATI Autodiag étanche (réemploi)</t>
  </si>
  <si>
    <t>Fourniture, pose et raccordement BAES Etanche (réemploi)</t>
  </si>
  <si>
    <t>Plaque de signalisation verticale</t>
  </si>
  <si>
    <t>Fourniture et pose des étiquette de signalisation réglementaire</t>
  </si>
  <si>
    <t>Télécommunication Fibre</t>
  </si>
  <si>
    <t>Fibre Optique</t>
  </si>
  <si>
    <t>N240</t>
  </si>
  <si>
    <t>PBO 12 LOGEMENTS 1-2 FO OU 6 LOGEMENTS 4 FO</t>
  </si>
  <si>
    <t>N228</t>
  </si>
  <si>
    <t>DTIO 4 FIBRES OPTIQUES CÂBLÉ DE LONGUEUR 20 MÈTRES</t>
  </si>
  <si>
    <t>N225</t>
  </si>
  <si>
    <t>DTIO 4 FIBRES OPTIQUES CÂBLÉ DE LONGUEUR 30 MÈTRES</t>
  </si>
  <si>
    <t>N243</t>
  </si>
  <si>
    <t>POINT DE RACCO. D'IMMEUBLE ABONNÉ STANDARDISÉ 48FO</t>
  </si>
  <si>
    <t>N241</t>
  </si>
  <si>
    <t>POINT DE RACCO. D'IMMEUBLE ABONNÉ STANDARDISÉ 24FO</t>
  </si>
  <si>
    <t xml:space="preserve">Colonne montante 48FO &amp; dérivation </t>
  </si>
  <si>
    <t>TV Distribution</t>
  </si>
  <si>
    <t>Antennes TNT sur mât</t>
  </si>
  <si>
    <t>Centrale, amplificateur TV et matériel de colonne</t>
  </si>
  <si>
    <t>Station de tête</t>
  </si>
  <si>
    <t>Câble coaxial pour descente d'antenne TV</t>
  </si>
  <si>
    <t>Portier Visiophonie et Contrôle d'Accès (Appel sur platine intérieur)</t>
  </si>
  <si>
    <t>ACCES PORTE PRINCIPALE</t>
  </si>
  <si>
    <t>Platine monbloc encastrée défilement</t>
  </si>
  <si>
    <t>Boitier d'encastrement pour platine vidéo</t>
  </si>
  <si>
    <t>Tête de lecture VIGIK+</t>
  </si>
  <si>
    <t>BP de sortie</t>
  </si>
  <si>
    <t>Alimentations 230Vac/12Vcc - 2,5A</t>
  </si>
  <si>
    <t xml:space="preserve">ACCES HALL BAT A </t>
  </si>
  <si>
    <t xml:space="preserve">Clavier encastré inox </t>
  </si>
  <si>
    <t xml:space="preserve">ACCES LOCAL OM &amp; VELO BAT A </t>
  </si>
  <si>
    <t>Façade inox pour lecteur vigik+</t>
  </si>
  <si>
    <t>VIGIK APPEL ASCENCEUR</t>
  </si>
  <si>
    <t>CENTRALES AUDIO VIDEO BAT A &amp; B</t>
  </si>
  <si>
    <t>Centrale audio</t>
  </si>
  <si>
    <t xml:space="preserve">Centrale vidéo </t>
  </si>
  <si>
    <t>Alimentations 230Vac/12Vcc - 2A</t>
  </si>
  <si>
    <t>VIGIK+ BAT A</t>
  </si>
  <si>
    <t>Centrale de gestion 2 entrées - VIGIK+</t>
  </si>
  <si>
    <t>Carte d'extension 2 entrées pour centrale</t>
  </si>
  <si>
    <t>Module de mise à jour en temps réel</t>
  </si>
  <si>
    <t>nota : cabler les 2 centrales en réseau pour 1 seul boitier gestion temps réel</t>
  </si>
  <si>
    <t>Alimentations 230Vac/12Vcc - 5A</t>
  </si>
  <si>
    <t>MONITEUR LOGEMENT</t>
  </si>
  <si>
    <t xml:space="preserve">Moniteur vidéo Couleur avec boucle magnétique </t>
  </si>
  <si>
    <t>Distributeur vidéo 4 moniteurs</t>
  </si>
  <si>
    <t>BADGES VIGIK+</t>
  </si>
  <si>
    <t>Badge type porte clé RESIDENT</t>
  </si>
  <si>
    <t>Badge type porte clé GESTION</t>
  </si>
  <si>
    <t>Encodeur USB / HF pour badge</t>
  </si>
  <si>
    <t>Carte gestionnaire HEXACTWEB</t>
  </si>
  <si>
    <t>Câblage et raccordement (SYT 8/10éme 5 paires)</t>
  </si>
  <si>
    <t>Mise en service et essais</t>
  </si>
  <si>
    <t>Formation utilisateurs</t>
  </si>
  <si>
    <t>Gestion du désenfumage</t>
  </si>
  <si>
    <t>Tableau de désenfumage TD3000</t>
  </si>
  <si>
    <t>Interface d'Etage IE3000</t>
  </si>
  <si>
    <t>Détecteur Incendie DOFS3000</t>
  </si>
  <si>
    <t>Simple action Désenfumage  rouge BCM3000 + clapet</t>
  </si>
  <si>
    <t>Module de ligne ML12K</t>
  </si>
  <si>
    <t>incl</t>
  </si>
  <si>
    <t>Interface NS Ascenseur INSA3000</t>
  </si>
  <si>
    <t>Câblage et raccordement du bus de communication et ligne de contrôle câble 1 paire 8/10°</t>
  </si>
  <si>
    <t>Câblage et raccordement alimentation 24V et ligne de télécommande volets/tourelle 2x1,5mm²</t>
  </si>
  <si>
    <t>Fourniture, pose et raccordement d'un DAD et de son détecteur, cablage et accessories cis.</t>
  </si>
  <si>
    <t>LOCAUX D'ACTIVITES</t>
  </si>
  <si>
    <t>Locaux d'activités</t>
  </si>
  <si>
    <t>Mesures conservatoires</t>
  </si>
  <si>
    <t>Pose et raccordement du tableau de comptage TARIF BLEU (hors fourniture)</t>
  </si>
  <si>
    <t>Fourniture et pose de l'AGCP et câblage associé</t>
  </si>
  <si>
    <t xml:space="preserve">Fourniture, pose et raccordment DTIO </t>
  </si>
  <si>
    <t>Fourreaux CFO / CFA</t>
  </si>
  <si>
    <t>Colonnes Montantes Electrique Locaux d'activité et branchement</t>
  </si>
  <si>
    <t>Câblage téléreport</t>
  </si>
  <si>
    <t>Pose et raccordement du tableau de comptage TARIF JAUNE (hors fourniture)</t>
  </si>
  <si>
    <t>Fourniture et pose de l'AGCP</t>
  </si>
  <si>
    <t>Fourniture d'un coffret pour DTIO</t>
  </si>
  <si>
    <t>Etudes d'éclairage</t>
  </si>
  <si>
    <t>Mise en œuvre d'un coffret électrique de chantier</t>
  </si>
  <si>
    <t>Mise en œuvre d'un éclairage provisoire de chantier</t>
  </si>
  <si>
    <t>Mise en œuvre d'un extracteur de 1000 m³/h (en cas de soudure de galvanisation)</t>
  </si>
  <si>
    <t>GESTION DE CHANTIER</t>
  </si>
  <si>
    <t>Compte Prorata</t>
  </si>
  <si>
    <t>Protection et sécurité du chantier</t>
  </si>
  <si>
    <t>Nettoyage du chantier</t>
  </si>
  <si>
    <t>BATIMENT B</t>
  </si>
  <si>
    <t>LOT 13 COURANTS FORTS / COURANTS FAIBLES</t>
  </si>
  <si>
    <t>Phase DCE - Indice 0</t>
  </si>
  <si>
    <t>Logement type T1</t>
  </si>
  <si>
    <t>Barrette spécifique local opérateur</t>
  </si>
  <si>
    <t>Barrette de coupure de terre basse pour colonne</t>
  </si>
  <si>
    <t>Boitier pour barrette de terre</t>
  </si>
  <si>
    <t>Répartiteur de terre 5 dérivations</t>
  </si>
  <si>
    <t>Connecteur en cuivre à sertir pour circuit de mise à la terre</t>
  </si>
  <si>
    <t>Ensemble d'accessoires et divers</t>
  </si>
  <si>
    <t>Vérification du réseau de terre</t>
  </si>
  <si>
    <t>Parafoudre</t>
  </si>
  <si>
    <t>TD Batiment B</t>
  </si>
  <si>
    <t xml:space="preserve">Fourniture et pose du Tableau </t>
  </si>
  <si>
    <t>Alimentation Extracteur U1000R02V 5G2.5mm²</t>
  </si>
  <si>
    <t>Incl</t>
  </si>
  <si>
    <t>Chemin de câbles DM dédié concessionnaire 300*100
Mise en œuvre, suspensions, accessoires et MALT (réemploi)</t>
  </si>
  <si>
    <t>Prise de courant 16A 2P+T (réemploi)</t>
  </si>
  <si>
    <t>Fourniture, pose et raccordement des Luminaires Circulation Parking</t>
  </si>
  <si>
    <t>Fourniture, pose et raccordement des Luminaires Cheminement Piéton</t>
  </si>
  <si>
    <t>ACCES HALL BAT B</t>
  </si>
  <si>
    <t>ACCES LOCAL VELO BAT B</t>
  </si>
  <si>
    <t>VIGIK+ BAT B</t>
  </si>
  <si>
    <t xml:space="preserve">Moniteur audio avec boucle magnétique </t>
  </si>
  <si>
    <t xml:space="preserve">Compte Prorata </t>
  </si>
  <si>
    <t>LOT 14 AMENAGEMENTS EXTERIEURS</t>
  </si>
  <si>
    <t>Revêtement de sol en pavé</t>
  </si>
  <si>
    <t>6.7.29 / Note réemploi</t>
  </si>
  <si>
    <t>Réemploi in-situ : Pavé</t>
  </si>
  <si>
    <t>Aménagement du jardin dans la cour et de la courette à rdc</t>
  </si>
  <si>
    <t>Zone stérile : Bande de rejaillissement au droit des façades sur espaces verts</t>
  </si>
  <si>
    <t>6.7.28 / Note réemploi</t>
  </si>
  <si>
    <t>Réemploi in-situ : Paillage bande stérile</t>
  </si>
  <si>
    <t>Apport de terre végétale</t>
  </si>
  <si>
    <t>Géotextile BIO</t>
  </si>
  <si>
    <t>Couvre sol et grimpants</t>
  </si>
  <si>
    <t>Fougères</t>
  </si>
  <si>
    <t>Bruyère</t>
  </si>
  <si>
    <t>Adiantum pedatum</t>
  </si>
  <si>
    <t>Bourrache</t>
  </si>
  <si>
    <t>Vigne vierge</t>
  </si>
  <si>
    <t>Plantations</t>
  </si>
  <si>
    <t>Engrais</t>
  </si>
  <si>
    <t>Entretien et Garantie de reprise</t>
  </si>
  <si>
    <t>Arrosage</t>
  </si>
  <si>
    <t>Bacs pour plantes grimpantes</t>
  </si>
  <si>
    <t>Fontaine</t>
  </si>
  <si>
    <t>Grilles de caniveau SE7</t>
  </si>
  <si>
    <t>200x1500 mm</t>
  </si>
  <si>
    <t>200x1000 mm</t>
  </si>
  <si>
    <t>Eclairage</t>
  </si>
  <si>
    <t>LOT 13</t>
  </si>
  <si>
    <t>Bac de compostage</t>
  </si>
  <si>
    <t>L'entreprise est autorisée à développer sa prestation et ses sous détails de prix dans chaque poste en ajoutant des lignes clairement identifiés avec un remplissage en couleur. (voir règles du RC)</t>
  </si>
  <si>
    <t>L'entreprise vérifiera toutes les quantités et dimensions indiquées sur le bordereau qui sont données à titre indicatif. Il lui appartient de faire tous les changements de quantités selon son propre relevé sur les documents du dossier de consultation et sur site si cela s'avère possible.
Aucune plus-value ne sera accordée en cas d'augmentation des quantités ou des diamètres indiquées, ni en cas de mauvaise interprétation du présent document.
L'entreprise remplira les prix unitaires de toutes les lignes du bordereau, même pour les quantités qu'elle considère nulles.
La présente offre est considérée globale et forfaitaire. Il appartiendra à l'entreprise de se rapporter aux documents de l'appel d'offre pour réaliser son offre et tenir compte de toutes les spécificités des équipements (pose et description).
L'entreprise se doit de répondre sur le présent bordereau. 
L'entreprise est autorisée à développer sa prestation et ses sous détails de prix dans chaque poste en ajoutant des lignes clairement identifiés avec un remplissage en couleur. (voir règles du RC)
Avant de répondre à cet appel d'offre et dans le cas des réhabilitations ou rénovation, l'entreprise réalisera une visite sur place pour appréhender l'opération et ses difficultés.</t>
  </si>
  <si>
    <t>L'entreprise vérifiera toutes les quantités et dimensions indiquées sur le bordereau qui sont données à titre indicatif. Il lui appartient de faire tous les changements de quantités selon son propre relevé sur les documents du dossier de consultation et sur site si cela s'avère possible.
Aucune plus-value ne sera accordée en cas d'augmentation des quantités ou des diamètres indiquées, ni en cas de mauvaise interprétation du présent document.
L'entreprise remplira les prix unitaires de toutes les lignes du bordereau, même pour les quantités qu'elle considère nulles.
La présente offre est considérée globale et forfaitaire. Il appartiendra à l'entreprise de se rapporter aux documents de l'appel d'offre pour réaliser son offre et tenir compte de toutes les spécificités des équipements (pose et description).
L'entreprise est autorisée à développer sa prestation et ses sous détails de prix dans chaque poste en ajoutant des lignes clairement identifiés avec un remplissage en couleur. (voir règles du RC)
Avant de répondre à cet appel d'offre et dans le cas des réhabilitations ou rénovation, l'entreprise réalisera une visite sur place pour appréhender l'opération et ses difficultés.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</si>
</sst>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5" formatCode="#,##0\ &quot;€&quot;;\-#,##0\ &quot;€&quot;"/>
    <numFmt numFmtId="44" formatCode="_-* #,##0.00\ &quot;€&quot;_-;\-* #,##0.00\ &quot;€&quot;_-;_-* &quot;-&quot;??\ &quot;€&quot;_-;_-@_-"/>
    <numFmt numFmtId="164" formatCode="#,##0.00\ &quot;€&quot;"/>
    <numFmt numFmtId="165" formatCode="_-* #,##0.00\ _€_-;\-* #,##0.00\ _€_-;_-* &quot;-&quot;??\ _€_-;_-@_-"/>
    <numFmt numFmtId="166" formatCode="_-* #,##0.00\ _F_-;\-* #,##0.00\ _F_-;_-* &quot;-&quot;??\ _F_-;_-@_-"/>
    <numFmt numFmtId="167" formatCode="_-* #,##0.00\ [$€-1]_-;\-* #,##0.00\ [$€-1]_-;_-* &quot;-&quot;??\ [$€-1]_-"/>
    <numFmt numFmtId="168" formatCode="#,##0&quot; &quot;"/>
    <numFmt numFmtId="169" formatCode="&quot;- &quot;@"/>
    <numFmt numFmtId="170" formatCode="_-* #,##0.00\ &quot;F&quot;_-;\-* #,##0.00\ &quot;F&quot;_-;_-* &quot;-&quot;??\ &quot;F&quot;_-;_-@_-"/>
    <numFmt numFmtId="171" formatCode="#,##0.00_-_ ;#,##0.00\-_ ;&quot;&quot;"/>
    <numFmt numFmtId="172" formatCode="#,##0_,_0_0_0_-_ ;#,##0\-_,_0_0_0_ ;&quot;&quot;"/>
    <numFmt numFmtId="173" formatCode="#,##0.0_0_0_-_ ;#,##0.0\-_0_0_ ;&quot;&quot;"/>
    <numFmt numFmtId="174" formatCode="#,##0.00_0_-_ ;#,##0.00\-_0_ ;&quot;&quot;"/>
    <numFmt numFmtId="175" formatCode="#,##0.000_-_ ;#,##0.000\-_ ;&quot;&quot;"/>
    <numFmt numFmtId="176" formatCode="_-&quot;F&quot;\ * #,##0.00_-;_-&quot;F&quot;\ * #,##0.00\-;_-&quot;F&quot;\ * &quot;-&quot;??_-;_-@_-"/>
    <numFmt numFmtId="177" formatCode="#,##0.00&quot; F&quot;;\-#,##0.00&quot; F&quot;"/>
    <numFmt numFmtId="178" formatCode="0.0000"/>
    <numFmt numFmtId="179" formatCode="_-* #,##0.00\ [$€-40C]_-;\-* #,##0.00\ [$€-40C]_-;_-* &quot;-&quot;??\ [$€-40C]_-;_-@_-"/>
    <numFmt numFmtId="180" formatCode="_-* #,##0.00\ [$€]_-;\-* #,##0.00\ [$€]_-;_-* &quot;-&quot;??\ [$€]_-;_-@_-"/>
    <numFmt numFmtId="181" formatCode="0.00&quot; h&quot;"/>
    <numFmt numFmtId="182" formatCode="General&quot; Travaux en base&quot;"/>
    <numFmt numFmtId="183" formatCode="&quot;Remise &quot;0%"/>
    <numFmt numFmtId="184" formatCode="&quot;TVA &quot;0%"/>
    <numFmt numFmtId="185" formatCode="0.0%"/>
  </numFmts>
  <fonts count="99">
    <font>
      <sz val="11"/>
      <color theme="1"/>
      <name val="Calibri"/>
      <family val="2"/>
      <scheme val="minor"/>
    </font>
    <font>
      <sz val="10"/>
      <color theme="1"/>
      <name val="Franklin Gothic Medium"/>
      <family val="2"/>
    </font>
    <font>
      <sz val="10"/>
      <color theme="1"/>
      <name val="Franklin Gothic Medium"/>
      <family val="2"/>
    </font>
    <font>
      <sz val="11"/>
      <color theme="1"/>
      <name val="Franklin Gothic Medium"/>
      <family val="2"/>
    </font>
    <font>
      <b/>
      <sz val="11"/>
      <color theme="1"/>
      <name val="Franklin Gothic Medium"/>
      <family val="2"/>
    </font>
    <font>
      <sz val="10"/>
      <name val="Franklin Gothic Medium"/>
      <family val="2"/>
    </font>
    <font>
      <i/>
      <sz val="10"/>
      <color theme="1"/>
      <name val="Franklin Gothic Medium"/>
      <family val="2"/>
    </font>
    <font>
      <b/>
      <sz val="12"/>
      <color theme="1"/>
      <name val="Franklin Gothic Medium"/>
      <family val="2"/>
    </font>
    <font>
      <b/>
      <sz val="12"/>
      <name val="Franklin Gothic Medium"/>
      <family val="2"/>
    </font>
    <font>
      <sz val="12"/>
      <color theme="1"/>
      <name val="Franklin Gothic Medium"/>
      <family val="2"/>
    </font>
    <font>
      <b/>
      <sz val="14"/>
      <color theme="1"/>
      <name val="Franklin Gothic Medium"/>
      <family val="2"/>
    </font>
    <font>
      <b/>
      <sz val="18"/>
      <color theme="1"/>
      <name val="Franklin Gothic Medium"/>
      <family val="2"/>
    </font>
    <font>
      <sz val="12"/>
      <name val="Arial"/>
      <family val="2"/>
    </font>
    <font>
      <b/>
      <sz val="11"/>
      <color indexed="8"/>
      <name val="Franklin Gothic Medium"/>
      <family val="2"/>
    </font>
    <font>
      <b/>
      <sz val="12"/>
      <color rgb="FFFF0000"/>
      <name val="Franklin Gothic Medium"/>
      <family val="2"/>
    </font>
    <font>
      <sz val="8"/>
      <name val="Calibri"/>
      <family val="2"/>
      <scheme val="minor"/>
    </font>
    <font>
      <sz val="9"/>
      <name val="Geneva"/>
    </font>
    <font>
      <b/>
      <sz val="10"/>
      <color theme="1"/>
      <name val="Franklin Gothic Medium"/>
      <family val="2"/>
    </font>
    <font>
      <u/>
      <sz val="11"/>
      <color theme="10"/>
      <name val="Calibri"/>
      <family val="2"/>
      <scheme val="minor"/>
    </font>
    <font>
      <sz val="10"/>
      <color theme="1"/>
      <name val="Symbol"/>
      <family val="1"/>
      <charset val="2"/>
    </font>
    <font>
      <b/>
      <sz val="14"/>
      <name val="Franklin Gothic Medium"/>
      <family val="2"/>
    </font>
    <font>
      <b/>
      <sz val="18"/>
      <name val="Franklin Gothic Medium"/>
      <family val="2"/>
    </font>
    <font>
      <b/>
      <sz val="10"/>
      <name val="Franklin Gothic Medium"/>
      <family val="2"/>
    </font>
    <font>
      <b/>
      <sz val="11"/>
      <color rgb="FFFF5050"/>
      <name val="Franklin Gothic Medium"/>
      <family val="2"/>
    </font>
    <font>
      <sz val="11"/>
      <color rgb="FFFF0000"/>
      <name val="Franklin Gothic Medium"/>
      <family val="2"/>
    </font>
    <font>
      <sz val="11"/>
      <name val="Franklin Gothic Medium"/>
      <family val="2"/>
    </font>
    <font>
      <sz val="10"/>
      <color theme="1"/>
      <name val="Times New Roman"/>
      <family val="1"/>
    </font>
    <font>
      <b/>
      <sz val="11"/>
      <name val="Franklin Gothic Medium"/>
      <family val="2"/>
    </font>
    <font>
      <b/>
      <sz val="8"/>
      <name val="Franklin Gothic Medium"/>
      <family val="2"/>
    </font>
    <font>
      <b/>
      <sz val="10"/>
      <color theme="1"/>
      <name val="Times New Roman"/>
      <family val="1"/>
    </font>
    <font>
      <sz val="10"/>
      <name val="Arial"/>
      <family val="2"/>
    </font>
    <font>
      <b/>
      <sz val="12"/>
      <name val="Arial"/>
      <family val="2"/>
    </font>
    <font>
      <b/>
      <sz val="18"/>
      <name val="Arial"/>
      <family val="2"/>
    </font>
    <font>
      <b/>
      <sz val="11"/>
      <name val="Arial"/>
      <family val="2"/>
    </font>
    <font>
      <u/>
      <sz val="10"/>
      <color theme="10"/>
      <name val="Calibri"/>
      <family val="2"/>
      <scheme val="minor"/>
    </font>
    <font>
      <b/>
      <sz val="20"/>
      <color theme="1"/>
      <name val="Franklin Gothic Medium"/>
      <family val="2"/>
    </font>
    <font>
      <sz val="11"/>
      <color theme="1"/>
      <name val="Calibri"/>
      <family val="2"/>
      <scheme val="minor"/>
    </font>
    <font>
      <b/>
      <sz val="12"/>
      <color theme="1"/>
      <name val="Arial"/>
      <family val="2"/>
    </font>
    <font>
      <b/>
      <sz val="10"/>
      <name val="Arial"/>
      <family val="2"/>
    </font>
    <font>
      <b/>
      <sz val="9"/>
      <name val="Arial"/>
      <family val="2"/>
    </font>
    <font>
      <sz val="9"/>
      <name val="Arial"/>
      <family val="2"/>
    </font>
    <font>
      <sz val="8"/>
      <name val="Arial"/>
      <family val="2"/>
    </font>
    <font>
      <b/>
      <i/>
      <sz val="9"/>
      <name val="Arial"/>
      <family val="2"/>
    </font>
    <font>
      <b/>
      <i/>
      <u/>
      <sz val="16"/>
      <color indexed="24"/>
      <name val="Arial"/>
      <family val="2"/>
    </font>
    <font>
      <sz val="9"/>
      <name val="Monaco"/>
    </font>
    <font>
      <b/>
      <sz val="9"/>
      <name val="Monaco"/>
    </font>
    <font>
      <sz val="10"/>
      <name val="MS Sans Serif"/>
      <family val="2"/>
    </font>
    <font>
      <b/>
      <sz val="8"/>
      <name val="Arial"/>
      <family val="2"/>
    </font>
    <font>
      <sz val="10"/>
      <name val="Helv"/>
    </font>
    <font>
      <b/>
      <sz val="10"/>
      <name val="Century Gothic"/>
      <family val="2"/>
    </font>
    <font>
      <sz val="8"/>
      <name val="Century Gothic"/>
      <family val="2"/>
    </font>
    <font>
      <b/>
      <sz val="11"/>
      <name val="Century Gothic"/>
      <family val="2"/>
    </font>
    <font>
      <b/>
      <sz val="8"/>
      <name val="Century Gothic"/>
      <family val="2"/>
    </font>
    <font>
      <b/>
      <sz val="12"/>
      <name val="Century Gothic"/>
      <family val="2"/>
    </font>
    <font>
      <sz val="6"/>
      <name val="Century Gothic"/>
      <family val="2"/>
    </font>
    <font>
      <b/>
      <sz val="9"/>
      <name val="Century Gothic"/>
      <family val="2"/>
    </font>
    <font>
      <sz val="10"/>
      <name val="Univers Condensed"/>
      <family val="2"/>
    </font>
    <font>
      <sz val="10"/>
      <name val="Century Gothic"/>
      <family val="2"/>
    </font>
    <font>
      <sz val="10"/>
      <name val="Verdana"/>
      <family val="2"/>
    </font>
    <font>
      <b/>
      <sz val="10"/>
      <name val="Geneva"/>
      <family val="2"/>
    </font>
    <font>
      <sz val="10"/>
      <name val="Garamond"/>
      <family val="1"/>
    </font>
    <font>
      <b/>
      <sz val="14"/>
      <name val="Garamond"/>
      <family val="1"/>
    </font>
    <font>
      <b/>
      <sz val="12"/>
      <color indexed="8"/>
      <name val="Garamond"/>
      <family val="1"/>
    </font>
    <font>
      <sz val="10"/>
      <color indexed="8"/>
      <name val="Helv"/>
    </font>
    <font>
      <sz val="10"/>
      <name val="Tahoma"/>
      <family val="2"/>
    </font>
    <font>
      <b/>
      <sz val="10"/>
      <name val="MS Sans Serif"/>
      <family val="2"/>
    </font>
    <font>
      <sz val="8"/>
      <name val="Tahoma"/>
      <family val="2"/>
    </font>
    <font>
      <u/>
      <sz val="12"/>
      <color theme="10"/>
      <name val="Calibri"/>
      <family val="2"/>
      <scheme val="minor"/>
    </font>
    <font>
      <sz val="10"/>
      <color theme="1"/>
      <name val="Century Gothic"/>
      <family val="2"/>
    </font>
    <font>
      <sz val="10"/>
      <color theme="1"/>
      <name val="Courier New"/>
      <family val="3"/>
    </font>
    <font>
      <i/>
      <u/>
      <sz val="10"/>
      <color theme="1"/>
      <name val="Franklin Gothic Medium"/>
      <family val="2"/>
    </font>
    <font>
      <b/>
      <i/>
      <u/>
      <sz val="10"/>
      <color theme="1"/>
      <name val="Franklin Gothic Medium"/>
      <family val="2"/>
    </font>
    <font>
      <sz val="10"/>
      <color rgb="FF000000"/>
      <name val="Symbol"/>
      <family val="1"/>
      <charset val="2"/>
    </font>
    <font>
      <b/>
      <sz val="10"/>
      <color rgb="FFFFFFFF"/>
      <name val="Quattrocento Sans"/>
    </font>
    <font>
      <sz val="10"/>
      <color theme="1"/>
      <name val="Arial"/>
      <family val="2"/>
    </font>
    <font>
      <sz val="9"/>
      <color theme="1"/>
      <name val="Quattrocento Sans"/>
    </font>
    <font>
      <sz val="10"/>
      <color theme="1"/>
      <name val="Quattrocento Sans"/>
    </font>
    <font>
      <sz val="9"/>
      <color rgb="FF000000"/>
      <name val="Quattrocento Sans"/>
    </font>
    <font>
      <sz val="9"/>
      <color rgb="FF999999"/>
      <name val="Quattrocento Sans"/>
    </font>
    <font>
      <sz val="10"/>
      <color rgb="FF999999"/>
      <name val="Quattrocento Sans"/>
    </font>
    <font>
      <i/>
      <sz val="9"/>
      <color rgb="FF999999"/>
      <name val="Quattrocento Sans"/>
    </font>
    <font>
      <i/>
      <sz val="10"/>
      <color rgb="FF999999"/>
      <name val="Quattrocento Sans"/>
    </font>
    <font>
      <sz val="10"/>
      <color rgb="FF000000"/>
      <name val="Quattrocento Sans"/>
    </font>
    <font>
      <b/>
      <sz val="10"/>
      <color theme="1"/>
      <name val="Arial"/>
      <family val="2"/>
    </font>
    <font>
      <sz val="9"/>
      <name val="Century Gothic"/>
      <family val="2"/>
    </font>
    <font>
      <b/>
      <sz val="14"/>
      <name val="Century Gothic"/>
      <family val="2"/>
    </font>
    <font>
      <sz val="12"/>
      <name val="Century Gothic"/>
      <family val="2"/>
    </font>
    <font>
      <sz val="9"/>
      <color indexed="12"/>
      <name val="Century Gothic"/>
      <family val="2"/>
    </font>
    <font>
      <b/>
      <sz val="10"/>
      <color indexed="12"/>
      <name val="Century Gothic"/>
      <family val="2"/>
    </font>
    <font>
      <b/>
      <sz val="9"/>
      <color indexed="12"/>
      <name val="Century Gothic"/>
      <family val="2"/>
    </font>
    <font>
      <u/>
      <sz val="9"/>
      <name val="Century Gothic"/>
      <family val="2"/>
    </font>
    <font>
      <sz val="10"/>
      <color indexed="12"/>
      <name val="Century Gothic"/>
      <family val="2"/>
    </font>
    <font>
      <b/>
      <i/>
      <sz val="9"/>
      <name val="Century Gothic"/>
      <family val="2"/>
    </font>
    <font>
      <b/>
      <i/>
      <sz val="9"/>
      <color indexed="12"/>
      <name val="Century Gothic"/>
      <family val="2"/>
    </font>
    <font>
      <b/>
      <u/>
      <sz val="9"/>
      <name val="Century Gothic"/>
      <family val="2"/>
    </font>
    <font>
      <sz val="9"/>
      <name val="Verdana"/>
      <family val="2"/>
    </font>
    <font>
      <sz val="9"/>
      <color indexed="8"/>
      <name val="Century Gothic"/>
      <family val="2"/>
    </font>
    <font>
      <u/>
      <sz val="9"/>
      <color indexed="8"/>
      <name val="Century Gothic"/>
      <family val="2"/>
    </font>
    <font>
      <i/>
      <sz val="9"/>
      <name val="Century Gothic"/>
      <family val="2"/>
    </font>
  </fonts>
  <fills count="10">
    <fill>
      <patternFill patternType="none"/>
    </fill>
    <fill>
      <patternFill patternType="gray125"/>
    </fill>
    <fill>
      <patternFill patternType="solid">
        <fgColor rgb="FFFFCCFF"/>
        <bgColor indexed="64"/>
      </patternFill>
    </fill>
    <fill>
      <patternFill patternType="solid">
        <fgColor indexed="9"/>
        <bgColor indexed="64"/>
      </patternFill>
    </fill>
    <fill>
      <patternFill patternType="solid">
        <fgColor indexed="22"/>
        <bgColor indexed="64"/>
      </patternFill>
    </fill>
    <fill>
      <patternFill patternType="solid">
        <fgColor rgb="FF6D9EEB"/>
        <bgColor indexed="64"/>
      </patternFill>
    </fill>
    <fill>
      <patternFill patternType="solid">
        <fgColor theme="3" tint="0.59999389629810485"/>
        <bgColor indexed="64"/>
      </patternFill>
    </fill>
    <fill>
      <patternFill patternType="solid">
        <fgColor rgb="FFFFFF00"/>
        <bgColor indexed="64"/>
      </patternFill>
    </fill>
    <fill>
      <patternFill patternType="solid">
        <fgColor theme="0" tint="-0.14999847407452621"/>
        <bgColor indexed="64"/>
      </patternFill>
    </fill>
    <fill>
      <patternFill patternType="solid">
        <fgColor theme="9" tint="0.39997558519241921"/>
        <bgColor indexed="64"/>
      </patternFill>
    </fill>
  </fills>
  <borders count="123">
    <border>
      <left/>
      <right/>
      <top/>
      <bottom/>
      <diagonal/>
    </border>
    <border>
      <left style="double">
        <color indexed="64"/>
      </left>
      <right/>
      <top/>
      <bottom style="double">
        <color indexed="64"/>
      </bottom>
      <diagonal/>
    </border>
    <border>
      <left/>
      <right/>
      <top/>
      <bottom style="double">
        <color indexed="64"/>
      </bottom>
      <diagonal/>
    </border>
    <border>
      <left style="double">
        <color indexed="64"/>
      </left>
      <right/>
      <top style="double">
        <color indexed="64"/>
      </top>
      <bottom style="double">
        <color indexed="64"/>
      </bottom>
      <diagonal/>
    </border>
    <border>
      <left/>
      <right/>
      <top style="double">
        <color indexed="64"/>
      </top>
      <bottom style="double">
        <color indexed="64"/>
      </bottom>
      <diagonal/>
    </border>
    <border>
      <left style="thin">
        <color indexed="64"/>
      </left>
      <right style="thin">
        <color indexed="64"/>
      </right>
      <top style="double">
        <color indexed="64"/>
      </top>
      <bottom style="double">
        <color indexed="64"/>
      </bottom>
      <diagonal/>
    </border>
    <border>
      <left style="thin">
        <color indexed="64"/>
      </left>
      <right style="double">
        <color indexed="64"/>
      </right>
      <top style="double">
        <color indexed="64"/>
      </top>
      <bottom style="double">
        <color indexed="64"/>
      </bottom>
      <diagonal/>
    </border>
    <border>
      <left style="thin">
        <color indexed="64"/>
      </left>
      <right style="thin">
        <color indexed="64"/>
      </right>
      <top/>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style="hair">
        <color indexed="64"/>
      </top>
      <bottom style="hair">
        <color indexed="64"/>
      </bottom>
      <diagonal/>
    </border>
    <border>
      <left style="thin">
        <color indexed="64"/>
      </left>
      <right style="thin">
        <color indexed="64"/>
      </right>
      <top style="hair">
        <color indexed="64"/>
      </top>
      <bottom style="double">
        <color indexed="64"/>
      </bottom>
      <diagonal/>
    </border>
    <border>
      <left style="thin">
        <color indexed="64"/>
      </left>
      <right style="double">
        <color indexed="64"/>
      </right>
      <top style="hair">
        <color indexed="64"/>
      </top>
      <bottom style="double">
        <color indexed="64"/>
      </bottom>
      <diagonal/>
    </border>
    <border>
      <left/>
      <right style="double">
        <color auto="1"/>
      </right>
      <top style="double">
        <color auto="1"/>
      </top>
      <bottom style="double">
        <color auto="1"/>
      </bottom>
      <diagonal/>
    </border>
    <border>
      <left/>
      <right/>
      <top/>
      <bottom style="hair">
        <color auto="1"/>
      </bottom>
      <diagonal/>
    </border>
    <border>
      <left style="thin">
        <color indexed="64"/>
      </left>
      <right style="double">
        <color indexed="64"/>
      </right>
      <top/>
      <bottom style="hair">
        <color indexed="64"/>
      </bottom>
      <diagonal/>
    </border>
    <border>
      <left style="double">
        <color indexed="64"/>
      </left>
      <right/>
      <top/>
      <bottom style="hair">
        <color indexed="64"/>
      </bottom>
      <diagonal/>
    </border>
    <border>
      <left style="thin">
        <color indexed="64"/>
      </left>
      <right style="thin">
        <color indexed="64"/>
      </right>
      <top/>
      <bottom style="hair">
        <color indexed="64"/>
      </bottom>
      <diagonal/>
    </border>
    <border>
      <left style="double">
        <color indexed="64"/>
      </left>
      <right style="thin">
        <color auto="1"/>
      </right>
      <top/>
      <bottom style="medium">
        <color indexed="64"/>
      </bottom>
      <diagonal/>
    </border>
    <border>
      <left/>
      <right/>
      <top/>
      <bottom style="medium">
        <color indexed="64"/>
      </bottom>
      <diagonal/>
    </border>
    <border>
      <left style="thin">
        <color indexed="64"/>
      </left>
      <right/>
      <top/>
      <bottom style="medium">
        <color indexed="64"/>
      </bottom>
      <diagonal/>
    </border>
    <border>
      <left/>
      <right style="double">
        <color indexed="64"/>
      </right>
      <top/>
      <bottom style="medium">
        <color indexed="64"/>
      </bottom>
      <diagonal/>
    </border>
    <border>
      <left style="double">
        <color indexed="64"/>
      </left>
      <right style="thin">
        <color auto="1"/>
      </right>
      <top style="hair">
        <color auto="1"/>
      </top>
      <bottom style="hair">
        <color auto="1"/>
      </bottom>
      <diagonal/>
    </border>
    <border>
      <left/>
      <right style="double">
        <color indexed="64"/>
      </right>
      <top style="hair">
        <color indexed="64"/>
      </top>
      <bottom style="hair">
        <color indexed="64"/>
      </bottom>
      <diagonal/>
    </border>
    <border>
      <left style="thin">
        <color indexed="64"/>
      </left>
      <right/>
      <top style="hair">
        <color auto="1"/>
      </top>
      <bottom style="hair">
        <color indexed="64"/>
      </bottom>
      <diagonal/>
    </border>
    <border>
      <left/>
      <right/>
      <top style="hair">
        <color auto="1"/>
      </top>
      <bottom style="hair">
        <color auto="1"/>
      </bottom>
      <diagonal/>
    </border>
    <border>
      <left style="double">
        <color indexed="64"/>
      </left>
      <right style="thin">
        <color auto="1"/>
      </right>
      <top style="hair">
        <color auto="1"/>
      </top>
      <bottom style="medium">
        <color indexed="64"/>
      </bottom>
      <diagonal/>
    </border>
    <border>
      <left/>
      <right/>
      <top style="hair">
        <color auto="1"/>
      </top>
      <bottom style="medium">
        <color indexed="64"/>
      </bottom>
      <diagonal/>
    </border>
    <border>
      <left style="thin">
        <color indexed="64"/>
      </left>
      <right/>
      <top style="hair">
        <color auto="1"/>
      </top>
      <bottom style="medium">
        <color indexed="64"/>
      </bottom>
      <diagonal/>
    </border>
    <border>
      <left/>
      <right style="double">
        <color indexed="64"/>
      </right>
      <top style="hair">
        <color auto="1"/>
      </top>
      <bottom style="medium">
        <color indexed="64"/>
      </bottom>
      <diagonal/>
    </border>
    <border>
      <left style="thin">
        <color indexed="64"/>
      </left>
      <right/>
      <top/>
      <bottom style="double">
        <color indexed="64"/>
      </bottom>
      <diagonal/>
    </border>
    <border>
      <left/>
      <right style="double">
        <color indexed="64"/>
      </right>
      <top/>
      <bottom style="double">
        <color indexed="64"/>
      </bottom>
      <diagonal/>
    </border>
    <border>
      <left/>
      <right/>
      <top style="double">
        <color auto="1"/>
      </top>
      <bottom style="thin">
        <color auto="1"/>
      </bottom>
      <diagonal/>
    </border>
    <border>
      <left/>
      <right style="double">
        <color auto="1"/>
      </right>
      <top style="double">
        <color auto="1"/>
      </top>
      <bottom style="thin">
        <color auto="1"/>
      </bottom>
      <diagonal/>
    </border>
    <border>
      <left style="double">
        <color indexed="64"/>
      </left>
      <right/>
      <top style="hair">
        <color indexed="64"/>
      </top>
      <bottom style="hair">
        <color indexed="64"/>
      </bottom>
      <diagonal/>
    </border>
    <border>
      <left style="double">
        <color indexed="64"/>
      </left>
      <right/>
      <top style="hair">
        <color indexed="64"/>
      </top>
      <bottom style="double">
        <color indexed="64"/>
      </bottom>
      <diagonal/>
    </border>
    <border>
      <left/>
      <right/>
      <top style="hair">
        <color indexed="64"/>
      </top>
      <bottom style="double">
        <color indexed="64"/>
      </bottom>
      <diagonal/>
    </border>
    <border>
      <left style="thin">
        <color indexed="64"/>
      </left>
      <right style="thin">
        <color indexed="64"/>
      </right>
      <top style="hair">
        <color indexed="64"/>
      </top>
      <bottom style="hair">
        <color indexed="64"/>
      </bottom>
      <diagonal/>
    </border>
    <border>
      <left style="thin">
        <color indexed="64"/>
      </left>
      <right/>
      <top style="thin">
        <color indexed="64"/>
      </top>
      <bottom style="thin">
        <color indexed="64"/>
      </bottom>
      <diagonal/>
    </border>
    <border>
      <left style="double">
        <color indexed="64"/>
      </left>
      <right style="thin">
        <color indexed="64"/>
      </right>
      <top style="thin">
        <color indexed="64"/>
      </top>
      <bottom style="thin">
        <color indexed="64"/>
      </bottom>
      <diagonal/>
    </border>
    <border>
      <left/>
      <right style="double">
        <color indexed="64"/>
      </right>
      <top style="thin">
        <color indexed="64"/>
      </top>
      <bottom style="thin">
        <color indexed="64"/>
      </bottom>
      <diagonal/>
    </border>
    <border>
      <left/>
      <right/>
      <top style="thin">
        <color indexed="64"/>
      </top>
      <bottom style="double">
        <color indexed="64"/>
      </bottom>
      <diagonal/>
    </border>
    <border>
      <left/>
      <right style="double">
        <color indexed="64"/>
      </right>
      <top style="thin">
        <color indexed="64"/>
      </top>
      <bottom style="double">
        <color indexed="64"/>
      </bottom>
      <diagonal/>
    </border>
    <border>
      <left style="double">
        <color auto="1"/>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thin">
        <color auto="1"/>
      </left>
      <right/>
      <top style="double">
        <color auto="1"/>
      </top>
      <bottom style="thin">
        <color auto="1"/>
      </bottom>
      <diagonal/>
    </border>
    <border>
      <left style="double">
        <color auto="1"/>
      </left>
      <right style="thin">
        <color auto="1"/>
      </right>
      <top style="thin">
        <color auto="1"/>
      </top>
      <bottom style="double">
        <color auto="1"/>
      </bottom>
      <diagonal/>
    </border>
    <border>
      <left style="thin">
        <color auto="1"/>
      </left>
      <right style="thin">
        <color auto="1"/>
      </right>
      <top style="thin">
        <color auto="1"/>
      </top>
      <bottom style="double">
        <color auto="1"/>
      </bottom>
      <diagonal/>
    </border>
    <border>
      <left style="thin">
        <color auto="1"/>
      </left>
      <right/>
      <top style="thin">
        <color auto="1"/>
      </top>
      <bottom style="double">
        <color auto="1"/>
      </bottom>
      <diagonal/>
    </border>
    <border>
      <left/>
      <right style="thin">
        <color auto="1"/>
      </right>
      <top style="double">
        <color auto="1"/>
      </top>
      <bottom style="double">
        <color auto="1"/>
      </bottom>
      <diagonal/>
    </border>
    <border>
      <left style="double">
        <color indexed="64"/>
      </left>
      <right/>
      <top style="double">
        <color auto="1"/>
      </top>
      <bottom style="hair">
        <color indexed="64"/>
      </bottom>
      <diagonal/>
    </border>
    <border>
      <left/>
      <right/>
      <top style="double">
        <color auto="1"/>
      </top>
      <bottom style="hair">
        <color indexed="64"/>
      </bottom>
      <diagonal/>
    </border>
    <border>
      <left style="thin">
        <color indexed="64"/>
      </left>
      <right style="thin">
        <color indexed="64"/>
      </right>
      <top style="double">
        <color auto="1"/>
      </top>
      <bottom style="hair">
        <color indexed="64"/>
      </bottom>
      <diagonal/>
    </border>
    <border>
      <left style="thin">
        <color auto="1"/>
      </left>
      <right style="double">
        <color indexed="64"/>
      </right>
      <top style="double">
        <color auto="1"/>
      </top>
      <bottom style="hair">
        <color indexed="64"/>
      </bottom>
      <diagonal/>
    </border>
    <border>
      <left/>
      <right style="thin">
        <color auto="1"/>
      </right>
      <top style="double">
        <color auto="1"/>
      </top>
      <bottom style="thin">
        <color auto="1"/>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thin">
        <color indexed="0"/>
      </left>
      <right style="thin">
        <color indexed="0"/>
      </right>
      <top/>
      <bottom/>
      <diagonal/>
    </border>
    <border>
      <left/>
      <right style="thin">
        <color indexed="64"/>
      </right>
      <top/>
      <bottom style="hair">
        <color indexed="64"/>
      </bottom>
      <diagonal/>
    </border>
    <border>
      <left style="double">
        <color indexed="64"/>
      </left>
      <right/>
      <top/>
      <bottom/>
      <diagonal/>
    </border>
    <border>
      <left style="thin">
        <color indexed="64"/>
      </left>
      <right style="double">
        <color indexed="64"/>
      </right>
      <top/>
      <bottom/>
      <diagonal/>
    </border>
    <border>
      <left style="thick">
        <color indexed="10"/>
      </left>
      <right/>
      <top/>
      <bottom/>
      <diagonal/>
    </border>
    <border>
      <left/>
      <right style="thick">
        <color indexed="10"/>
      </right>
      <top/>
      <bottom/>
      <diagonal/>
    </border>
    <border>
      <left style="thick">
        <color indexed="10"/>
      </left>
      <right style="medium">
        <color indexed="10"/>
      </right>
      <top/>
      <bottom/>
      <diagonal/>
    </border>
    <border>
      <left style="medium">
        <color indexed="10"/>
      </left>
      <right/>
      <top/>
      <bottom/>
      <diagonal/>
    </border>
    <border>
      <left style="medium">
        <color indexed="10"/>
      </left>
      <right style="medium">
        <color indexed="10"/>
      </right>
      <top/>
      <bottom/>
      <diagonal/>
    </border>
    <border>
      <left style="hair">
        <color indexed="64"/>
      </left>
      <right style="hair">
        <color indexed="64"/>
      </right>
      <top/>
      <bottom/>
      <diagonal/>
    </border>
    <border>
      <left style="medium">
        <color indexed="64"/>
      </left>
      <right style="thin">
        <color indexed="64"/>
      </right>
      <top style="thin">
        <color indexed="64"/>
      </top>
      <bottom style="thin">
        <color indexed="64"/>
      </bottom>
      <diagonal/>
    </border>
    <border>
      <left style="thin">
        <color indexed="55"/>
      </left>
      <right style="medium">
        <color indexed="64"/>
      </right>
      <top style="thin">
        <color indexed="55"/>
      </top>
      <bottom style="thin">
        <color indexed="55"/>
      </bottom>
      <diagonal/>
    </border>
    <border>
      <left style="thin">
        <color indexed="64"/>
      </left>
      <right style="thin">
        <color indexed="64"/>
      </right>
      <top/>
      <bottom style="double">
        <color indexed="64"/>
      </bottom>
      <diagonal/>
    </border>
    <border>
      <left style="hair">
        <color indexed="64"/>
      </left>
      <right style="hair">
        <color indexed="64"/>
      </right>
      <top style="medium">
        <color indexed="57"/>
      </top>
      <bottom style="medium">
        <color indexed="57"/>
      </bottom>
      <diagonal/>
    </border>
    <border>
      <left style="thin">
        <color indexed="64"/>
      </left>
      <right style="thin">
        <color indexed="64"/>
      </right>
      <top style="hair">
        <color indexed="64"/>
      </top>
      <bottom/>
      <diagonal/>
    </border>
    <border>
      <left style="thin">
        <color indexed="64"/>
      </left>
      <right style="double">
        <color indexed="64"/>
      </right>
      <top style="hair">
        <color indexed="64"/>
      </top>
      <bottom/>
      <diagonal/>
    </border>
    <border>
      <left style="double">
        <color indexed="64"/>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thick">
        <color rgb="FF000000"/>
      </left>
      <right style="hair">
        <color indexed="64"/>
      </right>
      <top style="hair">
        <color indexed="64"/>
      </top>
      <bottom style="hair">
        <color indexed="64"/>
      </bottom>
      <diagonal/>
    </border>
    <border>
      <left style="hair">
        <color indexed="64"/>
      </left>
      <right/>
      <top style="hair">
        <color indexed="64"/>
      </top>
      <bottom style="hair">
        <color auto="1"/>
      </bottom>
      <diagonal/>
    </border>
    <border>
      <left/>
      <right style="double">
        <color indexed="64"/>
      </right>
      <top/>
      <bottom style="hair">
        <color indexed="64"/>
      </bottom>
      <diagonal/>
    </border>
    <border>
      <left/>
      <right style="medium">
        <color rgb="FFCCCCCC"/>
      </right>
      <top style="medium">
        <color rgb="FFCCCCCC"/>
      </top>
      <bottom style="medium">
        <color rgb="FFCCCCCC"/>
      </bottom>
      <diagonal/>
    </border>
    <border>
      <left/>
      <right style="double">
        <color indexed="64"/>
      </right>
      <top style="hair">
        <color indexed="64"/>
      </top>
      <bottom style="double">
        <color indexed="64"/>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right/>
      <top style="medium">
        <color indexed="64"/>
      </top>
      <bottom/>
      <diagonal/>
    </border>
    <border>
      <left/>
      <right style="medium">
        <color indexed="64"/>
      </right>
      <top/>
      <bottom/>
      <diagonal/>
    </border>
    <border>
      <left style="thin">
        <color indexed="8"/>
      </left>
      <right/>
      <top/>
      <bottom/>
      <diagonal/>
    </border>
    <border>
      <left style="medium">
        <color indexed="64"/>
      </left>
      <right style="thin">
        <color indexed="8"/>
      </right>
      <top/>
      <bottom/>
      <diagonal/>
    </border>
    <border>
      <left style="medium">
        <color indexed="64"/>
      </left>
      <right/>
      <top/>
      <bottom/>
      <diagonal/>
    </border>
    <border>
      <left/>
      <right style="thin">
        <color indexed="64"/>
      </right>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bottom style="medium">
        <color indexed="64"/>
      </bottom>
      <diagonal/>
    </border>
    <border>
      <left style="thin">
        <color indexed="64"/>
      </left>
      <right/>
      <top/>
      <bottom/>
      <diagonal/>
    </border>
    <border>
      <left style="thin">
        <color indexed="64"/>
      </left>
      <right/>
      <top style="medium">
        <color indexed="64"/>
      </top>
      <bottom style="medium">
        <color indexed="64"/>
      </bottom>
      <diagonal/>
    </border>
    <border>
      <left/>
      <right style="thin">
        <color indexed="8"/>
      </right>
      <top/>
      <bottom/>
      <diagonal/>
    </border>
    <border>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right style="thin">
        <color indexed="64"/>
      </right>
      <top/>
      <bottom/>
      <diagonal/>
    </border>
  </borders>
  <cellStyleXfs count="120">
    <xf numFmtId="0" fontId="0" fillId="0" borderId="0"/>
    <xf numFmtId="0" fontId="12" fillId="0" borderId="0"/>
    <xf numFmtId="0" fontId="16" fillId="0" borderId="7"/>
    <xf numFmtId="0" fontId="18" fillId="0" borderId="0" applyNumberFormat="0" applyFill="0" applyBorder="0" applyAlignment="0" applyProtection="0"/>
    <xf numFmtId="44" fontId="30" fillId="0" borderId="0" applyFont="0" applyFill="0" applyBorder="0" applyAlignment="0" applyProtection="0"/>
    <xf numFmtId="0" fontId="30" fillId="0" borderId="0"/>
    <xf numFmtId="0" fontId="33" fillId="0" borderId="57">
      <alignment vertical="center" wrapText="1"/>
    </xf>
    <xf numFmtId="14" fontId="30" fillId="0" borderId="0"/>
    <xf numFmtId="44" fontId="30" fillId="0" borderId="0" applyFont="0" applyFill="0" applyBorder="0" applyAlignment="0" applyProtection="0"/>
    <xf numFmtId="2" fontId="30" fillId="0" borderId="0"/>
    <xf numFmtId="5" fontId="30" fillId="0" borderId="0"/>
    <xf numFmtId="0" fontId="30" fillId="0" borderId="0"/>
    <xf numFmtId="0" fontId="32" fillId="0" borderId="0"/>
    <xf numFmtId="0" fontId="31" fillId="0" borderId="0"/>
    <xf numFmtId="3" fontId="30" fillId="0" borderId="0"/>
    <xf numFmtId="49" fontId="50" fillId="0" borderId="0" applyNumberFormat="0" applyFill="0" applyBorder="0">
      <alignment vertical="top" wrapText="1"/>
    </xf>
    <xf numFmtId="49" fontId="47" fillId="0" borderId="0" applyNumberFormat="0" applyFill="0" applyBorder="0">
      <alignment vertical="top" wrapText="1"/>
    </xf>
    <xf numFmtId="0" fontId="53" fillId="0" borderId="0" applyFill="0" applyBorder="0">
      <alignment vertical="top" wrapText="1"/>
    </xf>
    <xf numFmtId="49" fontId="50" fillId="0" borderId="0" applyFill="0" applyBorder="0">
      <alignment vertical="top" wrapText="1"/>
    </xf>
    <xf numFmtId="49" fontId="54" fillId="0" borderId="0" applyNumberFormat="0" applyFill="0" applyBorder="0">
      <alignment vertical="top"/>
    </xf>
    <xf numFmtId="171" fontId="50" fillId="0" borderId="0" applyFill="0" applyBorder="0"/>
    <xf numFmtId="171" fontId="52" fillId="0" borderId="0" applyFill="0" applyBorder="0"/>
    <xf numFmtId="10" fontId="52" fillId="0" borderId="0" applyFill="0" applyBorder="0"/>
    <xf numFmtId="171" fontId="50" fillId="0" borderId="0" applyFill="0" applyBorder="0">
      <protection locked="0"/>
    </xf>
    <xf numFmtId="172" fontId="50" fillId="0" borderId="0" applyFill="0" applyBorder="0"/>
    <xf numFmtId="173" fontId="50" fillId="0" borderId="0" applyFill="0" applyBorder="0"/>
    <xf numFmtId="174" fontId="50" fillId="0" borderId="0" applyFill="0" applyBorder="0"/>
    <xf numFmtId="175" fontId="50" fillId="0" borderId="0" applyFill="0" applyBorder="0"/>
    <xf numFmtId="49" fontId="50" fillId="0" borderId="0" applyFill="0" applyBorder="0">
      <alignment vertical="top"/>
    </xf>
    <xf numFmtId="49" fontId="41" fillId="0" borderId="0" applyFill="0" applyBorder="0">
      <alignment vertical="top"/>
    </xf>
    <xf numFmtId="0" fontId="51" fillId="0" borderId="0" applyFill="0" applyBorder="0">
      <alignment vertical="top" wrapText="1"/>
    </xf>
    <xf numFmtId="0" fontId="49" fillId="0" borderId="0" applyFill="0" applyBorder="0">
      <alignment vertical="top" wrapText="1"/>
    </xf>
    <xf numFmtId="0" fontId="55" fillId="0" borderId="0" applyFill="0" applyBorder="0">
      <alignment vertical="top" wrapText="1"/>
    </xf>
    <xf numFmtId="0" fontId="52" fillId="0" borderId="0" applyFill="0" applyBorder="0">
      <alignment vertical="top" wrapText="1"/>
    </xf>
    <xf numFmtId="0" fontId="52" fillId="0" borderId="0" applyFill="0" applyBorder="0">
      <alignment vertical="top" wrapText="1"/>
    </xf>
    <xf numFmtId="0" fontId="52" fillId="0" borderId="0" applyFill="0" applyBorder="0">
      <alignment vertical="top" wrapText="1"/>
    </xf>
    <xf numFmtId="0" fontId="52" fillId="0" borderId="0" applyFill="0" applyBorder="0">
      <alignment vertical="top" wrapText="1"/>
    </xf>
    <xf numFmtId="0" fontId="52" fillId="0" borderId="0" applyFill="0" applyBorder="0">
      <alignment vertical="top" wrapText="1"/>
    </xf>
    <xf numFmtId="0" fontId="50" fillId="0" borderId="0" applyNumberFormat="0" applyFill="0" applyBorder="0">
      <alignment horizontal="center"/>
    </xf>
    <xf numFmtId="0" fontId="30" fillId="0" borderId="0"/>
    <xf numFmtId="0" fontId="30" fillId="0" borderId="61"/>
    <xf numFmtId="0" fontId="30" fillId="0" borderId="0"/>
    <xf numFmtId="3" fontId="30" fillId="0" borderId="0" applyBorder="0"/>
    <xf numFmtId="0" fontId="30" fillId="0" borderId="62"/>
    <xf numFmtId="4" fontId="30" fillId="0" borderId="63"/>
    <xf numFmtId="4" fontId="30" fillId="0" borderId="64" applyBorder="0"/>
    <xf numFmtId="2" fontId="30" fillId="0" borderId="65"/>
    <xf numFmtId="2" fontId="30" fillId="0" borderId="64" applyBorder="0"/>
    <xf numFmtId="4" fontId="30" fillId="0" borderId="63"/>
    <xf numFmtId="4" fontId="30" fillId="0" borderId="0" applyBorder="0"/>
    <xf numFmtId="0" fontId="30" fillId="0" borderId="61"/>
    <xf numFmtId="178" fontId="30" fillId="0" borderId="0" applyFont="0"/>
    <xf numFmtId="0" fontId="30" fillId="0" borderId="0"/>
    <xf numFmtId="4" fontId="30" fillId="0" borderId="0"/>
    <xf numFmtId="4" fontId="30" fillId="0" borderId="62"/>
    <xf numFmtId="0" fontId="30" fillId="0" borderId="0"/>
    <xf numFmtId="0" fontId="30" fillId="0" borderId="0" applyFont="0">
      <alignment horizontal="left" vertical="top"/>
    </xf>
    <xf numFmtId="0" fontId="30" fillId="0" borderId="0" applyFont="0">
      <alignment vertical="top" wrapText="1"/>
    </xf>
    <xf numFmtId="0" fontId="30" fillId="0" borderId="0">
      <alignment horizontal="center"/>
    </xf>
    <xf numFmtId="1" fontId="30" fillId="0" borderId="0"/>
    <xf numFmtId="0" fontId="30" fillId="0" borderId="0"/>
    <xf numFmtId="3" fontId="30" fillId="0" borderId="0"/>
    <xf numFmtId="49" fontId="41" fillId="0" borderId="0">
      <alignment vertical="top" wrapText="1"/>
    </xf>
    <xf numFmtId="0" fontId="60" fillId="0" borderId="0">
      <alignment horizontal="left" vertical="top" wrapText="1"/>
      <protection locked="0"/>
    </xf>
    <xf numFmtId="0" fontId="38" fillId="0" borderId="0">
      <alignment wrapText="1"/>
    </xf>
    <xf numFmtId="0" fontId="43" fillId="0" borderId="0" applyNumberFormat="0" applyFill="0" applyBorder="0" applyAlignment="0" applyProtection="0"/>
    <xf numFmtId="167" fontId="30" fillId="0" borderId="0" applyFont="0" applyFill="0" applyBorder="0" applyAlignment="0" applyProtection="0"/>
    <xf numFmtId="0" fontId="30" fillId="0" borderId="0" applyFont="0" applyFill="0" applyBorder="0" applyAlignment="0" applyProtection="0"/>
    <xf numFmtId="0" fontId="67" fillId="0" borderId="0" applyNumberFormat="0" applyFill="0" applyBorder="0" applyAlignment="0" applyProtection="0"/>
    <xf numFmtId="0" fontId="18" fillId="0" borderId="0" applyNumberFormat="0" applyFill="0" applyBorder="0" applyAlignment="0" applyProtection="0"/>
    <xf numFmtId="0" fontId="30" fillId="0" borderId="66">
      <alignment vertical="top" wrapText="1"/>
    </xf>
    <xf numFmtId="40" fontId="46" fillId="0" borderId="0" applyFont="0" applyFill="0" applyBorder="0" applyAlignment="0" applyProtection="0"/>
    <xf numFmtId="165" fontId="30" fillId="0" borderId="0" applyFont="0" applyFill="0" applyBorder="0" applyAlignment="0" applyProtection="0"/>
    <xf numFmtId="165" fontId="30" fillId="0" borderId="0" applyFont="0" applyFill="0" applyBorder="0" applyAlignment="0" applyProtection="0"/>
    <xf numFmtId="165" fontId="57" fillId="0" borderId="0" applyFont="0" applyFill="0" applyBorder="0" applyAlignment="0" applyProtection="0"/>
    <xf numFmtId="166" fontId="30" fillId="0" borderId="0" applyFont="0" applyFill="0" applyBorder="0" applyAlignment="0" applyProtection="0"/>
    <xf numFmtId="44" fontId="36" fillId="0" borderId="0" applyFont="0" applyFill="0" applyBorder="0" applyAlignment="0" applyProtection="0"/>
    <xf numFmtId="44" fontId="30" fillId="0" borderId="0" applyFont="0" applyFill="0" applyBorder="0" applyAlignment="0" applyProtection="0"/>
    <xf numFmtId="176" fontId="30" fillId="0" borderId="0" applyFont="0" applyFill="0" applyBorder="0" applyAlignment="0" applyProtection="0"/>
    <xf numFmtId="170" fontId="30" fillId="0" borderId="0" applyFont="0" applyFill="0" applyBorder="0" applyAlignment="0" applyProtection="0"/>
    <xf numFmtId="168" fontId="44" fillId="0" borderId="7"/>
    <xf numFmtId="0" fontId="39" fillId="0" borderId="0" applyNumberFormat="0" applyFill="0" applyBorder="0" applyAlignment="0" applyProtection="0">
      <alignment vertical="top"/>
    </xf>
    <xf numFmtId="0" fontId="42" fillId="0" borderId="0" applyNumberFormat="0" applyFill="0" applyBorder="0" applyAlignment="0" applyProtection="0"/>
    <xf numFmtId="0" fontId="48" fillId="0" borderId="0"/>
    <xf numFmtId="0" fontId="40" fillId="0" borderId="0"/>
    <xf numFmtId="0" fontId="30" fillId="0" borderId="0"/>
    <xf numFmtId="0" fontId="56" fillId="0" borderId="0"/>
    <xf numFmtId="0" fontId="58" fillId="0" borderId="0"/>
    <xf numFmtId="0" fontId="36" fillId="0" borderId="0"/>
    <xf numFmtId="0" fontId="30" fillId="0" borderId="0"/>
    <xf numFmtId="0" fontId="30" fillId="0" borderId="0"/>
    <xf numFmtId="0" fontId="36" fillId="0" borderId="0"/>
    <xf numFmtId="0" fontId="48" fillId="0" borderId="0"/>
    <xf numFmtId="0" fontId="30" fillId="0" borderId="0"/>
    <xf numFmtId="0" fontId="57" fillId="0" borderId="0"/>
    <xf numFmtId="0" fontId="63" fillId="0" borderId="0" applyNumberFormat="0" applyFill="0" applyBorder="0" applyProtection="0"/>
    <xf numFmtId="0" fontId="30" fillId="0" borderId="0"/>
    <xf numFmtId="0" fontId="64" fillId="0" borderId="0" applyNumberFormat="0" applyFill="0" applyBorder="0" applyProtection="0">
      <alignment horizontal="left" vertical="top"/>
    </xf>
    <xf numFmtId="49" fontId="30" fillId="0" borderId="66">
      <alignment horizontal="center" vertical="top"/>
    </xf>
    <xf numFmtId="0" fontId="59" fillId="0" borderId="0">
      <alignment horizontal="center" vertical="top"/>
    </xf>
    <xf numFmtId="168" fontId="44" fillId="0" borderId="7"/>
    <xf numFmtId="9" fontId="30" fillId="0" borderId="0" applyFont="0" applyFill="0" applyBorder="0" applyAlignment="0" applyProtection="0"/>
    <xf numFmtId="9" fontId="30" fillId="0" borderId="0" applyFont="0" applyFill="0" applyBorder="0" applyAlignment="0" applyProtection="0"/>
    <xf numFmtId="4" fontId="61" fillId="0" borderId="9" applyFont="0" applyFill="0" applyBorder="0" applyAlignment="0" applyProtection="0">
      <alignment horizontal="center" vertical="center" wrapText="1"/>
    </xf>
    <xf numFmtId="49" fontId="47" fillId="0" borderId="67"/>
    <xf numFmtId="169" fontId="41" fillId="0" borderId="0" applyBorder="0">
      <alignment horizontal="left" vertical="center" wrapText="1" indent="3"/>
    </xf>
    <xf numFmtId="49" fontId="38" fillId="0" borderId="0" applyBorder="0">
      <alignment horizontal="left" vertical="center" wrapText="1"/>
    </xf>
    <xf numFmtId="49" fontId="40" fillId="0" borderId="0" applyBorder="0">
      <alignment horizontal="left" vertical="center" wrapText="1"/>
    </xf>
    <xf numFmtId="49" fontId="41" fillId="0" borderId="0" applyBorder="0">
      <alignment horizontal="left" vertical="center" wrapText="1" indent="1"/>
    </xf>
    <xf numFmtId="164" fontId="38" fillId="4" borderId="68">
      <alignment horizontal="right" vertical="center" wrapText="1"/>
    </xf>
    <xf numFmtId="0" fontId="30" fillId="0" borderId="0"/>
    <xf numFmtId="1" fontId="65" fillId="0" borderId="0">
      <alignment vertical="top" wrapText="1"/>
    </xf>
    <xf numFmtId="177" fontId="62" fillId="0" borderId="0">
      <alignment horizontal="right" vertical="top"/>
    </xf>
    <xf numFmtId="168" fontId="45" fillId="0" borderId="69"/>
    <xf numFmtId="4" fontId="31" fillId="0" borderId="70">
      <alignment horizontal="right" vertical="center" wrapText="1"/>
    </xf>
    <xf numFmtId="0" fontId="60" fillId="0" borderId="0">
      <alignment horizontal="center" vertical="top"/>
      <protection locked="0"/>
    </xf>
    <xf numFmtId="44" fontId="36" fillId="0" borderId="0" applyFont="0" applyFill="0" applyBorder="0" applyAlignment="0" applyProtection="0"/>
    <xf numFmtId="44" fontId="30" fillId="0" borderId="0" applyFont="0" applyFill="0" applyBorder="0" applyAlignment="0" applyProtection="0"/>
    <xf numFmtId="180" fontId="30" fillId="0" borderId="0" applyFont="0" applyFill="0" applyBorder="0" applyAlignment="0" applyProtection="0"/>
    <xf numFmtId="0" fontId="30" fillId="0" borderId="0"/>
  </cellStyleXfs>
  <cellXfs count="445">
    <xf numFmtId="0" fontId="0" fillId="0" borderId="0" xfId="0"/>
    <xf numFmtId="0" fontId="3" fillId="0" borderId="0" xfId="0" applyFont="1" applyAlignment="1">
      <alignment vertical="center"/>
    </xf>
    <xf numFmtId="0" fontId="7" fillId="0" borderId="0" xfId="0" applyFont="1" applyAlignment="1">
      <alignment vertical="center"/>
    </xf>
    <xf numFmtId="0" fontId="3" fillId="0" borderId="0" xfId="0" applyFont="1" applyAlignment="1">
      <alignment horizontal="center" vertical="center"/>
    </xf>
    <xf numFmtId="0" fontId="4" fillId="0" borderId="18" xfId="0" applyFont="1" applyBorder="1" applyAlignment="1">
      <alignment horizontal="center" vertical="center"/>
    </xf>
    <xf numFmtId="0" fontId="4" fillId="0" borderId="19" xfId="0" applyFont="1" applyBorder="1" applyAlignment="1">
      <alignment vertical="center"/>
    </xf>
    <xf numFmtId="0" fontId="2" fillId="0" borderId="0" xfId="0" applyFont="1" applyAlignment="1">
      <alignment vertical="center"/>
    </xf>
    <xf numFmtId="164" fontId="7" fillId="0" borderId="0" xfId="0" applyNumberFormat="1" applyFont="1" applyAlignment="1">
      <alignment vertical="center"/>
    </xf>
    <xf numFmtId="164" fontId="14" fillId="2" borderId="0" xfId="0" applyNumberFormat="1" applyFont="1" applyFill="1" applyAlignment="1">
      <alignment horizontal="center" vertical="center"/>
    </xf>
    <xf numFmtId="0" fontId="14" fillId="2" borderId="0" xfId="0" applyFont="1" applyFill="1" applyAlignment="1">
      <alignment horizontal="center" vertical="center"/>
    </xf>
    <xf numFmtId="10" fontId="14" fillId="2" borderId="0" xfId="0" applyNumberFormat="1" applyFont="1" applyFill="1" applyAlignment="1">
      <alignment horizontal="center" vertical="center"/>
    </xf>
    <xf numFmtId="0" fontId="1" fillId="0" borderId="0" xfId="0" applyFont="1" applyAlignment="1">
      <alignment vertical="center"/>
    </xf>
    <xf numFmtId="164" fontId="3" fillId="0" borderId="0" xfId="0" applyNumberFormat="1" applyFont="1" applyAlignment="1">
      <alignment vertical="center"/>
    </xf>
    <xf numFmtId="0" fontId="1" fillId="0" borderId="14" xfId="0" applyFont="1" applyBorder="1" applyAlignment="1">
      <alignment vertical="center"/>
    </xf>
    <xf numFmtId="0" fontId="19" fillId="0" borderId="0" xfId="0" applyFont="1" applyAlignment="1">
      <alignment horizontal="justify" vertical="center"/>
    </xf>
    <xf numFmtId="0" fontId="22" fillId="0" borderId="3" xfId="0" applyFont="1" applyBorder="1" applyAlignment="1">
      <alignment horizontal="center" vertical="center"/>
    </xf>
    <xf numFmtId="0" fontId="22" fillId="0" borderId="5" xfId="0" applyFont="1" applyBorder="1" applyAlignment="1">
      <alignment horizontal="center" vertical="center"/>
    </xf>
    <xf numFmtId="4" fontId="22" fillId="0" borderId="4" xfId="0" applyNumberFormat="1" applyFont="1" applyBorder="1" applyAlignment="1">
      <alignment horizontal="center" vertical="center"/>
    </xf>
    <xf numFmtId="164" fontId="22" fillId="0" borderId="5" xfId="0" applyNumberFormat="1" applyFont="1" applyBorder="1" applyAlignment="1">
      <alignment horizontal="center" vertical="center"/>
    </xf>
    <xf numFmtId="164" fontId="22" fillId="0" borderId="6" xfId="0" applyNumberFormat="1" applyFont="1" applyBorder="1" applyAlignment="1">
      <alignment horizontal="center" vertical="center"/>
    </xf>
    <xf numFmtId="0" fontId="3" fillId="0" borderId="50" xfId="0" applyFont="1" applyBorder="1" applyAlignment="1">
      <alignment vertical="center"/>
    </xf>
    <xf numFmtId="0" fontId="3" fillId="0" borderId="51" xfId="0" applyFont="1" applyBorder="1" applyAlignment="1">
      <alignment vertical="center"/>
    </xf>
    <xf numFmtId="0" fontId="3" fillId="0" borderId="52" xfId="0" applyFont="1" applyBorder="1" applyAlignment="1">
      <alignment vertical="center"/>
    </xf>
    <xf numFmtId="4" fontId="23" fillId="0" borderId="51" xfId="0" applyNumberFormat="1" applyFont="1" applyBorder="1" applyAlignment="1">
      <alignment horizontal="right" vertical="center"/>
    </xf>
    <xf numFmtId="164" fontId="3" fillId="0" borderId="52" xfId="0" applyNumberFormat="1" applyFont="1" applyBorder="1" applyAlignment="1">
      <alignment vertical="center"/>
    </xf>
    <xf numFmtId="164" fontId="3" fillId="0" borderId="53" xfId="0" applyNumberFormat="1" applyFont="1" applyBorder="1" applyAlignment="1">
      <alignment vertical="center"/>
    </xf>
    <xf numFmtId="0" fontId="3" fillId="0" borderId="16" xfId="0" applyFont="1" applyBorder="1" applyAlignment="1">
      <alignment vertical="center"/>
    </xf>
    <xf numFmtId="0" fontId="24" fillId="0" borderId="14" xfId="0" applyFont="1" applyBorder="1" applyAlignment="1">
      <alignment vertical="center"/>
    </xf>
    <xf numFmtId="0" fontId="3" fillId="0" borderId="14" xfId="0" applyFont="1" applyBorder="1" applyAlignment="1">
      <alignment vertical="center"/>
    </xf>
    <xf numFmtId="0" fontId="3" fillId="0" borderId="17" xfId="0" applyFont="1" applyBorder="1" applyAlignment="1">
      <alignment vertical="center"/>
    </xf>
    <xf numFmtId="4" fontId="23" fillId="0" borderId="14" xfId="0" applyNumberFormat="1" applyFont="1" applyBorder="1" applyAlignment="1">
      <alignment horizontal="right" vertical="center"/>
    </xf>
    <xf numFmtId="164" fontId="3" fillId="0" borderId="17" xfId="0" applyNumberFormat="1" applyFont="1" applyBorder="1" applyAlignment="1">
      <alignment vertical="center"/>
    </xf>
    <xf numFmtId="164" fontId="3" fillId="0" borderId="15" xfId="0" applyNumberFormat="1" applyFont="1" applyBorder="1" applyAlignment="1">
      <alignment vertical="center"/>
    </xf>
    <xf numFmtId="4" fontId="25" fillId="0" borderId="14" xfId="0" applyNumberFormat="1" applyFont="1" applyBorder="1" applyAlignment="1">
      <alignment horizontal="right" vertical="center"/>
    </xf>
    <xf numFmtId="164" fontId="25" fillId="0" borderId="17" xfId="0" applyNumberFormat="1" applyFont="1" applyBorder="1" applyAlignment="1">
      <alignment vertical="center"/>
    </xf>
    <xf numFmtId="164" fontId="25" fillId="0" borderId="15" xfId="0" applyNumberFormat="1" applyFont="1" applyBorder="1" applyAlignment="1">
      <alignment vertical="center"/>
    </xf>
    <xf numFmtId="0" fontId="18" fillId="0" borderId="0" xfId="3" applyAlignment="1">
      <alignment vertical="center"/>
    </xf>
    <xf numFmtId="0" fontId="17" fillId="0" borderId="16" xfId="0" applyFont="1" applyBorder="1" applyAlignment="1">
      <alignment horizontal="center" vertical="center"/>
    </xf>
    <xf numFmtId="0" fontId="17" fillId="0" borderId="14" xfId="0" applyFont="1" applyBorder="1" applyAlignment="1">
      <alignment vertical="center"/>
    </xf>
    <xf numFmtId="0" fontId="1" fillId="0" borderId="17" xfId="0" applyFont="1" applyBorder="1" applyAlignment="1">
      <alignment horizontal="center" vertical="center"/>
    </xf>
    <xf numFmtId="4" fontId="5" fillId="0" borderId="14" xfId="0" applyNumberFormat="1" applyFont="1" applyBorder="1" applyAlignment="1">
      <alignment horizontal="right" vertical="center"/>
    </xf>
    <xf numFmtId="164" fontId="5" fillId="0" borderId="17" xfId="0" applyNumberFormat="1" applyFont="1" applyBorder="1" applyAlignment="1">
      <alignment vertical="center"/>
    </xf>
    <xf numFmtId="164" fontId="5" fillId="0" borderId="15" xfId="0" applyNumberFormat="1" applyFont="1" applyBorder="1" applyAlignment="1">
      <alignment vertical="center"/>
    </xf>
    <xf numFmtId="0" fontId="26" fillId="0" borderId="0" xfId="0" applyFont="1" applyAlignment="1">
      <alignment horizontal="justify" vertical="center"/>
    </xf>
    <xf numFmtId="0" fontId="1" fillId="0" borderId="16" xfId="0" applyFont="1" applyBorder="1" applyAlignment="1">
      <alignment horizontal="center" vertical="center"/>
    </xf>
    <xf numFmtId="0" fontId="22" fillId="0" borderId="16" xfId="0" applyFont="1" applyBorder="1" applyAlignment="1">
      <alignment horizontal="center" vertical="center"/>
    </xf>
    <xf numFmtId="0" fontId="22" fillId="0" borderId="14" xfId="0" applyFont="1" applyBorder="1" applyAlignment="1">
      <alignment vertical="center"/>
    </xf>
    <xf numFmtId="0" fontId="5" fillId="0" borderId="14" xfId="0" applyFont="1" applyBorder="1" applyAlignment="1">
      <alignment vertical="center"/>
    </xf>
    <xf numFmtId="0" fontId="5" fillId="0" borderId="37" xfId="0" applyFont="1" applyBorder="1" applyAlignment="1">
      <alignment horizontal="center" vertical="center"/>
    </xf>
    <xf numFmtId="0" fontId="3" fillId="0" borderId="35" xfId="0" applyFont="1" applyBorder="1" applyAlignment="1">
      <alignment vertical="center"/>
    </xf>
    <xf numFmtId="0" fontId="3" fillId="0" borderId="36" xfId="0" applyFont="1" applyBorder="1" applyAlignment="1">
      <alignment vertical="center"/>
    </xf>
    <xf numFmtId="0" fontId="3" fillId="0" borderId="11" xfId="0" applyFont="1" applyBorder="1" applyAlignment="1">
      <alignment vertical="center"/>
    </xf>
    <xf numFmtId="4" fontId="3" fillId="0" borderId="36" xfId="0" applyNumberFormat="1" applyFont="1" applyBorder="1" applyAlignment="1">
      <alignment vertical="center"/>
    </xf>
    <xf numFmtId="164" fontId="3" fillId="0" borderId="11" xfId="0" applyNumberFormat="1" applyFont="1" applyBorder="1" applyAlignment="1">
      <alignment vertical="center"/>
    </xf>
    <xf numFmtId="164" fontId="3" fillId="0" borderId="12" xfId="0" applyNumberFormat="1" applyFont="1" applyBorder="1" applyAlignment="1">
      <alignment vertical="center"/>
    </xf>
    <xf numFmtId="164" fontId="27" fillId="0" borderId="45" xfId="0" applyNumberFormat="1" applyFont="1" applyBorder="1" applyAlignment="1">
      <alignment vertical="center"/>
    </xf>
    <xf numFmtId="4" fontId="27" fillId="0" borderId="32" xfId="0" applyNumberFormat="1" applyFont="1" applyBorder="1" applyAlignment="1">
      <alignment vertical="center"/>
    </xf>
    <xf numFmtId="164" fontId="27" fillId="0" borderId="32" xfId="0" applyNumberFormat="1" applyFont="1" applyBorder="1" applyAlignment="1">
      <alignment vertical="center"/>
    </xf>
    <xf numFmtId="164" fontId="27" fillId="0" borderId="33" xfId="0" applyNumberFormat="1" applyFont="1" applyBorder="1" applyAlignment="1">
      <alignment vertical="center"/>
    </xf>
    <xf numFmtId="164" fontId="28" fillId="0" borderId="38" xfId="0" applyNumberFormat="1" applyFont="1" applyBorder="1" applyAlignment="1">
      <alignment vertical="center"/>
    </xf>
    <xf numFmtId="4" fontId="28" fillId="0" borderId="8" xfId="0" applyNumberFormat="1" applyFont="1" applyBorder="1" applyAlignment="1">
      <alignment vertical="center"/>
    </xf>
    <xf numFmtId="164" fontId="28" fillId="0" borderId="8" xfId="0" applyNumberFormat="1" applyFont="1" applyBorder="1" applyAlignment="1">
      <alignment vertical="center"/>
    </xf>
    <xf numFmtId="164" fontId="28" fillId="0" borderId="40" xfId="0" applyNumberFormat="1" applyFont="1" applyBorder="1" applyAlignment="1">
      <alignment vertical="center"/>
    </xf>
    <xf numFmtId="164" fontId="22" fillId="0" borderId="48" xfId="0" applyNumberFormat="1" applyFont="1" applyBorder="1" applyAlignment="1">
      <alignment vertical="center"/>
    </xf>
    <xf numFmtId="4" fontId="22" fillId="0" borderId="41" xfId="0" applyNumberFormat="1" applyFont="1" applyBorder="1" applyAlignment="1">
      <alignment vertical="center"/>
    </xf>
    <xf numFmtId="164" fontId="22" fillId="0" borderId="41" xfId="0" applyNumberFormat="1" applyFont="1" applyBorder="1" applyAlignment="1">
      <alignment vertical="center"/>
    </xf>
    <xf numFmtId="164" fontId="22" fillId="0" borderId="42" xfId="0" applyNumberFormat="1" applyFont="1" applyBorder="1" applyAlignment="1">
      <alignment vertical="center"/>
    </xf>
    <xf numFmtId="4" fontId="3" fillId="0" borderId="0" xfId="0" applyNumberFormat="1" applyFont="1" applyAlignment="1">
      <alignment vertical="center"/>
    </xf>
    <xf numFmtId="0" fontId="29" fillId="0" borderId="0" xfId="0" applyFont="1" applyAlignment="1">
      <alignment vertical="center"/>
    </xf>
    <xf numFmtId="0" fontId="18" fillId="0" borderId="0" xfId="3" applyAlignment="1">
      <alignment horizontal="left" vertical="center" indent="1"/>
    </xf>
    <xf numFmtId="0" fontId="1" fillId="0" borderId="16" xfId="0" applyFont="1" applyBorder="1" applyAlignment="1">
      <alignment vertical="center"/>
    </xf>
    <xf numFmtId="0" fontId="1" fillId="0" borderId="0" xfId="0" applyFont="1"/>
    <xf numFmtId="0" fontId="6" fillId="0" borderId="14" xfId="0" quotePrefix="1" applyFont="1" applyBorder="1" applyAlignment="1">
      <alignment vertical="center"/>
    </xf>
    <xf numFmtId="0" fontId="1" fillId="0" borderId="0" xfId="0" applyFont="1" applyAlignment="1">
      <alignment horizontal="justify" vertical="center"/>
    </xf>
    <xf numFmtId="0" fontId="18" fillId="0" borderId="0" xfId="3" applyAlignment="1">
      <alignment horizontal="left" vertical="center" indent="2"/>
    </xf>
    <xf numFmtId="0" fontId="17" fillId="0" borderId="0" xfId="0" applyFont="1" applyAlignment="1">
      <alignment vertical="center"/>
    </xf>
    <xf numFmtId="0" fontId="1" fillId="0" borderId="27" xfId="0" applyFont="1" applyBorder="1" applyAlignment="1">
      <alignment vertical="center"/>
    </xf>
    <xf numFmtId="0" fontId="5" fillId="0" borderId="17" xfId="0" applyFont="1" applyBorder="1" applyAlignment="1">
      <alignment horizontal="center" vertical="center"/>
    </xf>
    <xf numFmtId="4" fontId="1" fillId="0" borderId="14" xfId="0" applyNumberFormat="1" applyFont="1" applyBorder="1" applyAlignment="1">
      <alignment vertical="center"/>
    </xf>
    <xf numFmtId="164" fontId="1" fillId="0" borderId="17" xfId="0" applyNumberFormat="1" applyFont="1" applyBorder="1" applyAlignment="1">
      <alignment vertical="center"/>
    </xf>
    <xf numFmtId="164" fontId="1" fillId="0" borderId="15" xfId="0" applyNumberFormat="1" applyFont="1" applyBorder="1" applyAlignment="1">
      <alignment vertical="center"/>
    </xf>
    <xf numFmtId="0" fontId="3" fillId="0" borderId="0" xfId="0" applyFont="1"/>
    <xf numFmtId="0" fontId="1" fillId="0" borderId="58" xfId="0" applyFont="1" applyBorder="1" applyAlignment="1">
      <alignment vertical="center"/>
    </xf>
    <xf numFmtId="0" fontId="5" fillId="0" borderId="16" xfId="0" applyFont="1" applyBorder="1" applyAlignment="1">
      <alignment horizontal="center" vertical="center"/>
    </xf>
    <xf numFmtId="0" fontId="17" fillId="0" borderId="34" xfId="0" applyFont="1" applyBorder="1" applyAlignment="1">
      <alignment horizontal="center" vertical="center"/>
    </xf>
    <xf numFmtId="0" fontId="17" fillId="0" borderId="25" xfId="0" applyFont="1" applyBorder="1" applyAlignment="1">
      <alignment vertical="center"/>
    </xf>
    <xf numFmtId="0" fontId="1" fillId="0" borderId="25" xfId="0" applyFont="1" applyBorder="1" applyAlignment="1">
      <alignment vertical="center"/>
    </xf>
    <xf numFmtId="0" fontId="1" fillId="0" borderId="37" xfId="0" applyFont="1" applyBorder="1" applyAlignment="1">
      <alignment horizontal="center" vertical="center"/>
    </xf>
    <xf numFmtId="0" fontId="1" fillId="0" borderId="34" xfId="0" applyFont="1" applyBorder="1" applyAlignment="1">
      <alignment horizontal="center" vertical="center"/>
    </xf>
    <xf numFmtId="0" fontId="34" fillId="0" borderId="0" xfId="3" applyFont="1" applyAlignment="1">
      <alignment vertical="center"/>
    </xf>
    <xf numFmtId="0" fontId="1" fillId="0" borderId="24" xfId="0" applyFont="1" applyBorder="1" applyAlignment="1">
      <alignment horizontal="left" vertical="center" wrapText="1"/>
    </xf>
    <xf numFmtId="0" fontId="19" fillId="0" borderId="0" xfId="0" applyFont="1" applyAlignment="1">
      <alignment horizontal="left" vertical="center" indent="4"/>
    </xf>
    <xf numFmtId="0" fontId="1" fillId="0" borderId="0" xfId="0" applyFont="1" applyAlignment="1">
      <alignment horizontal="left" vertical="center" indent="7"/>
    </xf>
    <xf numFmtId="0" fontId="22" fillId="0" borderId="25" xfId="0" applyFont="1" applyBorder="1" applyAlignment="1">
      <alignment vertical="center"/>
    </xf>
    <xf numFmtId="0" fontId="17" fillId="0" borderId="0" xfId="0" applyFont="1" applyAlignment="1">
      <alignment horizontal="justify" vertical="center"/>
    </xf>
    <xf numFmtId="0" fontId="1" fillId="0" borderId="22" xfId="0" quotePrefix="1" applyFont="1" applyBorder="1" applyAlignment="1">
      <alignment horizontal="center" vertical="center" wrapText="1"/>
    </xf>
    <xf numFmtId="0" fontId="1" fillId="0" borderId="59" xfId="0" applyFont="1" applyBorder="1" applyAlignment="1">
      <alignment horizontal="center" vertical="center"/>
    </xf>
    <xf numFmtId="0" fontId="5" fillId="0" borderId="7" xfId="0" applyFont="1" applyBorder="1" applyAlignment="1">
      <alignment horizontal="center" vertical="center"/>
    </xf>
    <xf numFmtId="4" fontId="1" fillId="0" borderId="0" xfId="0" applyNumberFormat="1" applyFont="1" applyAlignment="1">
      <alignment vertical="center"/>
    </xf>
    <xf numFmtId="164" fontId="1" fillId="0" borderId="7" xfId="0" applyNumberFormat="1" applyFont="1" applyBorder="1" applyAlignment="1">
      <alignment vertical="center"/>
    </xf>
    <xf numFmtId="164" fontId="1" fillId="0" borderId="60" xfId="0" applyNumberFormat="1" applyFont="1" applyBorder="1" applyAlignment="1">
      <alignment vertical="center"/>
    </xf>
    <xf numFmtId="0" fontId="37" fillId="0" borderId="0" xfId="0" applyFont="1" applyAlignment="1">
      <alignment vertical="center"/>
    </xf>
    <xf numFmtId="0" fontId="70" fillId="0" borderId="0" xfId="0" applyFont="1" applyAlignment="1">
      <alignment horizontal="justify" vertical="center"/>
    </xf>
    <xf numFmtId="0" fontId="71" fillId="0" borderId="0" xfId="0" applyFont="1" applyAlignment="1">
      <alignment horizontal="justify" vertical="center"/>
    </xf>
    <xf numFmtId="0" fontId="72" fillId="0" borderId="0" xfId="0" applyFont="1" applyAlignment="1">
      <alignment horizontal="justify" vertical="center"/>
    </xf>
    <xf numFmtId="0" fontId="1" fillId="0" borderId="0" xfId="0" applyFont="1" applyAlignment="1">
      <alignment horizontal="left" vertical="center"/>
    </xf>
    <xf numFmtId="0" fontId="69" fillId="0" borderId="0" xfId="0" applyFont="1" applyAlignment="1">
      <alignment horizontal="justify" vertical="center"/>
    </xf>
    <xf numFmtId="0" fontId="68" fillId="0" borderId="0" xfId="0" applyFont="1" applyAlignment="1">
      <alignment horizontal="justify" vertical="center"/>
    </xf>
    <xf numFmtId="0" fontId="66" fillId="0" borderId="7" xfId="97" applyFont="1" applyFill="1" applyBorder="1">
      <alignment horizontal="left" vertical="top"/>
    </xf>
    <xf numFmtId="0" fontId="66" fillId="0" borderId="0" xfId="97" applyFont="1" applyFill="1" applyBorder="1">
      <alignment horizontal="left" vertical="top"/>
    </xf>
    <xf numFmtId="0" fontId="4" fillId="0" borderId="14" xfId="0" applyFont="1" applyBorder="1" applyAlignment="1">
      <alignment vertical="center"/>
    </xf>
    <xf numFmtId="0" fontId="4" fillId="0" borderId="16" xfId="0" applyFont="1" applyBorder="1" applyAlignment="1">
      <alignment horizontal="center" vertical="center"/>
    </xf>
    <xf numFmtId="0" fontId="1" fillId="0" borderId="73" xfId="0" applyFont="1" applyBorder="1" applyAlignment="1">
      <alignment horizontal="center" vertical="center"/>
    </xf>
    <xf numFmtId="0" fontId="73" fillId="5" borderId="75" xfId="0" applyFont="1" applyFill="1" applyBorder="1" applyAlignment="1">
      <alignment horizontal="right" vertical="center" wrapText="1"/>
    </xf>
    <xf numFmtId="0" fontId="75" fillId="0" borderId="75" xfId="0" applyFont="1" applyBorder="1" applyAlignment="1">
      <alignment horizontal="right" vertical="center" wrapText="1"/>
    </xf>
    <xf numFmtId="0" fontId="74" fillId="0" borderId="75" xfId="0" applyFont="1" applyBorder="1" applyAlignment="1">
      <alignment vertical="center" wrapText="1"/>
    </xf>
    <xf numFmtId="0" fontId="78" fillId="0" borderId="75" xfId="0" applyFont="1" applyBorder="1" applyAlignment="1">
      <alignment horizontal="right" vertical="center" wrapText="1"/>
    </xf>
    <xf numFmtId="0" fontId="76" fillId="0" borderId="75" xfId="0" applyFont="1" applyBorder="1" applyAlignment="1">
      <alignment horizontal="right" vertical="center" wrapText="1"/>
    </xf>
    <xf numFmtId="0" fontId="79" fillId="0" borderId="75" xfId="0" applyFont="1" applyBorder="1" applyAlignment="1">
      <alignment horizontal="right" vertical="center" wrapText="1"/>
    </xf>
    <xf numFmtId="0" fontId="82" fillId="0" borderId="75" xfId="0" applyFont="1" applyBorder="1" applyAlignment="1">
      <alignment horizontal="right" vertical="center" wrapText="1"/>
    </xf>
    <xf numFmtId="0" fontId="1" fillId="0" borderId="74" xfId="0" applyFont="1" applyBorder="1" applyAlignment="1">
      <alignment vertical="center"/>
    </xf>
    <xf numFmtId="0" fontId="1" fillId="0" borderId="76" xfId="0" applyFont="1" applyBorder="1" applyAlignment="1">
      <alignment vertical="center"/>
    </xf>
    <xf numFmtId="0" fontId="17" fillId="0" borderId="73" xfId="0" applyFont="1" applyBorder="1" applyAlignment="1">
      <alignment horizontal="center" vertical="center"/>
    </xf>
    <xf numFmtId="0" fontId="17" fillId="0" borderId="74" xfId="0" applyFont="1" applyBorder="1" applyAlignment="1">
      <alignment vertical="center"/>
    </xf>
    <xf numFmtId="164" fontId="25" fillId="0" borderId="77" xfId="0" applyNumberFormat="1" applyFont="1" applyBorder="1" applyAlignment="1">
      <alignment vertical="center"/>
    </xf>
    <xf numFmtId="164" fontId="5" fillId="0" borderId="77" xfId="0" applyNumberFormat="1" applyFont="1" applyBorder="1" applyAlignment="1">
      <alignment vertical="center"/>
    </xf>
    <xf numFmtId="164" fontId="1" fillId="0" borderId="77" xfId="0" applyNumberFormat="1" applyFont="1" applyBorder="1" applyAlignment="1">
      <alignment vertical="center"/>
    </xf>
    <xf numFmtId="164" fontId="3" fillId="0" borderId="79" xfId="0" applyNumberFormat="1" applyFont="1" applyBorder="1" applyAlignment="1">
      <alignment vertical="center"/>
    </xf>
    <xf numFmtId="0" fontId="3" fillId="0" borderId="25" xfId="0" applyFont="1" applyBorder="1" applyAlignment="1">
      <alignment vertical="center"/>
    </xf>
    <xf numFmtId="0" fontId="3" fillId="0" borderId="37" xfId="0" applyFont="1" applyBorder="1" applyAlignment="1">
      <alignment vertical="center"/>
    </xf>
    <xf numFmtId="4" fontId="25" fillId="0" borderId="25" xfId="0" applyNumberFormat="1" applyFont="1" applyBorder="1" applyAlignment="1">
      <alignment horizontal="right" vertical="center"/>
    </xf>
    <xf numFmtId="164" fontId="25" fillId="0" borderId="37" xfId="0" applyNumberFormat="1" applyFont="1" applyBorder="1" applyAlignment="1">
      <alignment vertical="center"/>
    </xf>
    <xf numFmtId="0" fontId="1" fillId="0" borderId="24" xfId="0" applyFont="1" applyBorder="1" applyAlignment="1">
      <alignment horizontal="center" vertical="center"/>
    </xf>
    <xf numFmtId="0" fontId="5" fillId="0" borderId="24" xfId="0" applyFont="1" applyBorder="1" applyAlignment="1">
      <alignment horizontal="center" vertical="center"/>
    </xf>
    <xf numFmtId="164" fontId="5" fillId="0" borderId="10" xfId="0" applyNumberFormat="1" applyFont="1" applyBorder="1" applyAlignment="1">
      <alignment vertical="center"/>
    </xf>
    <xf numFmtId="164" fontId="1" fillId="0" borderId="10" xfId="0" applyNumberFormat="1" applyFont="1" applyBorder="1" applyAlignment="1">
      <alignment vertical="center"/>
    </xf>
    <xf numFmtId="4" fontId="5" fillId="0" borderId="37" xfId="0" applyNumberFormat="1" applyFont="1" applyBorder="1" applyAlignment="1">
      <alignment horizontal="right" vertical="center"/>
    </xf>
    <xf numFmtId="4" fontId="1" fillId="0" borderId="37" xfId="0" applyNumberFormat="1" applyFont="1" applyBorder="1" applyAlignment="1">
      <alignment vertical="center"/>
    </xf>
    <xf numFmtId="0" fontId="73" fillId="5" borderId="24" xfId="0" applyFont="1" applyFill="1" applyBorder="1" applyAlignment="1">
      <alignment vertical="center" wrapText="1"/>
    </xf>
    <xf numFmtId="0" fontId="73" fillId="5" borderId="37" xfId="0" applyFont="1" applyFill="1" applyBorder="1" applyAlignment="1">
      <alignment vertical="center" wrapText="1"/>
    </xf>
    <xf numFmtId="0" fontId="73" fillId="5" borderId="10" xfId="0" applyFont="1" applyFill="1" applyBorder="1" applyAlignment="1">
      <alignment vertical="center" wrapText="1"/>
    </xf>
    <xf numFmtId="164" fontId="83" fillId="5" borderId="78" xfId="0" applyNumberFormat="1" applyFont="1" applyFill="1" applyBorder="1" applyAlignment="1">
      <alignment vertical="center" wrapText="1"/>
    </xf>
    <xf numFmtId="0" fontId="75" fillId="0" borderId="24" xfId="0" applyFont="1" applyBorder="1" applyAlignment="1">
      <alignment horizontal="center" vertical="center" wrapText="1"/>
    </xf>
    <xf numFmtId="0" fontId="74" fillId="0" borderId="24" xfId="0" applyFont="1" applyBorder="1" applyAlignment="1">
      <alignment vertical="center" wrapText="1"/>
    </xf>
    <xf numFmtId="0" fontId="74" fillId="5" borderId="24" xfId="0" applyFont="1" applyFill="1" applyBorder="1" applyAlignment="1">
      <alignment vertical="center" wrapText="1"/>
    </xf>
    <xf numFmtId="0" fontId="74" fillId="5" borderId="37" xfId="0" applyFont="1" applyFill="1" applyBorder="1" applyAlignment="1">
      <alignment vertical="center" wrapText="1"/>
    </xf>
    <xf numFmtId="0" fontId="74" fillId="5" borderId="10" xfId="0" applyFont="1" applyFill="1" applyBorder="1" applyAlignment="1">
      <alignment vertical="center" wrapText="1"/>
    </xf>
    <xf numFmtId="0" fontId="76" fillId="0" borderId="24" xfId="0" applyFont="1" applyBorder="1" applyAlignment="1">
      <alignment horizontal="center" vertical="center" wrapText="1"/>
    </xf>
    <xf numFmtId="0" fontId="77" fillId="0" borderId="24" xfId="0" applyFont="1" applyBorder="1" applyAlignment="1">
      <alignment horizontal="center" vertical="center" wrapText="1"/>
    </xf>
    <xf numFmtId="0" fontId="78" fillId="0" borderId="24" xfId="0" applyFont="1" applyBorder="1" applyAlignment="1">
      <alignment horizontal="center" vertical="center" wrapText="1"/>
    </xf>
    <xf numFmtId="0" fontId="79" fillId="0" borderId="24" xfId="0" applyFont="1" applyBorder="1" applyAlignment="1">
      <alignment horizontal="center" vertical="center" wrapText="1"/>
    </xf>
    <xf numFmtId="0" fontId="81" fillId="0" borderId="24" xfId="0" applyFont="1" applyBorder="1" applyAlignment="1">
      <alignment horizontal="center" vertical="center" wrapText="1"/>
    </xf>
    <xf numFmtId="0" fontId="79" fillId="0" borderId="75" xfId="0" applyFont="1" applyBorder="1" applyAlignment="1">
      <alignment vertical="center" wrapText="1"/>
    </xf>
    <xf numFmtId="0" fontId="49" fillId="6" borderId="80" xfId="0" applyFont="1" applyFill="1" applyBorder="1" applyAlignment="1">
      <alignment horizontal="left" vertical="center" wrapText="1" indent="2"/>
    </xf>
    <xf numFmtId="0" fontId="49" fillId="6" borderId="81" xfId="0" applyFont="1" applyFill="1" applyBorder="1" applyAlignment="1">
      <alignment horizontal="left" vertical="center" wrapText="1"/>
    </xf>
    <xf numFmtId="0" fontId="84" fillId="0" borderId="80" xfId="0" applyFont="1" applyBorder="1" applyAlignment="1">
      <alignment horizontal="left" vertical="center" wrapText="1" indent="2"/>
    </xf>
    <xf numFmtId="0" fontId="84" fillId="0" borderId="81" xfId="0" applyFont="1" applyBorder="1" applyAlignment="1">
      <alignment horizontal="left" vertical="center" wrapText="1"/>
    </xf>
    <xf numFmtId="0" fontId="55" fillId="0" borderId="80" xfId="0" applyFont="1" applyBorder="1" applyAlignment="1">
      <alignment horizontal="left" vertical="center" wrapText="1" indent="2"/>
    </xf>
    <xf numFmtId="0" fontId="55" fillId="0" borderId="81" xfId="0" applyFont="1" applyBorder="1" applyAlignment="1">
      <alignment horizontal="left" vertical="center" wrapText="1"/>
    </xf>
    <xf numFmtId="179" fontId="84" fillId="0" borderId="0" xfId="0" applyNumberFormat="1" applyFont="1" applyAlignment="1">
      <alignment vertical="center" wrapText="1"/>
    </xf>
    <xf numFmtId="0" fontId="84" fillId="0" borderId="0" xfId="0" applyFont="1" applyAlignment="1">
      <alignment vertical="center" wrapText="1"/>
    </xf>
    <xf numFmtId="0" fontId="49" fillId="0" borderId="84" xfId="0" applyFont="1" applyBorder="1" applyAlignment="1" applyProtection="1">
      <alignment horizontal="center" vertical="center" wrapText="1"/>
      <protection locked="0"/>
    </xf>
    <xf numFmtId="0" fontId="49" fillId="0" borderId="85" xfId="0" applyFont="1" applyBorder="1" applyAlignment="1" applyProtection="1">
      <alignment horizontal="center" vertical="center" wrapText="1"/>
      <protection locked="0"/>
    </xf>
    <xf numFmtId="179" fontId="49" fillId="0" borderId="86" xfId="0" applyNumberFormat="1" applyFont="1" applyBorder="1" applyAlignment="1">
      <alignment horizontal="center" vertical="center" wrapText="1"/>
    </xf>
    <xf numFmtId="179" fontId="49" fillId="0" borderId="87" xfId="0" applyNumberFormat="1" applyFont="1" applyBorder="1" applyAlignment="1">
      <alignment horizontal="center" vertical="center" wrapText="1"/>
    </xf>
    <xf numFmtId="179" fontId="49" fillId="0" borderId="88" xfId="0" applyNumberFormat="1" applyFont="1" applyBorder="1" applyAlignment="1">
      <alignment horizontal="center" vertical="center" wrapText="1"/>
    </xf>
    <xf numFmtId="179" fontId="55" fillId="0" borderId="84" xfId="0" applyNumberFormat="1" applyFont="1" applyBorder="1" applyAlignment="1">
      <alignment horizontal="center" vertical="center" wrapText="1"/>
    </xf>
    <xf numFmtId="3" fontId="55" fillId="0" borderId="87" xfId="0" applyNumberFormat="1" applyFont="1" applyBorder="1" applyAlignment="1">
      <alignment horizontal="center" vertical="center" wrapText="1"/>
    </xf>
    <xf numFmtId="179" fontId="55" fillId="0" borderId="87" xfId="0" applyNumberFormat="1" applyFont="1" applyBorder="1" applyAlignment="1">
      <alignment horizontal="center" vertical="center" wrapText="1"/>
    </xf>
    <xf numFmtId="179" fontId="55" fillId="0" borderId="88" xfId="0" applyNumberFormat="1" applyFont="1" applyBorder="1" applyAlignment="1">
      <alignment horizontal="center" vertical="center" wrapText="1"/>
    </xf>
    <xf numFmtId="0" fontId="55" fillId="0" borderId="0" xfId="0" applyFont="1" applyAlignment="1">
      <alignment horizontal="center" vertical="center" wrapText="1"/>
    </xf>
    <xf numFmtId="0" fontId="55" fillId="0" borderId="85" xfId="0" applyFont="1" applyBorder="1" applyAlignment="1">
      <alignment vertical="center" wrapText="1"/>
    </xf>
    <xf numFmtId="0" fontId="55" fillId="0" borderId="83" xfId="0" applyFont="1" applyBorder="1" applyAlignment="1">
      <alignment vertical="center" wrapText="1"/>
    </xf>
    <xf numFmtId="0" fontId="84" fillId="0" borderId="89" xfId="0" applyFont="1" applyBorder="1" applyAlignment="1">
      <alignment horizontal="center" vertical="center" wrapText="1"/>
    </xf>
    <xf numFmtId="0" fontId="84" fillId="0" borderId="90" xfId="0" applyFont="1" applyBorder="1" applyAlignment="1">
      <alignment horizontal="left" vertical="center" wrapText="1"/>
    </xf>
    <xf numFmtId="0" fontId="84" fillId="0" borderId="91" xfId="0" applyFont="1" applyBorder="1" applyAlignment="1">
      <alignment horizontal="center" vertical="center" wrapText="1"/>
    </xf>
    <xf numFmtId="164" fontId="84" fillId="0" borderId="80" xfId="118" applyNumberFormat="1" applyFont="1" applyBorder="1" applyAlignment="1">
      <alignment horizontal="right" vertical="center" indent="1"/>
    </xf>
    <xf numFmtId="164" fontId="84" fillId="0" borderId="7" xfId="118" applyNumberFormat="1" applyFont="1" applyBorder="1" applyAlignment="1">
      <alignment horizontal="right" vertical="center" indent="1"/>
    </xf>
    <xf numFmtId="164" fontId="84" fillId="0" borderId="7" xfId="0" applyNumberFormat="1" applyFont="1" applyBorder="1" applyAlignment="1">
      <alignment horizontal="right" vertical="center" indent="1"/>
    </xf>
    <xf numFmtId="164" fontId="55" fillId="0" borderId="81" xfId="0" applyNumberFormat="1" applyFont="1" applyBorder="1" applyAlignment="1">
      <alignment horizontal="right" vertical="center" indent="1"/>
    </xf>
    <xf numFmtId="181" fontId="84" fillId="0" borderId="7" xfId="0" applyNumberFormat="1" applyFont="1" applyBorder="1" applyAlignment="1">
      <alignment horizontal="right" vertical="center" indent="1"/>
    </xf>
    <xf numFmtId="164" fontId="84" fillId="0" borderId="81" xfId="0" applyNumberFormat="1" applyFont="1" applyBorder="1" applyAlignment="1">
      <alignment horizontal="right" vertical="center" indent="1"/>
    </xf>
    <xf numFmtId="0" fontId="49" fillId="6" borderId="80" xfId="0" applyFont="1" applyFill="1" applyBorder="1" applyAlignment="1">
      <alignment horizontal="center" vertical="center" wrapText="1"/>
    </xf>
    <xf numFmtId="0" fontId="49" fillId="6" borderId="0" xfId="0" applyFont="1" applyFill="1" applyAlignment="1">
      <alignment horizontal="center" vertical="center" wrapText="1"/>
    </xf>
    <xf numFmtId="164" fontId="49" fillId="6" borderId="80" xfId="118" applyNumberFormat="1" applyFont="1" applyFill="1" applyBorder="1" applyAlignment="1">
      <alignment horizontal="right" vertical="center" indent="1"/>
    </xf>
    <xf numFmtId="164" fontId="49" fillId="6" borderId="7" xfId="118" applyNumberFormat="1" applyFont="1" applyFill="1" applyBorder="1" applyAlignment="1">
      <alignment horizontal="right" vertical="center" indent="1"/>
    </xf>
    <xf numFmtId="164" fontId="49" fillId="6" borderId="7" xfId="0" applyNumberFormat="1" applyFont="1" applyFill="1" applyBorder="1" applyAlignment="1">
      <alignment horizontal="right" vertical="center" indent="1"/>
    </xf>
    <xf numFmtId="164" fontId="49" fillId="6" borderId="81" xfId="0" applyNumberFormat="1" applyFont="1" applyFill="1" applyBorder="1" applyAlignment="1">
      <alignment horizontal="right" vertical="center" indent="1"/>
    </xf>
    <xf numFmtId="181" fontId="49" fillId="6" borderId="7" xfId="0" applyNumberFormat="1" applyFont="1" applyFill="1" applyBorder="1" applyAlignment="1">
      <alignment horizontal="right" vertical="center" indent="1"/>
    </xf>
    <xf numFmtId="0" fontId="49" fillId="0" borderId="0" xfId="0" applyFont="1" applyAlignment="1">
      <alignment vertical="center" wrapText="1"/>
    </xf>
    <xf numFmtId="0" fontId="84" fillId="0" borderId="80" xfId="0" applyFont="1" applyBorder="1" applyAlignment="1">
      <alignment horizontal="center" vertical="center" wrapText="1"/>
    </xf>
    <xf numFmtId="0" fontId="84" fillId="0" borderId="0" xfId="0" applyFont="1" applyAlignment="1">
      <alignment horizontal="center" vertical="center" wrapText="1"/>
    </xf>
    <xf numFmtId="164" fontId="55" fillId="0" borderId="7" xfId="0" applyNumberFormat="1" applyFont="1" applyBorder="1" applyAlignment="1">
      <alignment horizontal="right" vertical="center" indent="1"/>
    </xf>
    <xf numFmtId="0" fontId="87" fillId="0" borderId="0" xfId="0" applyFont="1" applyAlignment="1">
      <alignment vertical="center" wrapText="1"/>
    </xf>
    <xf numFmtId="0" fontId="88" fillId="0" borderId="0" xfId="0" applyFont="1" applyAlignment="1">
      <alignment vertical="center" wrapText="1"/>
    </xf>
    <xf numFmtId="0" fontId="55" fillId="0" borderId="80" xfId="0" applyFont="1" applyBorder="1" applyAlignment="1">
      <alignment horizontal="center" vertical="center" wrapText="1"/>
    </xf>
    <xf numFmtId="0" fontId="89" fillId="0" borderId="92" xfId="0" applyFont="1" applyBorder="1" applyAlignment="1">
      <alignment vertical="center" wrapText="1"/>
    </xf>
    <xf numFmtId="0" fontId="84" fillId="0" borderId="81" xfId="0" quotePrefix="1" applyFont="1" applyBorder="1" applyAlignment="1">
      <alignment horizontal="left" vertical="center" wrapText="1"/>
    </xf>
    <xf numFmtId="0" fontId="55" fillId="0" borderId="81" xfId="0" applyFont="1" applyBorder="1" applyAlignment="1">
      <alignment horizontal="right" vertical="center" wrapText="1"/>
    </xf>
    <xf numFmtId="0" fontId="87" fillId="0" borderId="92" xfId="0" applyFont="1" applyBorder="1" applyAlignment="1">
      <alignment vertical="center" wrapText="1"/>
    </xf>
    <xf numFmtId="9" fontId="87" fillId="0" borderId="0" xfId="101" applyFont="1" applyAlignment="1">
      <alignment vertical="center" wrapText="1"/>
    </xf>
    <xf numFmtId="0" fontId="90" fillId="0" borderId="0" xfId="11" applyFont="1" applyAlignment="1">
      <alignment horizontal="left" vertical="top" wrapText="1"/>
    </xf>
    <xf numFmtId="0" fontId="84" fillId="0" borderId="80" xfId="11" applyFont="1" applyBorder="1" applyAlignment="1">
      <alignment horizontal="center" vertical="center" wrapText="1"/>
    </xf>
    <xf numFmtId="0" fontId="84" fillId="0" borderId="0" xfId="11" applyFont="1" applyAlignment="1">
      <alignment horizontal="center" vertical="center" wrapText="1"/>
    </xf>
    <xf numFmtId="0" fontId="84" fillId="0" borderId="0" xfId="11" applyFont="1" applyAlignment="1">
      <alignment horizontal="left" vertical="top" wrapText="1"/>
    </xf>
    <xf numFmtId="0" fontId="84" fillId="0" borderId="93" xfId="11" applyFont="1" applyBorder="1" applyAlignment="1">
      <alignment vertical="top" wrapText="1"/>
    </xf>
    <xf numFmtId="0" fontId="84" fillId="0" borderId="0" xfId="11" applyFont="1" applyAlignment="1">
      <alignment vertical="top" wrapText="1"/>
    </xf>
    <xf numFmtId="0" fontId="90" fillId="0" borderId="0" xfId="11" applyFont="1" applyAlignment="1">
      <alignment vertical="top" wrapText="1"/>
    </xf>
    <xf numFmtId="0" fontId="84" fillId="0" borderId="92" xfId="0" applyFont="1" applyBorder="1" applyAlignment="1">
      <alignment vertical="center" wrapText="1"/>
    </xf>
    <xf numFmtId="0" fontId="89" fillId="0" borderId="0" xfId="0" applyFont="1" applyAlignment="1">
      <alignment vertical="center" wrapText="1"/>
    </xf>
    <xf numFmtId="0" fontId="55" fillId="0" borderId="0" xfId="0" applyFont="1" applyAlignment="1">
      <alignment vertical="top" wrapText="1"/>
    </xf>
    <xf numFmtId="0" fontId="55" fillId="0" borderId="94" xfId="0" applyFont="1" applyBorder="1" applyAlignment="1">
      <alignment horizontal="center" vertical="center" wrapText="1"/>
    </xf>
    <xf numFmtId="0" fontId="84" fillId="0" borderId="93" xfId="0" quotePrefix="1" applyFont="1" applyBorder="1" applyAlignment="1">
      <alignment vertical="top" wrapText="1"/>
    </xf>
    <xf numFmtId="0" fontId="84" fillId="0" borderId="7" xfId="0" quotePrefix="1" applyFont="1" applyBorder="1" applyAlignment="1">
      <alignment horizontal="left" vertical="center" wrapText="1"/>
    </xf>
    <xf numFmtId="0" fontId="55" fillId="0" borderId="7" xfId="0" applyFont="1" applyBorder="1" applyAlignment="1">
      <alignment horizontal="left" vertical="center" wrapText="1"/>
    </xf>
    <xf numFmtId="0" fontId="55" fillId="0" borderId="92" xfId="0" applyFont="1" applyBorder="1" applyAlignment="1">
      <alignment vertical="center" wrapText="1"/>
    </xf>
    <xf numFmtId="0" fontId="55" fillId="0" borderId="0" xfId="0" applyFont="1" applyAlignment="1">
      <alignment vertical="center" wrapText="1"/>
    </xf>
    <xf numFmtId="0" fontId="55" fillId="0" borderId="7" xfId="0" quotePrefix="1" applyFont="1" applyBorder="1" applyAlignment="1">
      <alignment horizontal="left" vertical="center" wrapText="1"/>
    </xf>
    <xf numFmtId="0" fontId="84" fillId="0" borderId="7" xfId="0" applyFont="1" applyBorder="1" applyAlignment="1">
      <alignment horizontal="left" vertical="center" wrapText="1"/>
    </xf>
    <xf numFmtId="0" fontId="55" fillId="0" borderId="7" xfId="0" applyFont="1" applyBorder="1" applyAlignment="1">
      <alignment horizontal="right" vertical="center" wrapText="1"/>
    </xf>
    <xf numFmtId="0" fontId="49" fillId="6" borderId="80" xfId="0" quotePrefix="1" applyFont="1" applyFill="1" applyBorder="1" applyAlignment="1">
      <alignment horizontal="left" vertical="center" wrapText="1" indent="2"/>
    </xf>
    <xf numFmtId="0" fontId="57" fillId="6" borderId="80" xfId="0" applyFont="1" applyFill="1" applyBorder="1" applyAlignment="1">
      <alignment horizontal="center" vertical="center" wrapText="1"/>
    </xf>
    <xf numFmtId="0" fontId="57" fillId="6" borderId="0" xfId="0" applyFont="1" applyFill="1" applyAlignment="1">
      <alignment horizontal="center" vertical="center" wrapText="1"/>
    </xf>
    <xf numFmtId="164" fontId="57" fillId="6" borderId="80" xfId="118" applyNumberFormat="1" applyFont="1" applyFill="1" applyBorder="1" applyAlignment="1">
      <alignment horizontal="right" vertical="center" indent="1"/>
    </xf>
    <xf numFmtId="164" fontId="57" fillId="6" borderId="7" xfId="118" applyNumberFormat="1" applyFont="1" applyFill="1" applyBorder="1" applyAlignment="1">
      <alignment horizontal="right" vertical="center" indent="1"/>
    </xf>
    <xf numFmtId="181" fontId="57" fillId="6" borderId="7" xfId="0" applyNumberFormat="1" applyFont="1" applyFill="1" applyBorder="1" applyAlignment="1">
      <alignment horizontal="right" vertical="center" indent="1"/>
    </xf>
    <xf numFmtId="164" fontId="57" fillId="6" borderId="7" xfId="0" applyNumberFormat="1" applyFont="1" applyFill="1" applyBorder="1" applyAlignment="1">
      <alignment horizontal="right" vertical="center" indent="1"/>
    </xf>
    <xf numFmtId="164" fontId="57" fillId="6" borderId="81" xfId="0" applyNumberFormat="1" applyFont="1" applyFill="1" applyBorder="1" applyAlignment="1">
      <alignment horizontal="right" vertical="center" indent="1"/>
    </xf>
    <xf numFmtId="0" fontId="91" fillId="0" borderId="0" xfId="0" applyFont="1" applyAlignment="1">
      <alignment vertical="center" wrapText="1"/>
    </xf>
    <xf numFmtId="0" fontId="84" fillId="0" borderId="0" xfId="11" applyFont="1" applyAlignment="1">
      <alignment horizontal="right" vertical="top" wrapText="1"/>
    </xf>
    <xf numFmtId="0" fontId="84" fillId="0" borderId="93" xfId="11" quotePrefix="1" applyFont="1" applyBorder="1" applyAlignment="1">
      <alignment vertical="top" wrapText="1"/>
    </xf>
    <xf numFmtId="0" fontId="84" fillId="0" borderId="0" xfId="11" quotePrefix="1" applyFont="1" applyAlignment="1">
      <alignment vertical="top" wrapText="1"/>
    </xf>
    <xf numFmtId="0" fontId="55" fillId="0" borderId="93" xfId="11" quotePrefix="1" applyFont="1" applyBorder="1" applyAlignment="1">
      <alignment vertical="top" wrapText="1"/>
    </xf>
    <xf numFmtId="0" fontId="84" fillId="0" borderId="0" xfId="0" applyFont="1" applyAlignment="1">
      <alignment vertical="top" wrapText="1"/>
    </xf>
    <xf numFmtId="0" fontId="84" fillId="0" borderId="0" xfId="0" quotePrefix="1" applyFont="1" applyAlignment="1">
      <alignment vertical="top" wrapText="1"/>
    </xf>
    <xf numFmtId="164" fontId="55" fillId="0" borderId="92" xfId="0" applyNumberFormat="1" applyFont="1" applyBorder="1" applyAlignment="1">
      <alignment horizontal="right" vertical="center" indent="1"/>
    </xf>
    <xf numFmtId="0" fontId="84" fillId="0" borderId="93" xfId="0" applyFont="1" applyBorder="1" applyAlignment="1">
      <alignment vertical="top" wrapText="1"/>
    </xf>
    <xf numFmtId="0" fontId="84" fillId="0" borderId="0" xfId="0" applyFont="1" applyAlignment="1">
      <alignment horizontal="justify" vertical="top"/>
    </xf>
    <xf numFmtId="0" fontId="55" fillId="0" borderId="94" xfId="0" applyFont="1" applyBorder="1" applyAlignment="1">
      <alignment horizontal="left" vertical="center" wrapText="1" indent="2"/>
    </xf>
    <xf numFmtId="0" fontId="55" fillId="0" borderId="0" xfId="0" quotePrefix="1" applyFont="1" applyAlignment="1">
      <alignment vertical="top" wrapText="1"/>
    </xf>
    <xf numFmtId="0" fontId="55" fillId="0" borderId="94" xfId="0" applyFont="1" applyBorder="1" applyAlignment="1">
      <alignment horizontal="left" vertical="center" indent="2"/>
    </xf>
    <xf numFmtId="0" fontId="55" fillId="0" borderId="0" xfId="0" applyFont="1" applyAlignment="1">
      <alignment horizontal="justify" vertical="top"/>
    </xf>
    <xf numFmtId="164" fontId="55" fillId="0" borderId="80" xfId="118" applyNumberFormat="1" applyFont="1" applyBorder="1" applyAlignment="1">
      <alignment horizontal="right" vertical="center" indent="1"/>
    </xf>
    <xf numFmtId="164" fontId="55" fillId="0" borderId="7" xfId="118" applyNumberFormat="1" applyFont="1" applyBorder="1" applyAlignment="1">
      <alignment horizontal="right" vertical="center" indent="1"/>
    </xf>
    <xf numFmtId="181" fontId="55" fillId="0" borderId="7" xfId="0" applyNumberFormat="1" applyFont="1" applyBorder="1" applyAlignment="1">
      <alignment horizontal="right" vertical="center" indent="1"/>
    </xf>
    <xf numFmtId="0" fontId="55" fillId="0" borderId="93" xfId="0" applyFont="1" applyBorder="1" applyAlignment="1">
      <alignment vertical="top" wrapText="1"/>
    </xf>
    <xf numFmtId="0" fontId="55" fillId="0" borderId="93" xfId="0" quotePrefix="1" applyFont="1" applyBorder="1" applyAlignment="1">
      <alignment vertical="top" wrapText="1"/>
    </xf>
    <xf numFmtId="0" fontId="55" fillId="0" borderId="95" xfId="0" applyFont="1" applyBorder="1" applyAlignment="1">
      <alignment horizontal="left" vertical="center" indent="2"/>
    </xf>
    <xf numFmtId="0" fontId="55" fillId="0" borderId="0" xfId="0" applyFont="1" applyAlignment="1">
      <alignment horizontal="right" vertical="center" wrapText="1"/>
    </xf>
    <xf numFmtId="0" fontId="92" fillId="0" borderId="80" xfId="0" applyFont="1" applyBorder="1" applyAlignment="1">
      <alignment horizontal="center" vertical="center" wrapText="1"/>
    </xf>
    <xf numFmtId="0" fontId="92" fillId="0" borderId="0" xfId="0" applyFont="1" applyAlignment="1">
      <alignment horizontal="center" vertical="center" wrapText="1"/>
    </xf>
    <xf numFmtId="0" fontId="93" fillId="0" borderId="0" xfId="0" applyFont="1" applyAlignment="1">
      <alignment vertical="center" wrapText="1"/>
    </xf>
    <xf numFmtId="164" fontId="84" fillId="0" borderId="96" xfId="0" applyNumberFormat="1" applyFont="1" applyBorder="1" applyAlignment="1">
      <alignment horizontal="right" vertical="center" indent="1"/>
    </xf>
    <xf numFmtId="181" fontId="84" fillId="0" borderId="97" xfId="0" applyNumberFormat="1" applyFont="1" applyBorder="1" applyAlignment="1">
      <alignment horizontal="right" vertical="center" indent="1"/>
    </xf>
    <xf numFmtId="164" fontId="84" fillId="0" borderId="97" xfId="0" applyNumberFormat="1" applyFont="1" applyBorder="1" applyAlignment="1">
      <alignment horizontal="right" vertical="center" indent="1"/>
    </xf>
    <xf numFmtId="164" fontId="84" fillId="0" borderId="98" xfId="0" applyNumberFormat="1" applyFont="1" applyBorder="1" applyAlignment="1">
      <alignment horizontal="right" vertical="center" indent="1"/>
    </xf>
    <xf numFmtId="179" fontId="49" fillId="0" borderId="101" xfId="0" applyNumberFormat="1" applyFont="1" applyBorder="1" applyAlignment="1">
      <alignment horizontal="center" vertical="center" wrapText="1"/>
    </xf>
    <xf numFmtId="179" fontId="49" fillId="0" borderId="100" xfId="0" applyNumberFormat="1" applyFont="1" applyBorder="1" applyAlignment="1">
      <alignment horizontal="center" vertical="center" wrapText="1"/>
    </xf>
    <xf numFmtId="179" fontId="49" fillId="0" borderId="102" xfId="0" applyNumberFormat="1" applyFont="1" applyBorder="1" applyAlignment="1">
      <alignment horizontal="center" vertical="center" wrapText="1"/>
    </xf>
    <xf numFmtId="164" fontId="49" fillId="0" borderId="103" xfId="0" applyNumberFormat="1" applyFont="1" applyBorder="1" applyAlignment="1">
      <alignment horizontal="right" vertical="center" wrapText="1"/>
    </xf>
    <xf numFmtId="164" fontId="49" fillId="0" borderId="104" xfId="0" applyNumberFormat="1" applyFont="1" applyBorder="1" applyAlignment="1">
      <alignment horizontal="right" vertical="center" wrapText="1"/>
    </xf>
    <xf numFmtId="0" fontId="57" fillId="0" borderId="0" xfId="0" applyFont="1" applyAlignment="1">
      <alignment vertical="center" wrapText="1"/>
    </xf>
    <xf numFmtId="183" fontId="57" fillId="0" borderId="101" xfId="101" applyNumberFormat="1" applyFont="1" applyBorder="1" applyAlignment="1">
      <alignment horizontal="center" vertical="center" wrapText="1"/>
    </xf>
    <xf numFmtId="183" fontId="57" fillId="0" borderId="92" xfId="101" applyNumberFormat="1" applyFont="1" applyBorder="1" applyAlignment="1">
      <alignment horizontal="center" vertical="center" wrapText="1"/>
    </xf>
    <xf numFmtId="183" fontId="57" fillId="0" borderId="105" xfId="101" applyNumberFormat="1" applyFont="1" applyBorder="1" applyAlignment="1">
      <alignment horizontal="center" vertical="center" wrapText="1"/>
    </xf>
    <xf numFmtId="164" fontId="57" fillId="0" borderId="106" xfId="0" applyNumberFormat="1" applyFont="1" applyBorder="1" applyAlignment="1">
      <alignment horizontal="right" vertical="center" wrapText="1"/>
    </xf>
    <xf numFmtId="164" fontId="57" fillId="0" borderId="107" xfId="0" applyNumberFormat="1" applyFont="1" applyBorder="1" applyAlignment="1">
      <alignment horizontal="right" vertical="center" wrapText="1"/>
    </xf>
    <xf numFmtId="179" fontId="49" fillId="0" borderId="92" xfId="0" applyNumberFormat="1" applyFont="1" applyBorder="1" applyAlignment="1">
      <alignment horizontal="center" vertical="center" wrapText="1"/>
    </xf>
    <xf numFmtId="179" fontId="49" fillId="0" borderId="105" xfId="0" applyNumberFormat="1" applyFont="1" applyBorder="1" applyAlignment="1">
      <alignment horizontal="center" vertical="center" wrapText="1"/>
    </xf>
    <xf numFmtId="164" fontId="49" fillId="0" borderId="106" xfId="0" applyNumberFormat="1" applyFont="1" applyBorder="1" applyAlignment="1">
      <alignment horizontal="right" vertical="center" wrapText="1"/>
    </xf>
    <xf numFmtId="164" fontId="49" fillId="0" borderId="107" xfId="0" applyNumberFormat="1" applyFont="1" applyBorder="1" applyAlignment="1">
      <alignment horizontal="right" vertical="center" wrapText="1"/>
    </xf>
    <xf numFmtId="184" fontId="57" fillId="0" borderId="101" xfId="0" applyNumberFormat="1" applyFont="1" applyBorder="1" applyAlignment="1">
      <alignment horizontal="center" vertical="center" wrapText="1"/>
    </xf>
    <xf numFmtId="184" fontId="57" fillId="0" borderId="92" xfId="0" applyNumberFormat="1" applyFont="1" applyBorder="1" applyAlignment="1">
      <alignment horizontal="center" vertical="center" wrapText="1"/>
    </xf>
    <xf numFmtId="184" fontId="57" fillId="0" borderId="105" xfId="0" applyNumberFormat="1" applyFont="1" applyBorder="1" applyAlignment="1">
      <alignment horizontal="center" vertical="center" wrapText="1"/>
    </xf>
    <xf numFmtId="164" fontId="57" fillId="0" borderId="67" xfId="0" applyNumberFormat="1" applyFont="1" applyBorder="1" applyAlignment="1">
      <alignment horizontal="right" vertical="center" wrapText="1"/>
    </xf>
    <xf numFmtId="164" fontId="57" fillId="0" borderId="108" xfId="0" applyNumberFormat="1" applyFont="1" applyBorder="1" applyAlignment="1">
      <alignment horizontal="right" vertical="center" wrapText="1"/>
    </xf>
    <xf numFmtId="179" fontId="49" fillId="0" borderId="110" xfId="0" applyNumberFormat="1" applyFont="1" applyBorder="1" applyAlignment="1">
      <alignment horizontal="center" vertical="center" wrapText="1"/>
    </xf>
    <xf numFmtId="179" fontId="49" fillId="0" borderId="111" xfId="0" applyNumberFormat="1" applyFont="1" applyBorder="1" applyAlignment="1">
      <alignment horizontal="center" vertical="center" wrapText="1"/>
    </xf>
    <xf numFmtId="164" fontId="49" fillId="0" borderId="112" xfId="0" applyNumberFormat="1" applyFont="1" applyBorder="1" applyAlignment="1">
      <alignment horizontal="right" vertical="center" wrapText="1"/>
    </xf>
    <xf numFmtId="164" fontId="49" fillId="0" borderId="113" xfId="0" applyNumberFormat="1" applyFont="1" applyBorder="1" applyAlignment="1">
      <alignment horizontal="right" vertical="center" wrapText="1"/>
    </xf>
    <xf numFmtId="0" fontId="94" fillId="0" borderId="0" xfId="0" applyFont="1" applyAlignment="1">
      <alignment vertical="center"/>
    </xf>
    <xf numFmtId="0" fontId="84" fillId="0" borderId="0" xfId="0" applyFont="1" applyAlignment="1" applyProtection="1">
      <alignment horizontal="center" vertical="center" wrapText="1"/>
      <protection locked="0"/>
    </xf>
    <xf numFmtId="164" fontId="49" fillId="6" borderId="80" xfId="0" applyNumberFormat="1" applyFont="1" applyFill="1" applyBorder="1" applyAlignment="1">
      <alignment horizontal="right" vertical="center" indent="1"/>
    </xf>
    <xf numFmtId="164" fontId="84" fillId="0" borderId="80" xfId="0" applyNumberFormat="1" applyFont="1" applyBorder="1" applyAlignment="1">
      <alignment horizontal="right" vertical="center" indent="1"/>
    </xf>
    <xf numFmtId="164" fontId="84" fillId="0" borderId="114" xfId="0" applyNumberFormat="1" applyFont="1" applyBorder="1" applyAlignment="1">
      <alignment horizontal="right" vertical="center" indent="1"/>
    </xf>
    <xf numFmtId="179" fontId="55" fillId="0" borderId="0" xfId="0" applyNumberFormat="1" applyFont="1" applyAlignment="1">
      <alignment vertical="center" wrapText="1"/>
    </xf>
    <xf numFmtId="0" fontId="84" fillId="0" borderId="0" xfId="0" applyFont="1" applyAlignment="1" applyProtection="1">
      <alignment vertical="center" wrapText="1"/>
      <protection locked="0"/>
    </xf>
    <xf numFmtId="0" fontId="55" fillId="0" borderId="82" xfId="0" applyFont="1" applyBorder="1" applyAlignment="1">
      <alignment vertical="center" wrapText="1"/>
    </xf>
    <xf numFmtId="164" fontId="84" fillId="6" borderId="80" xfId="0" applyNumberFormat="1" applyFont="1" applyFill="1" applyBorder="1" applyAlignment="1">
      <alignment horizontal="right" vertical="center" indent="1"/>
    </xf>
    <xf numFmtId="0" fontId="55" fillId="0" borderId="81" xfId="0" quotePrefix="1" applyFont="1" applyBorder="1" applyAlignment="1">
      <alignment horizontal="left" vertical="center" wrapText="1"/>
    </xf>
    <xf numFmtId="164" fontId="57" fillId="6" borderId="80" xfId="0" applyNumberFormat="1" applyFont="1" applyFill="1" applyBorder="1" applyAlignment="1">
      <alignment horizontal="right" vertical="center" indent="1"/>
    </xf>
    <xf numFmtId="164" fontId="55" fillId="0" borderId="80" xfId="0" applyNumberFormat="1" applyFont="1" applyBorder="1" applyAlignment="1">
      <alignment horizontal="right" vertical="center" indent="1"/>
    </xf>
    <xf numFmtId="0" fontId="55" fillId="0" borderId="80" xfId="0" applyFont="1" applyBorder="1" applyAlignment="1">
      <alignment horizontal="left" vertical="center" wrapText="1"/>
    </xf>
    <xf numFmtId="164" fontId="92" fillId="0" borderId="7" xfId="0" applyNumberFormat="1" applyFont="1" applyBorder="1" applyAlignment="1">
      <alignment horizontal="right" vertical="center" indent="1"/>
    </xf>
    <xf numFmtId="0" fontId="84" fillId="0" borderId="80" xfId="0" applyFont="1" applyBorder="1" applyAlignment="1">
      <alignment horizontal="left" vertical="center" wrapText="1"/>
    </xf>
    <xf numFmtId="0" fontId="92" fillId="0" borderId="80" xfId="0" applyFont="1" applyBorder="1" applyAlignment="1">
      <alignment horizontal="left" vertical="center" wrapText="1" indent="2"/>
    </xf>
    <xf numFmtId="0" fontId="84" fillId="0" borderId="95" xfId="0" applyFont="1" applyBorder="1" applyAlignment="1">
      <alignment horizontal="left" vertical="center" wrapText="1" indent="2"/>
    </xf>
    <xf numFmtId="0" fontId="84" fillId="0" borderId="115" xfId="0" quotePrefix="1" applyFont="1" applyBorder="1" applyAlignment="1">
      <alignment horizontal="left" vertical="center" wrapText="1"/>
    </xf>
    <xf numFmtId="0" fontId="49" fillId="0" borderId="116" xfId="0" applyFont="1" applyBorder="1" applyAlignment="1" applyProtection="1">
      <alignment horizontal="center" vertical="center" wrapText="1"/>
      <protection locked="0"/>
    </xf>
    <xf numFmtId="0" fontId="84" fillId="0" borderId="90" xfId="0" applyFont="1" applyBorder="1" applyAlignment="1">
      <alignment horizontal="center" vertical="center" wrapText="1"/>
    </xf>
    <xf numFmtId="164" fontId="84" fillId="0" borderId="80" xfId="118" applyNumberFormat="1" applyFont="1" applyFill="1" applyBorder="1" applyAlignment="1" applyProtection="1">
      <alignment horizontal="right" vertical="center" indent="1"/>
    </xf>
    <xf numFmtId="164" fontId="84" fillId="0" borderId="7" xfId="118" applyNumberFormat="1" applyFont="1" applyFill="1" applyBorder="1" applyAlignment="1" applyProtection="1">
      <alignment horizontal="right" vertical="center" indent="1"/>
    </xf>
    <xf numFmtId="0" fontId="49" fillId="6" borderId="81" xfId="0" applyFont="1" applyFill="1" applyBorder="1" applyAlignment="1">
      <alignment horizontal="center" vertical="center" wrapText="1"/>
    </xf>
    <xf numFmtId="164" fontId="49" fillId="6" borderId="80" xfId="118" applyNumberFormat="1" applyFont="1" applyFill="1" applyBorder="1" applyAlignment="1" applyProtection="1">
      <alignment horizontal="right" vertical="center" indent="1"/>
    </xf>
    <xf numFmtId="164" fontId="49" fillId="6" borderId="7" xfId="118" applyNumberFormat="1" applyFont="1" applyFill="1" applyBorder="1" applyAlignment="1" applyProtection="1">
      <alignment horizontal="right" vertical="center" indent="1"/>
    </xf>
    <xf numFmtId="0" fontId="84" fillId="0" borderId="81" xfId="0" applyFont="1" applyBorder="1" applyAlignment="1">
      <alignment horizontal="center" vertical="center" wrapText="1"/>
    </xf>
    <xf numFmtId="0" fontId="90" fillId="0" borderId="81" xfId="0" applyFont="1" applyBorder="1" applyAlignment="1">
      <alignment horizontal="left" vertical="center" wrapText="1"/>
    </xf>
    <xf numFmtId="0" fontId="55" fillId="0" borderId="81" xfId="0" applyFont="1" applyBorder="1" applyAlignment="1">
      <alignment horizontal="center" vertical="center" wrapText="1"/>
    </xf>
    <xf numFmtId="0" fontId="87" fillId="0" borderId="0" xfId="119" applyFont="1" applyAlignment="1">
      <alignment vertical="center" wrapText="1"/>
    </xf>
    <xf numFmtId="0" fontId="84" fillId="0" borderId="80" xfId="119" applyFont="1" applyBorder="1" applyAlignment="1">
      <alignment horizontal="left" vertical="center" wrapText="1" indent="2"/>
    </xf>
    <xf numFmtId="164" fontId="55" fillId="0" borderId="7" xfId="119" applyNumberFormat="1" applyFont="1" applyBorder="1" applyAlignment="1">
      <alignment horizontal="right" vertical="center" indent="1"/>
    </xf>
    <xf numFmtId="164" fontId="55" fillId="0" borderId="81" xfId="119" applyNumberFormat="1" applyFont="1" applyBorder="1" applyAlignment="1">
      <alignment horizontal="right" vertical="center" indent="1"/>
    </xf>
    <xf numFmtId="0" fontId="95" fillId="0" borderId="80" xfId="0" applyFont="1" applyBorder="1" applyAlignment="1">
      <alignment horizontal="center" vertical="center" wrapText="1"/>
    </xf>
    <xf numFmtId="0" fontId="95" fillId="0" borderId="81" xfId="0" applyFont="1" applyBorder="1" applyAlignment="1">
      <alignment horizontal="center" vertical="center" wrapText="1"/>
    </xf>
    <xf numFmtId="0" fontId="96" fillId="0" borderId="117" xfId="0" applyFont="1" applyBorder="1" applyAlignment="1">
      <alignment horizontal="left" vertical="center" wrapText="1"/>
    </xf>
    <xf numFmtId="0" fontId="97" fillId="0" borderId="117" xfId="0" applyFont="1" applyBorder="1" applyAlignment="1">
      <alignment horizontal="left" vertical="center" wrapText="1"/>
    </xf>
    <xf numFmtId="0" fontId="84" fillId="0" borderId="81" xfId="0" quotePrefix="1" applyFont="1" applyBorder="1" applyAlignment="1">
      <alignment horizontal="center" vertical="center" wrapText="1"/>
    </xf>
    <xf numFmtId="1" fontId="84" fillId="0" borderId="81" xfId="0" applyNumberFormat="1" applyFont="1" applyBorder="1" applyAlignment="1">
      <alignment horizontal="center" vertical="center" wrapText="1"/>
    </xf>
    <xf numFmtId="0" fontId="98" fillId="0" borderId="81" xfId="0" quotePrefix="1" applyFont="1" applyBorder="1" applyAlignment="1">
      <alignment horizontal="left" vertical="center" wrapText="1"/>
    </xf>
    <xf numFmtId="0" fontId="55" fillId="7" borderId="81" xfId="0" applyFont="1" applyFill="1" applyBorder="1" applyAlignment="1">
      <alignment horizontal="left" vertical="center" wrapText="1"/>
    </xf>
    <xf numFmtId="185" fontId="84" fillId="0" borderId="81" xfId="101" applyNumberFormat="1" applyFont="1" applyFill="1" applyBorder="1" applyAlignment="1">
      <alignment horizontal="center" vertical="center" wrapText="1"/>
    </xf>
    <xf numFmtId="179" fontId="49" fillId="0" borderId="118" xfId="0" applyNumberFormat="1" applyFont="1" applyBorder="1" applyAlignment="1">
      <alignment horizontal="center" vertical="center" wrapText="1"/>
    </xf>
    <xf numFmtId="164" fontId="49" fillId="0" borderId="119" xfId="0" applyNumberFormat="1" applyFont="1" applyBorder="1" applyAlignment="1">
      <alignment horizontal="right" vertical="center" wrapText="1"/>
    </xf>
    <xf numFmtId="184" fontId="57" fillId="0" borderId="55" xfId="0" applyNumberFormat="1" applyFont="1" applyBorder="1" applyAlignment="1">
      <alignment horizontal="center" vertical="center" wrapText="1"/>
    </xf>
    <xf numFmtId="164" fontId="57" fillId="0" borderId="9" xfId="0" applyNumberFormat="1" applyFont="1" applyBorder="1" applyAlignment="1">
      <alignment horizontal="right" vertical="center" wrapText="1"/>
    </xf>
    <xf numFmtId="179" fontId="49" fillId="0" borderId="120" xfId="0" applyNumberFormat="1" applyFont="1" applyBorder="1" applyAlignment="1">
      <alignment horizontal="center" vertical="center" wrapText="1"/>
    </xf>
    <xf numFmtId="164" fontId="49" fillId="0" borderId="121" xfId="0" applyNumberFormat="1" applyFont="1" applyBorder="1" applyAlignment="1">
      <alignment horizontal="right" vertical="center" wrapText="1"/>
    </xf>
    <xf numFmtId="182" fontId="51" fillId="8" borderId="95" xfId="0" applyNumberFormat="1" applyFont="1" applyFill="1" applyBorder="1" applyAlignment="1">
      <alignment horizontal="center" vertical="center" wrapText="1"/>
    </xf>
    <xf numFmtId="182" fontId="51" fillId="8" borderId="0" xfId="0" applyNumberFormat="1" applyFont="1" applyFill="1" applyAlignment="1">
      <alignment horizontal="center" vertical="center" wrapText="1"/>
    </xf>
    <xf numFmtId="182" fontId="51" fillId="8" borderId="92" xfId="0" applyNumberFormat="1" applyFont="1" applyFill="1" applyBorder="1" applyAlignment="1">
      <alignment horizontal="center" vertical="center" wrapText="1"/>
    </xf>
    <xf numFmtId="164" fontId="49" fillId="8" borderId="7" xfId="0" applyNumberFormat="1" applyFont="1" applyFill="1" applyBorder="1" applyAlignment="1">
      <alignment horizontal="right" vertical="center" wrapText="1"/>
    </xf>
    <xf numFmtId="164" fontId="49" fillId="8" borderId="81" xfId="0" applyNumberFormat="1" applyFont="1" applyFill="1" applyBorder="1" applyAlignment="1">
      <alignment horizontal="right" vertical="center" wrapText="1"/>
    </xf>
    <xf numFmtId="164" fontId="84" fillId="0" borderId="122" xfId="118" applyNumberFormat="1" applyFont="1" applyFill="1" applyBorder="1" applyAlignment="1" applyProtection="1">
      <alignment horizontal="right" vertical="center" indent="1"/>
    </xf>
    <xf numFmtId="179" fontId="49" fillId="8" borderId="122" xfId="0" applyNumberFormat="1" applyFont="1" applyFill="1" applyBorder="1" applyAlignment="1">
      <alignment horizontal="center" vertical="center" wrapText="1"/>
    </xf>
    <xf numFmtId="2" fontId="55" fillId="0" borderId="80" xfId="0" applyNumberFormat="1" applyFont="1" applyBorder="1" applyAlignment="1">
      <alignment horizontal="left" vertical="center" wrapText="1" indent="2"/>
    </xf>
    <xf numFmtId="164" fontId="1" fillId="0" borderId="24" xfId="0" applyNumberFormat="1" applyFont="1" applyBorder="1" applyAlignment="1">
      <alignment horizontal="center" vertical="center"/>
    </xf>
    <xf numFmtId="164" fontId="1" fillId="0" borderId="23" xfId="0" applyNumberFormat="1" applyFont="1" applyBorder="1" applyAlignment="1">
      <alignment horizontal="center" vertical="center"/>
    </xf>
    <xf numFmtId="164" fontId="1" fillId="0" borderId="0" xfId="0" applyNumberFormat="1" applyFont="1" applyAlignment="1">
      <alignment horizontal="center" vertical="center"/>
    </xf>
    <xf numFmtId="0" fontId="1" fillId="0" borderId="26" xfId="0" quotePrefix="1" applyFont="1" applyBorder="1" applyAlignment="1">
      <alignment horizontal="center" vertical="center" wrapText="1"/>
    </xf>
    <xf numFmtId="164" fontId="84" fillId="0" borderId="122" xfId="0" applyNumberFormat="1" applyFont="1" applyBorder="1" applyAlignment="1">
      <alignment horizontal="right" vertical="center" indent="1"/>
    </xf>
    <xf numFmtId="164" fontId="84" fillId="6" borderId="122" xfId="0" applyNumberFormat="1" applyFont="1" applyFill="1" applyBorder="1" applyAlignment="1">
      <alignment horizontal="right" vertical="center" indent="1"/>
    </xf>
    <xf numFmtId="0" fontId="84" fillId="0" borderId="122" xfId="0" applyFont="1" applyBorder="1" applyAlignment="1">
      <alignment horizontal="center" vertical="center" wrapText="1"/>
    </xf>
    <xf numFmtId="0" fontId="55" fillId="0" borderId="122" xfId="0" applyFont="1" applyBorder="1" applyAlignment="1">
      <alignment horizontal="center" vertical="center" wrapText="1"/>
    </xf>
    <xf numFmtId="164" fontId="57" fillId="6" borderId="122" xfId="0" applyNumberFormat="1" applyFont="1" applyFill="1" applyBorder="1" applyAlignment="1">
      <alignment horizontal="right" vertical="center" indent="1"/>
    </xf>
    <xf numFmtId="164" fontId="49" fillId="6" borderId="122" xfId="0" applyNumberFormat="1" applyFont="1" applyFill="1" applyBorder="1" applyAlignment="1">
      <alignment horizontal="right" vertical="center" indent="1"/>
    </xf>
    <xf numFmtId="164" fontId="55" fillId="0" borderId="122" xfId="0" applyNumberFormat="1" applyFont="1" applyBorder="1" applyAlignment="1">
      <alignment horizontal="right" vertical="center" indent="1"/>
    </xf>
    <xf numFmtId="0" fontId="5" fillId="0" borderId="9" xfId="0" applyFont="1" applyBorder="1" applyAlignment="1">
      <alignment horizontal="center" vertical="center"/>
    </xf>
    <xf numFmtId="0" fontId="1" fillId="0" borderId="9" xfId="0" applyFont="1" applyBorder="1" applyAlignment="1">
      <alignment horizontal="center" vertical="center"/>
    </xf>
    <xf numFmtId="4" fontId="5" fillId="0" borderId="9" xfId="0" applyNumberFormat="1" applyFont="1" applyBorder="1" applyAlignment="1">
      <alignment horizontal="right" vertical="center"/>
    </xf>
    <xf numFmtId="164" fontId="5" fillId="0" borderId="9" xfId="0" applyNumberFormat="1" applyFont="1" applyBorder="1" applyAlignment="1">
      <alignment vertical="center"/>
    </xf>
    <xf numFmtId="0" fontId="3" fillId="0" borderId="9" xfId="0" applyFont="1" applyBorder="1" applyAlignment="1">
      <alignment horizontal="center" vertical="center"/>
    </xf>
    <xf numFmtId="0" fontId="3" fillId="0" borderId="9" xfId="0" applyFont="1" applyBorder="1" applyAlignment="1">
      <alignment vertical="center"/>
    </xf>
    <xf numFmtId="0" fontId="22" fillId="0" borderId="46" xfId="0" applyFont="1" applyBorder="1" applyAlignment="1">
      <alignment horizontal="center" vertical="center"/>
    </xf>
    <xf numFmtId="0" fontId="22" fillId="0" borderId="56" xfId="0" applyFont="1" applyBorder="1" applyAlignment="1">
      <alignment horizontal="center" vertical="center"/>
    </xf>
    <xf numFmtId="0" fontId="22" fillId="0" borderId="47" xfId="0" applyFont="1" applyBorder="1" applyAlignment="1">
      <alignment horizontal="center" vertical="center"/>
    </xf>
    <xf numFmtId="0" fontId="9" fillId="2" borderId="3" xfId="0" applyFont="1" applyFill="1" applyBorder="1" applyAlignment="1">
      <alignment horizontal="center" vertical="center" wrapText="1"/>
    </xf>
    <xf numFmtId="0" fontId="9" fillId="2" borderId="4" xfId="0" applyFont="1" applyFill="1" applyBorder="1" applyAlignment="1">
      <alignment horizontal="center" vertical="center" wrapText="1"/>
    </xf>
    <xf numFmtId="0" fontId="9" fillId="2" borderId="13" xfId="0" applyFont="1" applyFill="1" applyBorder="1" applyAlignment="1">
      <alignment horizontal="center" vertical="center" wrapText="1"/>
    </xf>
    <xf numFmtId="0" fontId="21" fillId="0" borderId="3" xfId="0" applyFont="1" applyBorder="1" applyAlignment="1">
      <alignment horizontal="center" vertical="center" wrapText="1"/>
    </xf>
    <xf numFmtId="0" fontId="20" fillId="0" borderId="4" xfId="0" applyFont="1" applyBorder="1" applyAlignment="1">
      <alignment horizontal="center" vertical="center" wrapText="1"/>
    </xf>
    <xf numFmtId="0" fontId="20" fillId="0" borderId="4" xfId="0" applyFont="1" applyBorder="1" applyAlignment="1">
      <alignment horizontal="center" vertical="center"/>
    </xf>
    <xf numFmtId="0" fontId="20" fillId="0" borderId="13" xfId="0" applyFont="1" applyBorder="1" applyAlignment="1">
      <alignment horizontal="center" vertical="center"/>
    </xf>
    <xf numFmtId="0" fontId="22" fillId="0" borderId="4" xfId="0" applyFont="1" applyBorder="1" applyAlignment="1">
      <alignment horizontal="left" vertical="center"/>
    </xf>
    <xf numFmtId="0" fontId="22" fillId="0" borderId="49" xfId="0" applyFont="1" applyBorder="1" applyAlignment="1">
      <alignment horizontal="left" vertical="center"/>
    </xf>
    <xf numFmtId="0" fontId="1" fillId="0" borderId="25" xfId="0" applyFont="1" applyBorder="1" applyAlignment="1">
      <alignment horizontal="left" vertical="center" wrapText="1"/>
    </xf>
    <xf numFmtId="0" fontId="1" fillId="0" borderId="10" xfId="0" applyFont="1" applyBorder="1" applyAlignment="1">
      <alignment horizontal="left" vertical="center" wrapText="1"/>
    </xf>
    <xf numFmtId="0" fontId="8" fillId="0" borderId="43" xfId="0" applyFont="1" applyBorder="1" applyAlignment="1">
      <alignment horizontal="center" vertical="center"/>
    </xf>
    <xf numFmtId="0" fontId="8" fillId="0" borderId="54" xfId="0" applyFont="1" applyBorder="1" applyAlignment="1">
      <alignment horizontal="center" vertical="center"/>
    </xf>
    <xf numFmtId="0" fontId="8" fillId="0" borderId="44" xfId="0" applyFont="1" applyBorder="1" applyAlignment="1">
      <alignment horizontal="center" vertical="center"/>
    </xf>
    <xf numFmtId="0" fontId="28" fillId="0" borderId="39" xfId="0" applyFont="1" applyBorder="1" applyAlignment="1">
      <alignment horizontal="center" vertical="center"/>
    </xf>
    <xf numFmtId="0" fontId="28" fillId="0" borderId="55" xfId="0" applyFont="1" applyBorder="1" applyAlignment="1">
      <alignment horizontal="center" vertical="center"/>
    </xf>
    <xf numFmtId="0" fontId="28" fillId="0" borderId="9" xfId="0" applyFont="1" applyBorder="1" applyAlignment="1">
      <alignment horizontal="center" vertical="center"/>
    </xf>
    <xf numFmtId="0" fontId="24" fillId="0" borderId="34" xfId="0" applyFont="1" applyBorder="1" applyAlignment="1">
      <alignment horizontal="center" vertical="center" wrapText="1"/>
    </xf>
    <xf numFmtId="0" fontId="24" fillId="0" borderId="25" xfId="0" applyFont="1" applyBorder="1" applyAlignment="1">
      <alignment horizontal="center" vertical="center" wrapText="1"/>
    </xf>
    <xf numFmtId="0" fontId="24" fillId="0" borderId="23" xfId="0" applyFont="1" applyBorder="1" applyAlignment="1">
      <alignment horizontal="center" vertical="center" wrapText="1"/>
    </xf>
    <xf numFmtId="164" fontId="1" fillId="0" borderId="24" xfId="0" applyNumberFormat="1" applyFont="1" applyBorder="1" applyAlignment="1">
      <alignment horizontal="center" vertical="center"/>
    </xf>
    <xf numFmtId="164" fontId="1" fillId="0" borderId="23" xfId="0" applyNumberFormat="1" applyFont="1" applyBorder="1" applyAlignment="1">
      <alignment horizontal="center" vertical="center"/>
    </xf>
    <xf numFmtId="0" fontId="4" fillId="0" borderId="20" xfId="0" applyFont="1" applyBorder="1" applyAlignment="1">
      <alignment horizontal="center" vertical="center" wrapText="1"/>
    </xf>
    <xf numFmtId="0" fontId="4" fillId="0" borderId="21" xfId="0" applyFont="1" applyBorder="1" applyAlignment="1">
      <alignment horizontal="center" vertical="center" wrapText="1"/>
    </xf>
    <xf numFmtId="4" fontId="13" fillId="3" borderId="1" xfId="1" applyNumberFormat="1" applyFont="1" applyFill="1" applyBorder="1" applyAlignment="1">
      <alignment horizontal="center" vertical="center" wrapText="1"/>
    </xf>
    <xf numFmtId="4" fontId="13" fillId="3" borderId="2" xfId="1" applyNumberFormat="1" applyFont="1" applyFill="1" applyBorder="1" applyAlignment="1">
      <alignment horizontal="center" vertical="center" wrapText="1"/>
    </xf>
    <xf numFmtId="164" fontId="8" fillId="0" borderId="30" xfId="0" applyNumberFormat="1" applyFont="1" applyBorder="1" applyAlignment="1">
      <alignment horizontal="center" vertical="center"/>
    </xf>
    <xf numFmtId="164" fontId="8" fillId="0" borderId="31" xfId="0" applyNumberFormat="1" applyFont="1" applyBorder="1" applyAlignment="1">
      <alignment horizontal="center" vertical="center"/>
    </xf>
    <xf numFmtId="164" fontId="1" fillId="0" borderId="28" xfId="0" applyNumberFormat="1" applyFont="1" applyBorder="1" applyAlignment="1">
      <alignment horizontal="center" vertical="center"/>
    </xf>
    <xf numFmtId="164" fontId="1" fillId="0" borderId="29" xfId="0" applyNumberFormat="1" applyFont="1" applyBorder="1" applyAlignment="1">
      <alignment horizontal="center" vertical="center"/>
    </xf>
    <xf numFmtId="0" fontId="75" fillId="0" borderId="74" xfId="0" applyFont="1" applyBorder="1" applyAlignment="1">
      <alignment vertical="center" wrapText="1"/>
    </xf>
    <xf numFmtId="0" fontId="75" fillId="0" borderId="76" xfId="0" applyFont="1" applyBorder="1" applyAlignment="1">
      <alignment vertical="center" wrapText="1"/>
    </xf>
    <xf numFmtId="0" fontId="1" fillId="0" borderId="74" xfId="0" applyFont="1" applyBorder="1" applyAlignment="1">
      <alignment horizontal="left" vertical="center" wrapText="1"/>
    </xf>
    <xf numFmtId="0" fontId="1" fillId="0" borderId="76" xfId="0" applyFont="1" applyBorder="1" applyAlignment="1">
      <alignment horizontal="left" vertical="center" wrapText="1"/>
    </xf>
    <xf numFmtId="0" fontId="73" fillId="5" borderId="74" xfId="0" applyFont="1" applyFill="1" applyBorder="1" applyAlignment="1">
      <alignment vertical="center" wrapText="1"/>
    </xf>
    <xf numFmtId="0" fontId="73" fillId="5" borderId="76" xfId="0" applyFont="1" applyFill="1" applyBorder="1" applyAlignment="1">
      <alignment vertical="center" wrapText="1"/>
    </xf>
    <xf numFmtId="0" fontId="77" fillId="0" borderId="74" xfId="0" applyFont="1" applyBorder="1" applyAlignment="1">
      <alignment vertical="center" wrapText="1"/>
    </xf>
    <xf numFmtId="0" fontId="77" fillId="0" borderId="76" xfId="0" applyFont="1" applyBorder="1" applyAlignment="1">
      <alignment vertical="center" wrapText="1"/>
    </xf>
    <xf numFmtId="0" fontId="74" fillId="0" borderId="74" xfId="0" applyFont="1" applyBorder="1" applyAlignment="1">
      <alignment vertical="center" wrapText="1"/>
    </xf>
    <xf numFmtId="0" fontId="74" fillId="0" borderId="76" xfId="0" applyFont="1" applyBorder="1" applyAlignment="1">
      <alignment vertical="center" wrapText="1"/>
    </xf>
    <xf numFmtId="0" fontId="78" fillId="0" borderId="74" xfId="0" applyFont="1" applyBorder="1" applyAlignment="1">
      <alignment horizontal="right" vertical="center" wrapText="1"/>
    </xf>
    <xf numFmtId="0" fontId="78" fillId="0" borderId="76" xfId="0" applyFont="1" applyBorder="1" applyAlignment="1">
      <alignment horizontal="right" vertical="center" wrapText="1"/>
    </xf>
    <xf numFmtId="0" fontId="79" fillId="0" borderId="74" xfId="0" applyFont="1" applyBorder="1" applyAlignment="1">
      <alignment horizontal="right" vertical="center" wrapText="1"/>
    </xf>
    <xf numFmtId="0" fontId="79" fillId="0" borderId="76" xfId="0" applyFont="1" applyBorder="1" applyAlignment="1">
      <alignment horizontal="right" vertical="center" wrapText="1"/>
    </xf>
    <xf numFmtId="0" fontId="76" fillId="0" borderId="74" xfId="0" applyFont="1" applyBorder="1" applyAlignment="1">
      <alignment vertical="center" wrapText="1"/>
    </xf>
    <xf numFmtId="0" fontId="76" fillId="0" borderId="76" xfId="0" applyFont="1" applyBorder="1" applyAlignment="1">
      <alignment vertical="center" wrapText="1"/>
    </xf>
    <xf numFmtId="0" fontId="80" fillId="0" borderId="74" xfId="0" applyFont="1" applyBorder="1" applyAlignment="1">
      <alignment horizontal="right" vertical="center" wrapText="1"/>
    </xf>
    <xf numFmtId="0" fontId="80" fillId="0" borderId="76" xfId="0" applyFont="1" applyBorder="1" applyAlignment="1">
      <alignment horizontal="right" vertical="center" wrapText="1"/>
    </xf>
    <xf numFmtId="0" fontId="17" fillId="0" borderId="25" xfId="0" applyFont="1" applyBorder="1" applyAlignment="1">
      <alignment horizontal="left" vertical="center" wrapText="1"/>
    </xf>
    <xf numFmtId="0" fontId="17" fillId="0" borderId="10" xfId="0" applyFont="1" applyBorder="1" applyAlignment="1">
      <alignment horizontal="left" vertical="center" wrapText="1"/>
    </xf>
    <xf numFmtId="0" fontId="1" fillId="0" borderId="9" xfId="0" applyFont="1" applyBorder="1" applyAlignment="1">
      <alignment horizontal="center" vertical="center" wrapText="1"/>
    </xf>
    <xf numFmtId="182" fontId="51" fillId="0" borderId="99" xfId="0" applyNumberFormat="1" applyFont="1" applyBorder="1" applyAlignment="1">
      <alignment horizontal="center" vertical="center" wrapText="1"/>
    </xf>
    <xf numFmtId="182" fontId="51" fillId="0" borderId="91" xfId="0" applyNumberFormat="1" applyFont="1" applyBorder="1" applyAlignment="1">
      <alignment horizontal="center" vertical="center" wrapText="1"/>
    </xf>
    <xf numFmtId="182" fontId="51" fillId="0" borderId="100" xfId="0" applyNumberFormat="1" applyFont="1" applyBorder="1" applyAlignment="1">
      <alignment horizontal="center" vertical="center" wrapText="1"/>
    </xf>
    <xf numFmtId="182" fontId="51" fillId="0" borderId="95" xfId="0" applyNumberFormat="1" applyFont="1" applyBorder="1" applyAlignment="1">
      <alignment horizontal="center" vertical="center" wrapText="1"/>
    </xf>
    <xf numFmtId="182" fontId="51" fillId="0" borderId="0" xfId="0" applyNumberFormat="1" applyFont="1" applyAlignment="1">
      <alignment horizontal="center" vertical="center" wrapText="1"/>
    </xf>
    <xf numFmtId="182" fontId="51" fillId="0" borderId="92" xfId="0" applyNumberFormat="1" applyFont="1" applyBorder="1" applyAlignment="1">
      <alignment horizontal="center" vertical="center" wrapText="1"/>
    </xf>
    <xf numFmtId="182" fontId="51" fillId="0" borderId="109" xfId="0" applyNumberFormat="1" applyFont="1" applyBorder="1" applyAlignment="1">
      <alignment horizontal="center" vertical="center" wrapText="1"/>
    </xf>
    <xf numFmtId="182" fontId="51" fillId="0" borderId="19" xfId="0" applyNumberFormat="1" applyFont="1" applyBorder="1" applyAlignment="1">
      <alignment horizontal="center" vertical="center" wrapText="1"/>
    </xf>
    <xf numFmtId="182" fontId="51" fillId="0" borderId="110" xfId="0" applyNumberFormat="1" applyFont="1" applyBorder="1" applyAlignment="1">
      <alignment horizontal="center" vertical="center" wrapText="1"/>
    </xf>
    <xf numFmtId="0" fontId="85" fillId="7" borderId="99" xfId="0" applyFont="1" applyFill="1" applyBorder="1" applyAlignment="1">
      <alignment horizontal="center" wrapText="1"/>
    </xf>
    <xf numFmtId="0" fontId="85" fillId="7" borderId="91" xfId="0" applyFont="1" applyFill="1" applyBorder="1" applyAlignment="1">
      <alignment horizontal="center" wrapText="1"/>
    </xf>
    <xf numFmtId="0" fontId="85" fillId="7" borderId="100" xfId="0" applyFont="1" applyFill="1" applyBorder="1" applyAlignment="1">
      <alignment horizontal="center" wrapText="1"/>
    </xf>
    <xf numFmtId="0" fontId="86" fillId="0" borderId="95" xfId="0" applyFont="1" applyBorder="1" applyAlignment="1">
      <alignment horizontal="center" vertical="center" wrapText="1"/>
    </xf>
    <xf numFmtId="0" fontId="86" fillId="0" borderId="0" xfId="0" applyFont="1" applyAlignment="1">
      <alignment horizontal="center" vertical="center" wrapText="1"/>
    </xf>
    <xf numFmtId="0" fontId="86" fillId="0" borderId="92" xfId="0" applyFont="1" applyBorder="1" applyAlignment="1">
      <alignment horizontal="center" vertical="center" wrapText="1"/>
    </xf>
    <xf numFmtId="14" fontId="57" fillId="0" borderId="109" xfId="0" applyNumberFormat="1" applyFont="1" applyBorder="1" applyAlignment="1">
      <alignment horizontal="center" vertical="top" wrapText="1"/>
    </xf>
    <xf numFmtId="14" fontId="57" fillId="0" borderId="19" xfId="0" applyNumberFormat="1" applyFont="1" applyBorder="1" applyAlignment="1">
      <alignment horizontal="center" vertical="top" wrapText="1"/>
    </xf>
    <xf numFmtId="14" fontId="57" fillId="0" borderId="110" xfId="0" applyNumberFormat="1" applyFont="1" applyBorder="1" applyAlignment="1">
      <alignment horizontal="center" vertical="top" wrapText="1"/>
    </xf>
    <xf numFmtId="0" fontId="49" fillId="0" borderId="82" xfId="0" applyFont="1" applyBorder="1" applyAlignment="1" applyProtection="1">
      <alignment horizontal="center" vertical="center" wrapText="1"/>
      <protection locked="0"/>
    </xf>
    <xf numFmtId="0" fontId="49" fillId="0" borderId="83" xfId="0" applyFont="1" applyBorder="1" applyAlignment="1" applyProtection="1">
      <alignment horizontal="center" vertical="center" wrapText="1"/>
      <protection locked="0"/>
    </xf>
    <xf numFmtId="0" fontId="55" fillId="0" borderId="82" xfId="0" applyFont="1" applyBorder="1" applyAlignment="1" applyProtection="1">
      <alignment horizontal="center" vertical="center" wrapText="1"/>
      <protection locked="0"/>
    </xf>
    <xf numFmtId="0" fontId="55" fillId="0" borderId="85" xfId="0" applyFont="1" applyBorder="1" applyAlignment="1" applyProtection="1">
      <alignment horizontal="center" vertical="center" wrapText="1"/>
      <protection locked="0"/>
    </xf>
    <xf numFmtId="0" fontId="55" fillId="0" borderId="83" xfId="0" applyFont="1" applyBorder="1" applyAlignment="1" applyProtection="1">
      <alignment horizontal="center" vertical="center" wrapText="1"/>
      <protection locked="0"/>
    </xf>
    <xf numFmtId="0" fontId="85" fillId="9" borderId="99" xfId="0" applyFont="1" applyFill="1" applyBorder="1" applyAlignment="1">
      <alignment horizontal="center" wrapText="1"/>
    </xf>
    <xf numFmtId="0" fontId="85" fillId="9" borderId="91" xfId="0" applyFont="1" applyFill="1" applyBorder="1" applyAlignment="1">
      <alignment horizontal="center" wrapText="1"/>
    </xf>
    <xf numFmtId="0" fontId="85" fillId="9" borderId="100" xfId="0" applyFont="1" applyFill="1" applyBorder="1" applyAlignment="1">
      <alignment horizontal="center" wrapText="1"/>
    </xf>
    <xf numFmtId="0" fontId="5" fillId="0" borderId="71" xfId="0" applyFont="1" applyBorder="1" applyAlignment="1">
      <alignment horizontal="center" vertical="center"/>
    </xf>
    <xf numFmtId="0" fontId="5" fillId="0" borderId="7" xfId="0" applyFont="1" applyBorder="1" applyAlignment="1">
      <alignment horizontal="center" vertical="center"/>
    </xf>
    <xf numFmtId="0" fontId="5" fillId="0" borderId="17" xfId="0" applyFont="1" applyBorder="1" applyAlignment="1">
      <alignment horizontal="center" vertical="center"/>
    </xf>
    <xf numFmtId="164" fontId="1" fillId="0" borderId="72" xfId="0" applyNumberFormat="1" applyFont="1" applyBorder="1" applyAlignment="1">
      <alignment horizontal="right" vertical="center"/>
    </xf>
    <xf numFmtId="164" fontId="1" fillId="0" borderId="60" xfId="0" applyNumberFormat="1" applyFont="1" applyBorder="1" applyAlignment="1">
      <alignment horizontal="right" vertical="center"/>
    </xf>
    <xf numFmtId="164" fontId="1" fillId="0" borderId="15" xfId="0" applyNumberFormat="1" applyFont="1" applyBorder="1" applyAlignment="1">
      <alignment horizontal="right" vertical="center"/>
    </xf>
    <xf numFmtId="164" fontId="1" fillId="0" borderId="71" xfId="0" applyNumberFormat="1" applyFont="1" applyBorder="1" applyAlignment="1">
      <alignment horizontal="right" vertical="center"/>
    </xf>
    <xf numFmtId="164" fontId="1" fillId="0" borderId="7" xfId="0" applyNumberFormat="1" applyFont="1" applyBorder="1" applyAlignment="1">
      <alignment horizontal="right" vertical="center"/>
    </xf>
    <xf numFmtId="164" fontId="1" fillId="0" borderId="17" xfId="0" applyNumberFormat="1" applyFont="1" applyBorder="1" applyAlignment="1">
      <alignment horizontal="right" vertical="center"/>
    </xf>
    <xf numFmtId="4" fontId="1" fillId="0" borderId="71" xfId="0" applyNumberFormat="1" applyFont="1" applyBorder="1" applyAlignment="1">
      <alignment horizontal="right" vertical="center"/>
    </xf>
    <xf numFmtId="4" fontId="1" fillId="0" borderId="7" xfId="0" applyNumberFormat="1" applyFont="1" applyBorder="1" applyAlignment="1">
      <alignment horizontal="right" vertical="center"/>
    </xf>
    <xf numFmtId="4" fontId="1" fillId="0" borderId="17" xfId="0" applyNumberFormat="1" applyFont="1" applyBorder="1" applyAlignment="1">
      <alignment horizontal="right" vertical="center"/>
    </xf>
    <xf numFmtId="0" fontId="85" fillId="0" borderId="0" xfId="0" applyFont="1" applyAlignment="1">
      <alignment horizontal="center" wrapText="1"/>
    </xf>
  </cellXfs>
  <cellStyles count="120">
    <cellStyle name="__iAO_Article" xfId="15" xr:uid="{44CC8B71-5597-4431-B099-414709673C98}"/>
    <cellStyle name="__iAO_Article 2" xfId="16" xr:uid="{61D5D5BE-A65A-4B28-8D7A-BAA230B4FEB1}"/>
    <cellStyle name="__iAO_Devis" xfId="17" xr:uid="{C23C05FB-D3EE-4A7B-9C65-D25AD294DA30}"/>
    <cellStyle name="__iAO_Localisation" xfId="18" xr:uid="{17E9D2C1-8612-4986-98C0-4DC14E2DDC26}"/>
    <cellStyle name="__iAO_Minute" xfId="19" xr:uid="{EC8DA26D-1D3F-467A-A5EF-969F7BE01339}"/>
    <cellStyle name="__iAO_MntArt" xfId="20" xr:uid="{69939FFC-2C43-465D-9541-4C4F1FD2E918}"/>
    <cellStyle name="__iAO_Montant" xfId="21" xr:uid="{C5432DDD-A7D0-4CFC-90B5-EBAA2DAD8AF4}"/>
    <cellStyle name="__iAO_Pourcent" xfId="22" xr:uid="{8618D24B-0293-4DD6-BC87-D30EF7D11902}"/>
    <cellStyle name="__iAO_Prix" xfId="23" xr:uid="{B8B2627E-A046-4D12-A531-7CB9E5C27807}"/>
    <cellStyle name="__iAO_qte0d" xfId="24" xr:uid="{428AF414-C674-4A68-8984-EF0272DBE15C}"/>
    <cellStyle name="__iAO_qte1d" xfId="25" xr:uid="{4717F944-24F1-4C82-A4AE-97B1A7137CA6}"/>
    <cellStyle name="__iAO_qte2d" xfId="26" xr:uid="{819F4406-3A3D-4786-8065-9CAC466D6D22}"/>
    <cellStyle name="__iAO_qte3d" xfId="27" xr:uid="{168C644A-DA39-450A-8C6F-D262549DA9E2}"/>
    <cellStyle name="__iAO_Reference" xfId="28" xr:uid="{F0E45739-DB7D-4D08-B259-7EFA0C2FCC62}"/>
    <cellStyle name="__iAO_Reference 2" xfId="29" xr:uid="{9E6A49DC-BEE5-425B-A23B-D042D54E990B}"/>
    <cellStyle name="__iAO_Titre1" xfId="30" xr:uid="{715E52A5-A95C-4A48-A09B-D9FF9AF5F42A}"/>
    <cellStyle name="__iAO_Titre2" xfId="31" xr:uid="{0069D62A-AF7A-4E0A-8943-E6C3D32A7D6E}"/>
    <cellStyle name="__iAO_Titre3" xfId="32" xr:uid="{F59E1D41-0A3E-4C18-A37F-7E200309564D}"/>
    <cellStyle name="__iAO_Titre4" xfId="33" xr:uid="{30E411C2-E6D8-4361-9C50-8DEF0DBE3786}"/>
    <cellStyle name="__iAO_Titre5" xfId="34" xr:uid="{9BF7A0B9-751E-484A-8004-4E23E67421DE}"/>
    <cellStyle name="__iAO_Titre6" xfId="35" xr:uid="{F0319305-EB27-4FB7-BC56-78E2BBDC955C}"/>
    <cellStyle name="__iAO_Titre7" xfId="36" xr:uid="{4A1CAC1C-E08C-40FD-82BA-CB7DBAAADB7F}"/>
    <cellStyle name="__iAO_Titre8" xfId="37" xr:uid="{1E6EB7D2-F5AD-489E-8BF1-FD7B5AE29321}"/>
    <cellStyle name="__iAO_Unite" xfId="38" xr:uid="{3F6B3A97-0839-4D6B-AAD9-7C67275B2D21}"/>
    <cellStyle name="§Q\?1@" xfId="39" xr:uid="{6F974B41-7EAC-464E-96BF-9D289CB85E97}"/>
    <cellStyle name="2" xfId="6" xr:uid="{38C8ECD3-3E70-4D14-A221-32A292DB1F1B}"/>
    <cellStyle name="Colonne1" xfId="40" xr:uid="{D230D48E-8A38-4B1A-B60E-E541206608B4}"/>
    <cellStyle name="Colonne10" xfId="41" xr:uid="{959DAF76-23F4-404B-A4DE-51DF40B96B6E}"/>
    <cellStyle name="Colonne11" xfId="42" xr:uid="{BD0F92E4-D605-47C6-967A-F4B41145B69E}"/>
    <cellStyle name="Colonne12" xfId="43" xr:uid="{F68712BF-7914-403E-A307-0FA530EF6312}"/>
    <cellStyle name="Colonne13" xfId="44" xr:uid="{FAA8E472-3162-44ED-AB17-E1F53A4DEBCE}"/>
    <cellStyle name="Colonne14" xfId="45" xr:uid="{EF50C39E-55D0-4927-A76A-3B5E9AB00460}"/>
    <cellStyle name="Colonne15" xfId="46" xr:uid="{1DFA63AD-E047-499F-A7D3-11A26398E1EB}"/>
    <cellStyle name="Colonne16" xfId="47" xr:uid="{88D76DA0-F811-42A9-80D7-63BA1B561173}"/>
    <cellStyle name="Colonne17" xfId="48" xr:uid="{508B3E9D-A1FA-4872-A414-56EDC628B7EC}"/>
    <cellStyle name="Colonne18" xfId="49" xr:uid="{A6B845CD-F5AA-452F-BF2E-42FBF1931AE9}"/>
    <cellStyle name="Colonne19" xfId="50" xr:uid="{D1A1A676-0C76-4530-844D-F094867A1C21}"/>
    <cellStyle name="Colonne2" xfId="51" xr:uid="{808935D7-C0E9-49F6-AE27-3E244AD1614F}"/>
    <cellStyle name="Colonne20" xfId="52" xr:uid="{94F4BA00-5200-4C09-BF64-46374234F06D}"/>
    <cellStyle name="Colonne21" xfId="53" xr:uid="{F7F8B53E-365D-40F7-A4CB-777CC753DE14}"/>
    <cellStyle name="Colonne22" xfId="54" xr:uid="{C22DDB73-CA89-4B3D-91A9-9D50C45E9E4D}"/>
    <cellStyle name="Colonne3" xfId="55" xr:uid="{39512263-C322-46FD-A5D2-05BDC3435207}"/>
    <cellStyle name="Colonne4" xfId="56" xr:uid="{BF9FFD2F-BF3B-4192-9640-83F675EF2A00}"/>
    <cellStyle name="Colonne5" xfId="57" xr:uid="{FBB08099-59AA-4A63-AD92-0A510CB26055}"/>
    <cellStyle name="Colonne6" xfId="58" xr:uid="{61164921-150F-4F30-883B-BA5F89EE98AB}"/>
    <cellStyle name="Colonne7" xfId="59" xr:uid="{5BF65001-1E4A-4673-976A-6D16CBEDA054}"/>
    <cellStyle name="Colonne8" xfId="60" xr:uid="{BEA7E56B-863A-4899-BA0B-0A1E0E1712F4}"/>
    <cellStyle name="Colonne9" xfId="61" xr:uid="{741A532A-D6F0-4709-8D5C-B683975C1679}"/>
    <cellStyle name="Date" xfId="7" xr:uid="{10723B27-A142-49E7-8A35-2CB66A65BCA5}"/>
    <cellStyle name="Definition" xfId="62" xr:uid="{788E7F08-E1C9-48E9-B264-E425C34900FC}"/>
    <cellStyle name="Désignation" xfId="63" xr:uid="{05681C66-A01E-48F7-9420-FD2FE589EFF7}"/>
    <cellStyle name="En tête" xfId="64" xr:uid="{1340B486-5442-4858-9A28-C118FD2E7838}"/>
    <cellStyle name="ENTETE1" xfId="65" xr:uid="{CD2C6051-9A2A-4465-8975-BEC0F28E1CA4}"/>
    <cellStyle name="Euro" xfId="8" xr:uid="{B38F4C77-E332-49D4-AF21-F89F4E27B583}"/>
    <cellStyle name="Euro 2" xfId="67" xr:uid="{70985F12-4FAF-4544-BC5D-377CC2F755BF}"/>
    <cellStyle name="Euro 3" xfId="66" xr:uid="{53B470F1-8EAA-4509-AE24-A51A5D88BC95}"/>
    <cellStyle name="Euro_2006.07.26.Estim CVC Carmel DCE" xfId="118" xr:uid="{ED5DDCBD-F3C1-4A27-BF6E-A8601D549F8B}"/>
    <cellStyle name="Fixe" xfId="9" xr:uid="{F2208EAA-CE2F-4142-AF20-E612076C584B}"/>
    <cellStyle name="Lien hypertexte" xfId="3" builtinId="8"/>
    <cellStyle name="Lien hypertexte 2" xfId="68" xr:uid="{890F444A-1146-49FB-B35D-229A92501F15}"/>
    <cellStyle name="Lien hypertexte 2 2" xfId="69" xr:uid="{934615CA-A378-4550-8EA0-1C851C333524}"/>
    <cellStyle name="lig_inseree" xfId="70" xr:uid="{CB4843C6-A764-4883-902A-B57A26FDE5F5}"/>
    <cellStyle name="Milliers 2" xfId="71" xr:uid="{7901793A-9071-4A8F-8A13-458EB3DAA9D9}"/>
    <cellStyle name="Milliers 2 2" xfId="72" xr:uid="{3F5AEEF1-0770-480B-9CF9-7E31479CFAB6}"/>
    <cellStyle name="Milliers 2 3" xfId="73" xr:uid="{73979F84-68F3-478A-AB94-CC592948792E}"/>
    <cellStyle name="Milliers 3" xfId="74" xr:uid="{B0F52A9E-88BD-4090-9EA9-1C3CA7B87912}"/>
    <cellStyle name="Milliers 4" xfId="75" xr:uid="{D8009A8C-6F3B-4468-9421-541D91A29AC9}"/>
    <cellStyle name="Monétaire 2" xfId="76" xr:uid="{FF95C0A5-C28C-4D3D-8F43-7B766181C55C}"/>
    <cellStyle name="Monétaire 2 2" xfId="4" xr:uid="{2C064BC3-B9B6-43F4-98A9-36EED4818F7D}"/>
    <cellStyle name="Monétaire 2 2 2" xfId="77" xr:uid="{29B002C4-7AE1-4A37-BEB6-DD8DE67450BD}"/>
    <cellStyle name="Monétaire 2 2 3" xfId="117" xr:uid="{54803612-6458-43D2-AE0F-9FD84B40C067}"/>
    <cellStyle name="Monétaire 2 3" xfId="116" xr:uid="{6C0D9EC5-08D6-4393-B0DD-B76DED586A45}"/>
    <cellStyle name="Monétaire 3" xfId="78" xr:uid="{FEDDB51B-516D-4C4D-8E9D-FD2D7A144439}"/>
    <cellStyle name="Monétaire 4" xfId="79" xr:uid="{09C339C4-9717-4FBB-AC28-1B673CD374AC}"/>
    <cellStyle name="Monétaire0" xfId="10" xr:uid="{4520F2F6-7047-48F4-A7F8-3DACA79F57AB}"/>
    <cellStyle name="MONTANT" xfId="80" xr:uid="{E299B1C9-0242-464C-B36E-46425C7D9156}"/>
    <cellStyle name="NiveauLib_3" xfId="81" xr:uid="{97D0E36A-58B3-4D9D-B176-F29A2E42D36B}"/>
    <cellStyle name="NiveauLigne_2_dsDqe1" xfId="82" xr:uid="{D38C4552-78EC-438B-A06B-06FD9AE43E96}"/>
    <cellStyle name="Normal" xfId="0" builtinId="0"/>
    <cellStyle name="Normal 13 2 2" xfId="119" xr:uid="{3995D4C5-08A2-4DCE-AB20-609A70FEE479}"/>
    <cellStyle name="Normal 2" xfId="2" xr:uid="{CAC98BF1-C2B1-4984-9E3D-835D33320708}"/>
    <cellStyle name="Normal 2 2" xfId="11" xr:uid="{438F7100-5FC3-4414-8AEC-C4A68F60F564}"/>
    <cellStyle name="Normal 2 2 2" xfId="85" xr:uid="{5196D77C-C23D-44FB-9164-73C0815AE903}"/>
    <cellStyle name="Normal 2 2 3" xfId="84" xr:uid="{4021732E-D994-4B9E-9905-CD19F9FE5D6E}"/>
    <cellStyle name="Normal 2 3" xfId="86" xr:uid="{FDF33367-8F6C-4627-9AC3-C3396C3B235A}"/>
    <cellStyle name="Normal 2 3 2" xfId="87" xr:uid="{302EDB2F-5725-4948-BA40-25DC394F33FC}"/>
    <cellStyle name="Normal 2 4" xfId="88" xr:uid="{3FBB342D-C9AB-4537-969D-13042471AE87}"/>
    <cellStyle name="Normal 2 5" xfId="89" xr:uid="{FD9C63F8-22BA-43DE-A347-550C0ABDF9B4}"/>
    <cellStyle name="Normal 2 6" xfId="83" xr:uid="{8A1220D5-CB3E-4C0A-8602-617EE6E21E78}"/>
    <cellStyle name="Normal 3" xfId="5" xr:uid="{E611EDFA-653C-47F7-BF23-80735D8FF8F0}"/>
    <cellStyle name="Normal 3 2" xfId="90" xr:uid="{A37D6645-921D-489E-A612-60021BB95BB4}"/>
    <cellStyle name="Normal 3 3" xfId="91" xr:uid="{EBD1F091-0857-45FE-9BE7-FC435CF999B9}"/>
    <cellStyle name="Normal 4" xfId="92" xr:uid="{0AAC83D4-295B-40C2-B52E-99ECB4B1690D}"/>
    <cellStyle name="Normal 4 2" xfId="93" xr:uid="{BF57CB42-0BEB-4ED7-A86B-EA1E84F4619B}"/>
    <cellStyle name="Normal 5" xfId="94" xr:uid="{1C44ED2C-2259-4C89-8C58-05624A4EE7AF}"/>
    <cellStyle name="Normal 5 2" xfId="95" xr:uid="{80727EAA-463F-434E-A34A-E9E78146571D}"/>
    <cellStyle name="Normal 6" xfId="96" xr:uid="{6CA8264E-1690-4AF7-A287-7EB35DEA4931}"/>
    <cellStyle name="Normal 7" xfId="97" xr:uid="{AD79618B-2DC4-40AD-B4AE-EF971832891D}"/>
    <cellStyle name="Normal_Bces-073" xfId="1" xr:uid="{00000000-0005-0000-0000-000001000000}"/>
    <cellStyle name="numero" xfId="98" xr:uid="{A1F89F15-218D-4CE3-984C-B907ED263686}"/>
    <cellStyle name="numero poste" xfId="99" xr:uid="{051CBED4-4233-4C89-8611-596D0C3B48F4}"/>
    <cellStyle name="P.U" xfId="100" xr:uid="{81C705F9-F33B-4E75-B02F-FFD7C32BD14A}"/>
    <cellStyle name="Pourcentage 2" xfId="101" xr:uid="{7C7BC394-5E0F-4972-98BA-725FC98DC7B8}"/>
    <cellStyle name="Pourcentage 2 2" xfId="102" xr:uid="{D3236A05-B4CD-41BF-85E6-EAE00462DA93}"/>
    <cellStyle name="quantités" xfId="103" xr:uid="{796296FA-B302-475E-BF96-F62ECA522C0D}"/>
    <cellStyle name="Reftitre" xfId="104" xr:uid="{D5AD1ED7-ECE8-4E57-80A1-1C4419952711}"/>
    <cellStyle name="S_Ajout" xfId="105" xr:uid="{E1CE6364-996E-4CE0-900F-B59BFE70F1D7}"/>
    <cellStyle name="S1" xfId="106" xr:uid="{3692C52A-213F-45FA-8611-89C915E0AD92}"/>
    <cellStyle name="S2" xfId="107" xr:uid="{9282718E-F604-430D-88E8-89D1D2A47733}"/>
    <cellStyle name="S3" xfId="108" xr:uid="{020B5F8E-F2FD-44C2-92B1-C1749F6B2030}"/>
    <cellStyle name="STT" xfId="109" xr:uid="{CDAC9A1D-CEDD-4D19-B3BF-E4273CADBDD2}"/>
    <cellStyle name="Style 1" xfId="110" xr:uid="{69DCF48E-732B-4091-9A29-7180FF7A1707}"/>
    <cellStyle name="Tete_article" xfId="111" xr:uid="{DA8C0CFF-FC14-442A-87EF-7ED4AE2E0140}"/>
    <cellStyle name="Titre 1" xfId="12" xr:uid="{FC53D787-8A8D-4741-9A18-C6C368545217}"/>
    <cellStyle name="Titre 2" xfId="13" xr:uid="{9B172845-9F4B-4697-83D7-20960652254F}"/>
    <cellStyle name="total HT" xfId="112" xr:uid="{BE30F84E-BA5A-43EA-9DDF-A31A3B2F193D}"/>
    <cellStyle name="TOTAL LOT" xfId="113" xr:uid="{8405FD1C-7343-40D7-B67F-2077AAFA1190}"/>
    <cellStyle name="totalchap" xfId="114" xr:uid="{5E0BC84B-26AC-4B58-BAA0-19EFD4357476}"/>
    <cellStyle name="Unité" xfId="115" xr:uid="{30AEC709-1909-473E-B57D-EE8976033076}"/>
    <cellStyle name="Virgule0" xfId="14" xr:uid="{04F8760E-78DC-4C11-834C-284A377488D0}"/>
  </cellStyles>
  <dxfs count="10">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s>
  <tableStyles count="0" defaultTableStyle="TableStyleMedium9" defaultPivotStyle="PivotStyleLight16"/>
  <colors>
    <mruColors>
      <color rgb="FFFF00FF"/>
      <color rgb="FFFFCCFF"/>
      <color rgb="FFCC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2.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1.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externalLink" Target="externalLinks/externalLink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3" Type="http://schemas.openxmlformats.org/officeDocument/2006/relationships/externalLinkPath" Target="../../nda/Downloads/JJAURES%20PARIS%20-%20PH%20-%20CDPGF%20du%2012%2011%202025%20(1).xlsx" TargetMode="External"/><Relationship Id="rId2" Type="http://schemas.openxmlformats.org/officeDocument/2006/relationships/externalLinkPath" Target="file:///C:\Users\nda\Downloads\JJAURES%20PARIS%20-%20PH%20-%20CDPGF%20du%2012%2011%202025%20(1).xlsx" TargetMode="External"/><Relationship Id="rId1" Type="http://schemas.openxmlformats.org/officeDocument/2006/relationships/externalLinkPath" Target="/Users/nda/Downloads/JJAURES%20PARIS%20-%20PH%20-%20CDPGF%20du%2012%2011%202025%20(1).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192.168.253.100\Affaires\Aff_EnCours\LGT-ParisHabitat-Jaur&#232;s\400%20Etudes%20(.)\470%20Rendus%20(.)\20251114%20Rendu%20CFOCFA%20DCE%20indA\20251114_42JJ_ESP_DCE_CDPGF%20LOT13%20CFOCFA%20-%20indA.xlsx" TargetMode="External"/><Relationship Id="rId1" Type="http://schemas.openxmlformats.org/officeDocument/2006/relationships/externalLinkPath" Target="file:///\\192.168.253.100\Affaires\Aff_EnCours\LGT-ParisHabitat-Jaur&#232;s\400%20Etudes%20(.)\470%20Rendus%20(.)\20251114%20Rendu%20CFOCFA%20DCE%20indA\20251114_42JJ_ESP_DCE_CDPGF%20LOT13%20CFOCFA%20-%20indA.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S:\Aff_EnCours\LGT-ParisHabitat-Jaur&#232;s\400%20Etudes%20(.)\430%20CVCD-PLB%20(.)\08%20DCE%20(.)\20250917_Jaur&#232;s_ESP_DCE_CDPGF%20lot%20CVC%20Plomberie.xlsx" TargetMode="External"/><Relationship Id="rId1" Type="http://schemas.openxmlformats.org/officeDocument/2006/relationships/externalLinkPath" Target="file:///\\192.168.253.100\Affaires\Aff_EnCours\LGT-ParisHabitat-Jaur&#232;s\400%20Etudes%20(.)\430%20CVCD-PLB%20(.)\08%20DCE%20(.)\20250917_Jaur&#232;s_ESP_DCE_CDPGF%20lot%20CVC%20Plomberi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RECAP"/>
      <sheetName val="LOT 00"/>
      <sheetName val="LOT 01"/>
      <sheetName val="LOT 02"/>
      <sheetName val="LOT 03"/>
      <sheetName val="LOT 04"/>
      <sheetName val="LOT 05"/>
      <sheetName val="LOT 06"/>
      <sheetName val="LOT 07"/>
      <sheetName val="LOT 08"/>
      <sheetName val="LOT 09"/>
      <sheetName val="LOT 10"/>
      <sheetName val="LOT 11"/>
      <sheetName val="LOT 12"/>
      <sheetName val="LOT 13"/>
      <sheetName val="LOT 1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DG"/>
      <sheetName val="CDPGF Bâtiment A"/>
      <sheetName val="CDPGF Bâtiment B"/>
    </sheetNames>
    <sheetDataSet>
      <sheetData sheetId="0">
        <row r="6">
          <cell r="B6" t="str">
            <v>RÉHABILITATION DE 6 LOGEMENTS • RESTRUCTURATION LOURDE POUR CRÉATION DE 7 LOGEMENTS</v>
          </cell>
        </row>
        <row r="9">
          <cell r="B9" t="str">
            <v>LOT 13 COURANTS FORTS / COURANTS FAIBLES</v>
          </cell>
        </row>
        <row r="11">
          <cell r="F11" t="str">
            <v>Phase</v>
          </cell>
        </row>
        <row r="12">
          <cell r="F12" t="str">
            <v>DCE</v>
          </cell>
        </row>
        <row r="17">
          <cell r="B17" t="str">
            <v>Indice</v>
          </cell>
        </row>
        <row r="18">
          <cell r="B18">
            <v>0</v>
          </cell>
        </row>
      </sheetData>
      <sheetData sheetId="1"/>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PDG"/>
      <sheetName val="CDPGF Bât A"/>
      <sheetName val="CDPGF Bât B"/>
    </sheetNames>
    <sheetDataSet>
      <sheetData sheetId="0">
        <row r="6">
          <cell r="B6" t="str">
            <v>RÉHABILITATION DE 6 LOGEMENTS • RESTRUCTURATION LOURDE POUR CRÉATION DE 7 LOGEMENTS</v>
          </cell>
        </row>
        <row r="892">
          <cell r="B892"/>
        </row>
      </sheetData>
      <sheetData sheetId="1"/>
      <sheetData sheetId="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euil2"/>
  <dimension ref="A1:I21"/>
  <sheetViews>
    <sheetView view="pageBreakPreview" topLeftCell="A4" zoomScale="80" zoomScaleNormal="100" zoomScaleSheetLayoutView="80" workbookViewId="0">
      <selection activeCell="B28" sqref="B28"/>
    </sheetView>
  </sheetViews>
  <sheetFormatPr baseColWidth="10" defaultColWidth="11.44140625" defaultRowHeight="15"/>
  <cols>
    <col min="1" max="1" width="8.44140625" style="3" customWidth="1"/>
    <col min="2" max="2" width="52.44140625" style="1" customWidth="1"/>
    <col min="3" max="3" width="17.21875" style="1" bestFit="1" customWidth="1"/>
    <col min="4" max="4" width="16.44140625" style="1" bestFit="1" customWidth="1"/>
    <col min="5" max="5" width="4.44140625" style="1" customWidth="1"/>
    <col min="6" max="6" width="34.5546875" style="3" customWidth="1"/>
    <col min="7" max="7" width="26.5546875" style="1" customWidth="1"/>
    <col min="8" max="8" width="11.44140625" style="1"/>
    <col min="9" max="9" width="21.77734375" style="1" customWidth="1"/>
    <col min="10" max="16384" width="11.44140625" style="1"/>
  </cols>
  <sheetData>
    <row r="1" spans="1:8" ht="151.5" customHeight="1" thickTop="1" thickBot="1">
      <c r="A1" s="355" t="s">
        <v>0</v>
      </c>
      <c r="B1" s="356"/>
      <c r="C1" s="356"/>
      <c r="D1" s="357"/>
    </row>
    <row r="2" spans="1:8" ht="46.5" customHeight="1" thickTop="1" thickBot="1">
      <c r="A2" s="4" t="s">
        <v>1</v>
      </c>
      <c r="B2" s="5" t="s">
        <v>2</v>
      </c>
      <c r="C2" s="377" t="s">
        <v>3</v>
      </c>
      <c r="D2" s="378"/>
    </row>
    <row r="3" spans="1:8" s="6" customFormat="1" ht="30" customHeight="1">
      <c r="A3" s="95" t="s">
        <v>4</v>
      </c>
      <c r="B3" s="90" t="s">
        <v>5</v>
      </c>
      <c r="C3" s="375"/>
      <c r="D3" s="376"/>
      <c r="E3" s="11"/>
      <c r="F3" s="14"/>
      <c r="G3" s="11"/>
      <c r="H3" s="11"/>
    </row>
    <row r="4" spans="1:8" s="6" customFormat="1" ht="30" customHeight="1">
      <c r="A4" s="95" t="s">
        <v>6</v>
      </c>
      <c r="B4" s="90" t="s">
        <v>7</v>
      </c>
      <c r="C4" s="335"/>
      <c r="D4" s="336"/>
      <c r="E4" s="11"/>
      <c r="F4" s="14"/>
      <c r="G4" s="73"/>
      <c r="H4" s="11"/>
    </row>
    <row r="5" spans="1:8" s="6" customFormat="1" ht="30" customHeight="1">
      <c r="A5" s="95" t="s">
        <v>8</v>
      </c>
      <c r="B5" s="90" t="s">
        <v>9</v>
      </c>
      <c r="C5" s="335"/>
      <c r="D5" s="336"/>
      <c r="E5" s="11"/>
      <c r="F5" s="14"/>
      <c r="G5" s="73"/>
      <c r="H5" s="11"/>
    </row>
    <row r="6" spans="1:8" s="6" customFormat="1" ht="30" customHeight="1">
      <c r="A6" s="95" t="s">
        <v>10</v>
      </c>
      <c r="B6" s="90" t="s">
        <v>11</v>
      </c>
      <c r="C6" s="335"/>
      <c r="D6" s="336"/>
      <c r="E6" s="11"/>
      <c r="F6" s="14"/>
      <c r="G6" s="73"/>
      <c r="H6" s="11"/>
    </row>
    <row r="7" spans="1:8" s="6" customFormat="1" ht="30" customHeight="1">
      <c r="A7" s="95" t="s">
        <v>12</v>
      </c>
      <c r="B7" s="90" t="s">
        <v>13</v>
      </c>
      <c r="C7" s="335"/>
      <c r="D7" s="336"/>
      <c r="E7" s="11"/>
      <c r="F7" s="14"/>
      <c r="G7" s="73"/>
      <c r="H7" s="11"/>
    </row>
    <row r="8" spans="1:8" s="6" customFormat="1" ht="30" customHeight="1">
      <c r="A8" s="95" t="s">
        <v>14</v>
      </c>
      <c r="B8" s="90" t="s">
        <v>15</v>
      </c>
      <c r="C8" s="335"/>
      <c r="D8" s="336"/>
      <c r="E8" s="11"/>
      <c r="F8" s="14"/>
      <c r="G8" s="73"/>
      <c r="H8" s="11"/>
    </row>
    <row r="9" spans="1:8" s="6" customFormat="1" ht="30" customHeight="1">
      <c r="A9" s="95" t="s">
        <v>16</v>
      </c>
      <c r="B9" s="90" t="s">
        <v>17</v>
      </c>
      <c r="C9" s="335"/>
      <c r="D9" s="336"/>
      <c r="E9" s="11"/>
      <c r="F9" s="14"/>
      <c r="G9" s="73"/>
      <c r="H9" s="11"/>
    </row>
    <row r="10" spans="1:8" s="6" customFormat="1" ht="30" customHeight="1">
      <c r="A10" s="95" t="s">
        <v>18</v>
      </c>
      <c r="B10" s="90" t="s">
        <v>19</v>
      </c>
      <c r="C10" s="335"/>
      <c r="D10" s="336"/>
      <c r="E10" s="11"/>
      <c r="F10" s="14"/>
      <c r="G10" s="73"/>
      <c r="H10" s="11"/>
    </row>
    <row r="11" spans="1:8" s="6" customFormat="1" ht="30" customHeight="1">
      <c r="A11" s="95" t="s">
        <v>20</v>
      </c>
      <c r="B11" s="90" t="s">
        <v>21</v>
      </c>
      <c r="C11" s="335"/>
      <c r="D11" s="336"/>
      <c r="E11" s="11"/>
      <c r="F11" s="14"/>
      <c r="G11" s="73"/>
      <c r="H11" s="11"/>
    </row>
    <row r="12" spans="1:8" s="6" customFormat="1" ht="30" customHeight="1">
      <c r="A12" s="95" t="s">
        <v>22</v>
      </c>
      <c r="B12" s="90" t="s">
        <v>23</v>
      </c>
      <c r="C12" s="335"/>
      <c r="D12" s="336"/>
      <c r="E12" s="11"/>
      <c r="F12" s="14"/>
      <c r="G12" s="73"/>
      <c r="H12" s="11"/>
    </row>
    <row r="13" spans="1:8" s="6" customFormat="1" ht="30" customHeight="1">
      <c r="A13" s="95" t="s">
        <v>24</v>
      </c>
      <c r="B13" s="90" t="s">
        <v>25</v>
      </c>
      <c r="C13" s="335"/>
      <c r="D13" s="336"/>
      <c r="E13" s="11"/>
      <c r="F13" s="14"/>
      <c r="G13" s="73"/>
      <c r="H13" s="11"/>
    </row>
    <row r="14" spans="1:8" s="6" customFormat="1" ht="30" customHeight="1">
      <c r="A14" s="95" t="s">
        <v>26</v>
      </c>
      <c r="B14" s="90" t="s">
        <v>27</v>
      </c>
      <c r="C14" s="375"/>
      <c r="D14" s="376"/>
      <c r="E14" s="11"/>
      <c r="F14" s="14"/>
      <c r="G14" s="73"/>
      <c r="H14" s="11"/>
    </row>
    <row r="15" spans="1:8" s="6" customFormat="1" ht="30" customHeight="1">
      <c r="A15" s="95" t="s">
        <v>28</v>
      </c>
      <c r="B15" s="90" t="s">
        <v>29</v>
      </c>
      <c r="C15" s="375"/>
      <c r="D15" s="376"/>
      <c r="E15" s="11"/>
      <c r="F15" s="14"/>
      <c r="G15" s="73"/>
      <c r="H15" s="11"/>
    </row>
    <row r="16" spans="1:8" s="6" customFormat="1" ht="30" customHeight="1">
      <c r="A16" s="95" t="s">
        <v>30</v>
      </c>
      <c r="B16" s="13" t="s">
        <v>31</v>
      </c>
      <c r="C16" s="375"/>
      <c r="D16" s="376"/>
      <c r="E16" s="11"/>
      <c r="F16" s="337"/>
      <c r="G16" s="14"/>
      <c r="H16" s="73"/>
    </row>
    <row r="17" spans="1:9" s="6" customFormat="1" ht="30" customHeight="1" thickBot="1">
      <c r="A17" s="338">
        <v>14</v>
      </c>
      <c r="B17" s="76" t="s">
        <v>32</v>
      </c>
      <c r="C17" s="383"/>
      <c r="D17" s="384"/>
      <c r="E17" s="11"/>
      <c r="F17" s="337"/>
      <c r="G17" s="14"/>
      <c r="H17" s="73"/>
      <c r="I17" s="11"/>
    </row>
    <row r="18" spans="1:9" s="2" customFormat="1" ht="41.25" customHeight="1" thickBot="1">
      <c r="A18" s="379" t="s">
        <v>33</v>
      </c>
      <c r="B18" s="380"/>
      <c r="C18" s="381"/>
      <c r="D18" s="382"/>
      <c r="E18" s="7"/>
      <c r="F18" s="8"/>
      <c r="G18" s="14"/>
      <c r="H18" s="73"/>
      <c r="I18" s="10"/>
    </row>
    <row r="19" spans="1:9" s="2" customFormat="1" ht="41.25" customHeight="1" thickTop="1" thickBot="1">
      <c r="A19" s="379" t="s">
        <v>34</v>
      </c>
      <c r="B19" s="380"/>
      <c r="C19" s="381"/>
      <c r="D19" s="382"/>
      <c r="E19" s="7"/>
      <c r="F19" s="8"/>
      <c r="G19" s="8"/>
      <c r="H19" s="9"/>
      <c r="I19" s="10"/>
    </row>
    <row r="21" spans="1:9">
      <c r="A21" s="350">
        <v>9</v>
      </c>
      <c r="B21" s="351" t="s">
        <v>35</v>
      </c>
      <c r="C21" s="351"/>
      <c r="D21" s="351"/>
    </row>
  </sheetData>
  <mergeCells count="11">
    <mergeCell ref="A19:B19"/>
    <mergeCell ref="C19:D19"/>
    <mergeCell ref="A18:B18"/>
    <mergeCell ref="C18:D18"/>
    <mergeCell ref="C17:D17"/>
    <mergeCell ref="C16:D16"/>
    <mergeCell ref="A1:D1"/>
    <mergeCell ref="C2:D2"/>
    <mergeCell ref="C3:D3"/>
    <mergeCell ref="C14:D14"/>
    <mergeCell ref="C15:D15"/>
  </mergeCells>
  <phoneticPr fontId="15" type="noConversion"/>
  <pageMargins left="0.70866141732283472" right="0.70866141732283472" top="0.74803149606299213" bottom="0.74803149606299213" header="0.31496062992125984" footer="0.31496062992125984"/>
  <pageSetup paperSize="9" scale="80" fitToHeight="2"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3F4B3-1D80-4EBC-AA7A-8E3BDD076F04}">
  <dimension ref="A1:L69"/>
  <sheetViews>
    <sheetView topLeftCell="A3" zoomScale="70" zoomScaleNormal="70" workbookViewId="0">
      <selection activeCell="A5" sqref="A5:XFD5"/>
    </sheetView>
  </sheetViews>
  <sheetFormatPr baseColWidth="10" defaultColWidth="11.44140625" defaultRowHeight="15"/>
  <cols>
    <col min="1" max="3" width="9.77734375" style="1" customWidth="1"/>
    <col min="4" max="4" width="39"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37</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27.45" customHeight="1">
      <c r="A5" s="26"/>
      <c r="B5" s="27"/>
      <c r="C5" s="28"/>
      <c r="D5" s="28"/>
      <c r="E5" s="29"/>
      <c r="F5" s="30"/>
      <c r="G5" s="31"/>
      <c r="H5" s="32"/>
    </row>
    <row r="6" spans="1:12" ht="45.45" customHeight="1">
      <c r="A6" s="372"/>
      <c r="B6" s="373"/>
      <c r="C6" s="373"/>
      <c r="D6" s="373"/>
      <c r="E6" s="373"/>
      <c r="F6" s="373"/>
      <c r="G6" s="373"/>
      <c r="H6" s="374"/>
    </row>
    <row r="7" spans="1:12" ht="13.05" customHeight="1">
      <c r="A7" s="26"/>
      <c r="B7" s="28"/>
      <c r="C7" s="28"/>
      <c r="D7" s="28"/>
      <c r="E7" s="29"/>
      <c r="F7" s="33"/>
      <c r="G7" s="34"/>
      <c r="H7" s="35"/>
      <c r="J7" s="36"/>
      <c r="K7" s="36"/>
      <c r="L7" s="36"/>
    </row>
    <row r="8" spans="1:12" ht="13.05" customHeight="1">
      <c r="A8" s="111">
        <v>0.1</v>
      </c>
      <c r="B8" s="110" t="s">
        <v>44</v>
      </c>
      <c r="C8" s="28"/>
      <c r="D8" s="28"/>
      <c r="E8" s="29"/>
      <c r="F8" s="33"/>
      <c r="G8" s="34"/>
      <c r="H8" s="35"/>
      <c r="J8" s="36"/>
      <c r="K8" s="36"/>
      <c r="L8" s="36"/>
    </row>
    <row r="9" spans="1:12" ht="13.05" customHeight="1">
      <c r="A9" s="37"/>
      <c r="B9" s="38"/>
      <c r="C9" s="13"/>
      <c r="D9" s="13"/>
      <c r="E9" s="39"/>
      <c r="F9" s="40"/>
      <c r="G9" s="41"/>
      <c r="H9" s="42"/>
      <c r="J9" s="69"/>
      <c r="K9" s="69"/>
      <c r="L9" s="69"/>
    </row>
    <row r="10" spans="1:12" ht="25.5" customHeight="1">
      <c r="A10" s="44">
        <v>0.11</v>
      </c>
      <c r="B10" s="364" t="s">
        <v>45</v>
      </c>
      <c r="C10" s="364"/>
      <c r="D10" s="365"/>
      <c r="E10" s="39" t="s">
        <v>46</v>
      </c>
      <c r="F10" s="40"/>
      <c r="G10" s="41"/>
      <c r="H10" s="42"/>
      <c r="J10" s="69"/>
      <c r="K10" s="69"/>
      <c r="L10" s="69"/>
    </row>
    <row r="11" spans="1:12" ht="13.05" customHeight="1">
      <c r="A11" s="44"/>
      <c r="B11" s="13"/>
      <c r="C11" s="13"/>
      <c r="D11" s="13"/>
      <c r="E11" s="77"/>
      <c r="F11" s="78"/>
      <c r="G11" s="79"/>
      <c r="H11" s="80"/>
      <c r="J11" s="36"/>
      <c r="K11" s="36"/>
      <c r="L11" s="36"/>
    </row>
    <row r="12" spans="1:12" ht="13.05" customHeight="1">
      <c r="A12" s="44">
        <v>0.12</v>
      </c>
      <c r="B12" s="13" t="s">
        <v>47</v>
      </c>
      <c r="C12" s="13"/>
      <c r="D12" s="13"/>
      <c r="E12" s="77" t="s">
        <v>48</v>
      </c>
      <c r="F12" s="78"/>
      <c r="G12" s="79"/>
      <c r="H12" s="80"/>
      <c r="J12" s="36"/>
      <c r="K12" s="36"/>
      <c r="L12" s="36"/>
    </row>
    <row r="13" spans="1:12" ht="13.05" customHeight="1">
      <c r="A13" s="44"/>
      <c r="B13" s="13"/>
      <c r="C13" s="13"/>
      <c r="D13" s="13"/>
      <c r="E13" s="77"/>
      <c r="F13" s="78"/>
      <c r="G13" s="79"/>
      <c r="H13" s="80"/>
      <c r="J13" s="36"/>
      <c r="K13" s="36"/>
      <c r="L13" s="36"/>
    </row>
    <row r="14" spans="1:12" ht="27" customHeight="1">
      <c r="A14" s="44">
        <v>0.13</v>
      </c>
      <c r="B14" s="364" t="s">
        <v>49</v>
      </c>
      <c r="C14" s="364"/>
      <c r="D14" s="365"/>
      <c r="E14" s="77" t="s">
        <v>48</v>
      </c>
      <c r="F14" s="78"/>
      <c r="G14" s="79"/>
      <c r="H14" s="80"/>
      <c r="J14" s="36"/>
      <c r="K14" s="36"/>
      <c r="L14" s="36"/>
    </row>
    <row r="15" spans="1:12" ht="13.05" customHeight="1">
      <c r="A15" s="44"/>
      <c r="B15" s="13"/>
      <c r="C15" s="13"/>
      <c r="D15" s="13"/>
      <c r="E15" s="77"/>
      <c r="F15" s="78"/>
      <c r="G15" s="79"/>
      <c r="H15" s="80"/>
      <c r="J15" s="36"/>
      <c r="K15" s="36"/>
      <c r="L15" s="36"/>
    </row>
    <row r="16" spans="1:12" ht="13.05" customHeight="1">
      <c r="A16" s="44">
        <v>0.14000000000000001</v>
      </c>
      <c r="B16" s="13" t="s">
        <v>50</v>
      </c>
      <c r="C16" s="13"/>
      <c r="D16" s="13"/>
      <c r="E16" s="77" t="s">
        <v>46</v>
      </c>
      <c r="F16" s="78"/>
      <c r="G16" s="79"/>
      <c r="H16" s="80"/>
      <c r="J16" s="36"/>
      <c r="K16" s="36"/>
      <c r="L16" s="36"/>
    </row>
    <row r="17" spans="1:12" ht="13.05" customHeight="1">
      <c r="A17" s="44"/>
      <c r="B17" s="13"/>
      <c r="C17" s="13"/>
      <c r="D17" s="13"/>
      <c r="E17" s="77"/>
      <c r="F17" s="78"/>
      <c r="G17" s="79"/>
      <c r="H17" s="80"/>
      <c r="J17" s="36"/>
      <c r="K17" s="36"/>
      <c r="L17" s="36"/>
    </row>
    <row r="18" spans="1:12" ht="13.05" customHeight="1">
      <c r="A18" s="44">
        <v>0.15</v>
      </c>
      <c r="B18" s="13" t="s">
        <v>51</v>
      </c>
      <c r="C18" s="13"/>
      <c r="D18" s="13"/>
      <c r="E18" s="77" t="s">
        <v>52</v>
      </c>
      <c r="F18" s="78"/>
      <c r="G18" s="79"/>
      <c r="H18" s="80"/>
      <c r="J18" s="36"/>
      <c r="K18" s="36"/>
      <c r="L18" s="36"/>
    </row>
    <row r="19" spans="1:12" ht="13.05" customHeight="1">
      <c r="A19" s="44"/>
      <c r="B19" s="13"/>
      <c r="C19" s="13"/>
      <c r="D19" s="13"/>
      <c r="E19" s="77"/>
      <c r="F19" s="78"/>
      <c r="G19" s="79"/>
      <c r="H19" s="80"/>
      <c r="J19" s="36"/>
      <c r="K19" s="36"/>
      <c r="L19" s="36"/>
    </row>
    <row r="20" spans="1:12" ht="13.05" customHeight="1">
      <c r="A20" s="44">
        <v>0.16</v>
      </c>
      <c r="B20" s="13" t="s">
        <v>53</v>
      </c>
      <c r="C20" s="13"/>
      <c r="D20" s="13"/>
      <c r="E20" s="77" t="s">
        <v>52</v>
      </c>
      <c r="F20" s="78"/>
      <c r="G20" s="79"/>
      <c r="H20" s="80"/>
      <c r="J20" s="36"/>
      <c r="K20" s="36"/>
      <c r="L20" s="36"/>
    </row>
    <row r="21" spans="1:12" ht="13.05" customHeight="1">
      <c r="A21" s="44"/>
      <c r="B21" s="13"/>
      <c r="C21" s="13"/>
      <c r="D21" s="13"/>
      <c r="E21" s="77"/>
      <c r="F21" s="78"/>
      <c r="G21" s="79"/>
      <c r="H21" s="80"/>
      <c r="J21" s="36"/>
      <c r="K21" s="36"/>
      <c r="L21" s="36"/>
    </row>
    <row r="22" spans="1:12" ht="26.25" customHeight="1">
      <c r="A22" s="44">
        <v>0.17</v>
      </c>
      <c r="B22" s="364" t="s">
        <v>54</v>
      </c>
      <c r="C22" s="364"/>
      <c r="D22" s="365"/>
      <c r="E22" s="77" t="s">
        <v>48</v>
      </c>
      <c r="F22" s="78"/>
      <c r="G22" s="79"/>
      <c r="H22" s="80"/>
      <c r="J22" s="36"/>
      <c r="K22" s="36"/>
      <c r="L22" s="36"/>
    </row>
    <row r="23" spans="1:12" ht="13.05" customHeight="1">
      <c r="A23" s="44"/>
      <c r="B23" s="13"/>
      <c r="C23" s="13"/>
      <c r="D23" s="13"/>
      <c r="E23" s="77"/>
      <c r="F23" s="78"/>
      <c r="G23" s="79"/>
      <c r="H23" s="80"/>
      <c r="J23" s="36"/>
      <c r="K23" s="36"/>
      <c r="L23" s="36"/>
    </row>
    <row r="24" spans="1:12" ht="24" customHeight="1">
      <c r="A24" s="44">
        <v>0.18</v>
      </c>
      <c r="B24" s="364" t="s">
        <v>55</v>
      </c>
      <c r="C24" s="364"/>
      <c r="D24" s="365"/>
      <c r="E24" s="77" t="s">
        <v>56</v>
      </c>
      <c r="F24" s="78"/>
      <c r="G24" s="79"/>
      <c r="H24" s="80"/>
      <c r="J24" s="36"/>
      <c r="K24" s="36"/>
      <c r="L24" s="36"/>
    </row>
    <row r="25" spans="1:12" ht="13.05" customHeight="1">
      <c r="A25" s="44"/>
      <c r="B25" s="13"/>
      <c r="C25" s="13"/>
      <c r="D25" s="13"/>
      <c r="E25" s="77"/>
      <c r="F25" s="78"/>
      <c r="G25" s="79"/>
      <c r="H25" s="80"/>
      <c r="J25" s="36"/>
      <c r="K25" s="36"/>
      <c r="L25" s="36"/>
    </row>
    <row r="26" spans="1:12" ht="13.05" customHeight="1">
      <c r="A26" s="44"/>
      <c r="B26" s="13"/>
      <c r="C26" s="13"/>
      <c r="D26" s="13"/>
      <c r="E26" s="77"/>
      <c r="F26" s="78"/>
      <c r="G26" s="79"/>
      <c r="H26" s="80"/>
      <c r="J26" s="36"/>
      <c r="K26" s="36"/>
      <c r="L26" s="36"/>
    </row>
    <row r="27" spans="1:12" ht="13.05" customHeight="1">
      <c r="A27" s="37">
        <v>0.2</v>
      </c>
      <c r="B27" s="110" t="s">
        <v>57</v>
      </c>
      <c r="C27" s="13"/>
      <c r="D27" s="13"/>
      <c r="E27" s="77"/>
      <c r="F27" s="78"/>
      <c r="G27" s="79"/>
      <c r="H27" s="80"/>
      <c r="J27" s="36"/>
      <c r="K27" s="36"/>
      <c r="L27" s="36"/>
    </row>
    <row r="28" spans="1:12" ht="13.05" customHeight="1">
      <c r="A28" s="44"/>
      <c r="B28" s="13"/>
      <c r="C28" s="13"/>
      <c r="D28" s="13"/>
      <c r="E28" s="77"/>
      <c r="F28" s="78"/>
      <c r="G28" s="79"/>
      <c r="H28" s="80"/>
      <c r="J28" s="36"/>
      <c r="K28" s="36"/>
      <c r="L28" s="36"/>
    </row>
    <row r="29" spans="1:12" ht="13.05" customHeight="1">
      <c r="A29" s="44">
        <v>0.21</v>
      </c>
      <c r="B29" s="13" t="s">
        <v>47</v>
      </c>
      <c r="C29" s="13"/>
      <c r="D29" s="13"/>
      <c r="E29" s="77" t="s">
        <v>46</v>
      </c>
      <c r="F29" s="78"/>
      <c r="G29" s="79"/>
      <c r="H29" s="80"/>
      <c r="J29" s="36"/>
      <c r="K29" s="36"/>
      <c r="L29" s="36"/>
    </row>
    <row r="30" spans="1:12" ht="13.05" customHeight="1">
      <c r="A30" s="44"/>
      <c r="B30" s="13"/>
      <c r="C30" s="13"/>
      <c r="D30" s="13"/>
      <c r="E30" s="77"/>
      <c r="F30" s="78"/>
      <c r="G30" s="79"/>
      <c r="H30" s="80"/>
      <c r="J30" s="36"/>
      <c r="K30" s="36"/>
      <c r="L30" s="36"/>
    </row>
    <row r="31" spans="1:12" ht="13.05" customHeight="1">
      <c r="A31" s="44">
        <v>0.22</v>
      </c>
      <c r="B31" s="13" t="s">
        <v>58</v>
      </c>
      <c r="C31" s="13"/>
      <c r="D31" s="13"/>
      <c r="E31" s="77" t="s">
        <v>48</v>
      </c>
      <c r="F31" s="78"/>
      <c r="G31" s="79"/>
      <c r="H31" s="80"/>
      <c r="J31" s="36"/>
      <c r="K31" s="36"/>
      <c r="L31" s="36"/>
    </row>
    <row r="32" spans="1:12" ht="13.05" customHeight="1">
      <c r="A32" s="44"/>
      <c r="B32" s="13"/>
      <c r="C32" s="13"/>
      <c r="D32" s="13"/>
      <c r="E32" s="77"/>
      <c r="F32" s="78"/>
      <c r="G32" s="79"/>
      <c r="H32" s="80"/>
      <c r="J32" s="36"/>
      <c r="K32" s="36"/>
      <c r="L32" s="36"/>
    </row>
    <row r="33" spans="1:12" ht="13.05" customHeight="1">
      <c r="A33" s="44">
        <v>0.23</v>
      </c>
      <c r="B33" s="13" t="s">
        <v>59</v>
      </c>
      <c r="C33" s="13"/>
      <c r="D33" s="13"/>
      <c r="E33" s="77" t="s">
        <v>52</v>
      </c>
      <c r="F33" s="78"/>
      <c r="G33" s="79"/>
      <c r="H33" s="80"/>
      <c r="J33" s="36"/>
      <c r="K33" s="36"/>
      <c r="L33" s="36"/>
    </row>
    <row r="34" spans="1:12" ht="13.05" customHeight="1">
      <c r="A34" s="44"/>
      <c r="B34" s="13"/>
      <c r="C34" s="13"/>
      <c r="D34" s="13"/>
      <c r="E34" s="77"/>
      <c r="F34" s="78"/>
      <c r="G34" s="79"/>
      <c r="H34" s="80"/>
      <c r="J34" s="36"/>
      <c r="K34" s="36"/>
      <c r="L34" s="36"/>
    </row>
    <row r="35" spans="1:12" ht="13.05" customHeight="1">
      <c r="A35" s="44">
        <v>0.24</v>
      </c>
      <c r="B35" s="13" t="s">
        <v>60</v>
      </c>
      <c r="C35" s="13"/>
      <c r="D35" s="13"/>
      <c r="E35" s="77" t="s">
        <v>48</v>
      </c>
      <c r="F35" s="78"/>
      <c r="G35" s="79"/>
      <c r="H35" s="80"/>
      <c r="J35" s="36"/>
      <c r="K35" s="36"/>
      <c r="L35" s="36"/>
    </row>
    <row r="36" spans="1:12" ht="13.05" customHeight="1">
      <c r="A36" s="44"/>
      <c r="B36" s="13"/>
      <c r="C36" s="13"/>
      <c r="D36" s="13"/>
      <c r="E36" s="77"/>
      <c r="F36" s="78"/>
      <c r="G36" s="79"/>
      <c r="H36" s="80"/>
      <c r="J36" s="36"/>
      <c r="K36" s="36"/>
      <c r="L36" s="36"/>
    </row>
    <row r="37" spans="1:12" ht="13.05" customHeight="1">
      <c r="A37" s="44">
        <v>0.25</v>
      </c>
      <c r="B37" s="13" t="s">
        <v>61</v>
      </c>
      <c r="C37" s="13"/>
      <c r="D37" s="13"/>
      <c r="E37" s="77" t="s">
        <v>56</v>
      </c>
      <c r="F37" s="78"/>
      <c r="G37" s="79"/>
      <c r="H37" s="80"/>
      <c r="J37" s="36"/>
      <c r="K37" s="36"/>
      <c r="L37" s="36"/>
    </row>
    <row r="38" spans="1:12" ht="13.05" customHeight="1">
      <c r="A38" s="44"/>
      <c r="B38" s="13"/>
      <c r="C38" s="13"/>
      <c r="D38" s="13"/>
      <c r="E38" s="77"/>
      <c r="F38" s="78"/>
      <c r="G38" s="79"/>
      <c r="H38" s="80"/>
      <c r="J38" s="36"/>
      <c r="K38" s="36"/>
      <c r="L38" s="36"/>
    </row>
    <row r="39" spans="1:12" ht="13.05" customHeight="1">
      <c r="A39" s="44"/>
      <c r="B39" s="13"/>
      <c r="C39" s="13"/>
      <c r="D39" s="13"/>
      <c r="E39" s="77"/>
      <c r="F39" s="78"/>
      <c r="G39" s="79"/>
      <c r="H39" s="80"/>
      <c r="J39" s="36"/>
      <c r="K39" s="36"/>
      <c r="L39" s="36"/>
    </row>
    <row r="40" spans="1:12" ht="13.05" customHeight="1">
      <c r="A40" s="44"/>
      <c r="B40" s="13"/>
      <c r="C40" s="13"/>
      <c r="D40" s="13"/>
      <c r="E40" s="77"/>
      <c r="F40" s="78"/>
      <c r="G40" s="79"/>
      <c r="H40" s="80"/>
      <c r="J40" s="36"/>
      <c r="K40" s="36"/>
      <c r="L40" s="36"/>
    </row>
    <row r="41" spans="1:12" ht="13.05" customHeight="1" thickBot="1">
      <c r="A41" s="49"/>
      <c r="B41" s="50"/>
      <c r="C41" s="50"/>
      <c r="D41" s="50"/>
      <c r="E41" s="51"/>
      <c r="F41" s="52"/>
      <c r="G41" s="53"/>
      <c r="H41" s="54"/>
      <c r="J41" s="81"/>
      <c r="K41" s="81"/>
      <c r="L41" s="81"/>
    </row>
    <row r="42" spans="1:12" ht="20.100000000000001" customHeight="1" thickTop="1">
      <c r="A42" s="366" t="s">
        <v>62</v>
      </c>
      <c r="B42" s="367"/>
      <c r="C42" s="367"/>
      <c r="D42" s="368"/>
      <c r="E42" s="55"/>
      <c r="F42" s="56"/>
      <c r="G42" s="57"/>
      <c r="H42" s="58"/>
      <c r="J42" s="81"/>
      <c r="K42" s="81"/>
      <c r="L42" s="81"/>
    </row>
    <row r="43" spans="1:12" ht="20.100000000000001" customHeight="1">
      <c r="A43" s="369" t="s">
        <v>63</v>
      </c>
      <c r="B43" s="370"/>
      <c r="C43" s="370"/>
      <c r="D43" s="371"/>
      <c r="E43" s="59"/>
      <c r="F43" s="60"/>
      <c r="G43" s="61"/>
      <c r="H43" s="62"/>
      <c r="J43" s="81"/>
      <c r="K43" s="81"/>
      <c r="L43" s="81"/>
    </row>
    <row r="44" spans="1:12" ht="20.100000000000001" customHeight="1" thickBot="1">
      <c r="A44" s="352" t="s">
        <v>64</v>
      </c>
      <c r="B44" s="353"/>
      <c r="C44" s="353"/>
      <c r="D44" s="354"/>
      <c r="E44" s="63"/>
      <c r="F44" s="64"/>
      <c r="G44" s="65"/>
      <c r="H44" s="66"/>
      <c r="J44" s="81"/>
      <c r="K44" s="81"/>
      <c r="L44" s="81"/>
    </row>
    <row r="45" spans="1:12" ht="15.6" thickTop="1">
      <c r="J45" s="81"/>
      <c r="K45" s="81"/>
      <c r="L45" s="81"/>
    </row>
    <row r="46" spans="1:12">
      <c r="J46" s="81"/>
      <c r="K46" s="81"/>
      <c r="L46" s="81"/>
    </row>
    <row r="47" spans="1:12">
      <c r="J47" s="81"/>
      <c r="K47" s="81"/>
      <c r="L47" s="81"/>
    </row>
    <row r="48" spans="1:12">
      <c r="L48" s="81"/>
    </row>
    <row r="49" spans="12:12">
      <c r="L49" s="81"/>
    </row>
    <row r="50" spans="12:12">
      <c r="L50" s="81"/>
    </row>
    <row r="51" spans="12:12">
      <c r="L51" s="81"/>
    </row>
    <row r="52" spans="12:12">
      <c r="L52" s="81"/>
    </row>
    <row r="53" spans="12:12">
      <c r="L53" s="81"/>
    </row>
    <row r="54" spans="12:12">
      <c r="L54" s="81"/>
    </row>
    <row r="55" spans="12:12">
      <c r="L55" s="81"/>
    </row>
    <row r="56" spans="12:12">
      <c r="L56" s="81"/>
    </row>
    <row r="57" spans="12:12">
      <c r="L57" s="81"/>
    </row>
    <row r="58" spans="12:12">
      <c r="L58" s="81"/>
    </row>
    <row r="59" spans="12:12">
      <c r="L59" s="81"/>
    </row>
    <row r="60" spans="12:12">
      <c r="L60" s="81"/>
    </row>
    <row r="61" spans="12:12">
      <c r="L61" s="81"/>
    </row>
    <row r="62" spans="12:12">
      <c r="L62" s="81"/>
    </row>
    <row r="63" spans="12:12">
      <c r="L63" s="81"/>
    </row>
    <row r="64" spans="12:12">
      <c r="L64" s="81"/>
    </row>
    <row r="65" spans="10:12">
      <c r="L65" s="81"/>
    </row>
    <row r="66" spans="10:12">
      <c r="L66" s="81"/>
    </row>
    <row r="67" spans="10:12">
      <c r="L67" s="81"/>
    </row>
    <row r="68" spans="10:12">
      <c r="L68" s="81"/>
    </row>
    <row r="69" spans="10:12">
      <c r="J69" s="75"/>
      <c r="K69" s="81"/>
      <c r="L69" s="81"/>
    </row>
  </sheetData>
  <mergeCells count="11">
    <mergeCell ref="A44:D44"/>
    <mergeCell ref="A1:H1"/>
    <mergeCell ref="A2:H2"/>
    <mergeCell ref="B3:D3"/>
    <mergeCell ref="B10:D10"/>
    <mergeCell ref="A42:D42"/>
    <mergeCell ref="A43:D43"/>
    <mergeCell ref="B14:D14"/>
    <mergeCell ref="B22:D22"/>
    <mergeCell ref="B24:D24"/>
    <mergeCell ref="A6:H6"/>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3904C-2A7A-45EC-8C6E-1E0B14CE434F}">
  <sheetPr codeName="Feuil3">
    <pageSetUpPr fitToPage="1"/>
  </sheetPr>
  <dimension ref="A1:L151"/>
  <sheetViews>
    <sheetView showZeros="0" zoomScale="70" zoomScaleNormal="70" workbookViewId="0">
      <selection activeCell="A6" sqref="A6:H6"/>
    </sheetView>
  </sheetViews>
  <sheetFormatPr baseColWidth="10" defaultColWidth="11.44140625" defaultRowHeight="15"/>
  <cols>
    <col min="1" max="3" width="9.77734375" style="1" customWidth="1"/>
    <col min="4" max="4" width="49"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65</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t="s">
        <v>43</v>
      </c>
      <c r="C5" s="28"/>
      <c r="D5" s="28"/>
      <c r="E5" s="29"/>
      <c r="F5" s="30"/>
      <c r="G5" s="31"/>
      <c r="H5" s="32"/>
    </row>
    <row r="6" spans="1:12" ht="50.55" customHeight="1">
      <c r="A6" s="372" t="s">
        <v>1525</v>
      </c>
      <c r="B6" s="373"/>
      <c r="C6" s="373"/>
      <c r="D6" s="373"/>
      <c r="E6" s="373"/>
      <c r="F6" s="373"/>
      <c r="G6" s="373"/>
      <c r="H6" s="374"/>
    </row>
    <row r="7" spans="1:12" ht="13.05" customHeight="1">
      <c r="A7" s="26"/>
      <c r="B7" s="28"/>
      <c r="C7" s="28"/>
      <c r="D7" s="28"/>
      <c r="E7" s="29"/>
      <c r="F7" s="33"/>
      <c r="G7" s="34"/>
      <c r="H7" s="35"/>
      <c r="J7" s="36"/>
      <c r="K7" s="36"/>
      <c r="L7" s="36"/>
    </row>
    <row r="8" spans="1:12" ht="13.05" customHeight="1">
      <c r="A8" s="37" t="s">
        <v>66</v>
      </c>
      <c r="B8" s="38" t="s">
        <v>67</v>
      </c>
      <c r="C8" s="13"/>
      <c r="D8" s="13"/>
      <c r="E8" s="77" t="s">
        <v>46</v>
      </c>
      <c r="F8" s="78"/>
      <c r="G8" s="79"/>
      <c r="H8" s="80"/>
      <c r="J8" s="36"/>
      <c r="K8" s="36"/>
      <c r="L8" s="36"/>
    </row>
    <row r="9" spans="1:12" ht="13.05" customHeight="1">
      <c r="A9" s="70"/>
      <c r="B9" s="13"/>
      <c r="C9" s="13"/>
      <c r="D9" s="13"/>
      <c r="E9" s="39"/>
      <c r="F9" s="78"/>
      <c r="G9" s="79"/>
      <c r="H9" s="80"/>
      <c r="J9" s="36"/>
      <c r="K9" s="36"/>
      <c r="L9" s="36"/>
    </row>
    <row r="10" spans="1:12" ht="13.05" customHeight="1">
      <c r="A10" s="37" t="s">
        <v>68</v>
      </c>
      <c r="B10" s="38" t="s">
        <v>69</v>
      </c>
      <c r="C10" s="13"/>
      <c r="D10" s="13"/>
      <c r="E10" s="77" t="s">
        <v>70</v>
      </c>
      <c r="F10" s="78"/>
      <c r="G10" s="79"/>
      <c r="H10" s="80"/>
      <c r="J10" s="36"/>
      <c r="K10" s="36"/>
      <c r="L10" s="36"/>
    </row>
    <row r="11" spans="1:12" ht="13.05" customHeight="1">
      <c r="A11" s="37"/>
      <c r="B11" s="38"/>
      <c r="C11" s="13"/>
      <c r="D11" s="13"/>
      <c r="E11" s="77"/>
      <c r="F11" s="78"/>
      <c r="G11" s="79"/>
      <c r="H11" s="80"/>
      <c r="J11" s="36"/>
      <c r="K11" s="36"/>
      <c r="L11" s="36"/>
    </row>
    <row r="12" spans="1:12" ht="13.05" customHeight="1">
      <c r="A12" s="37" t="s">
        <v>71</v>
      </c>
      <c r="B12" s="38" t="s">
        <v>72</v>
      </c>
      <c r="C12" s="13"/>
      <c r="D12" s="13"/>
      <c r="E12" s="77" t="s">
        <v>70</v>
      </c>
      <c r="F12" s="78"/>
      <c r="G12" s="79"/>
      <c r="H12" s="80"/>
      <c r="J12" s="36"/>
      <c r="K12" s="36"/>
      <c r="L12" s="36"/>
    </row>
    <row r="13" spans="1:12" ht="13.05" customHeight="1">
      <c r="A13" s="37"/>
      <c r="B13" s="38"/>
      <c r="C13" s="13"/>
      <c r="D13" s="13"/>
      <c r="E13" s="77"/>
      <c r="F13" s="78"/>
      <c r="G13" s="79"/>
      <c r="H13" s="80"/>
      <c r="J13" s="36"/>
      <c r="K13" s="36"/>
      <c r="L13" s="36"/>
    </row>
    <row r="14" spans="1:12" ht="13.05" customHeight="1">
      <c r="A14" s="37" t="s">
        <v>73</v>
      </c>
      <c r="B14" s="38" t="s">
        <v>74</v>
      </c>
      <c r="C14" s="13"/>
      <c r="D14" s="13"/>
      <c r="E14" s="77" t="s">
        <v>46</v>
      </c>
      <c r="F14" s="78"/>
      <c r="G14" s="79"/>
      <c r="H14" s="80">
        <f>G14*F14</f>
        <v>0</v>
      </c>
      <c r="J14" s="36"/>
      <c r="K14" s="36"/>
      <c r="L14" s="36"/>
    </row>
    <row r="15" spans="1:12" ht="13.05" customHeight="1">
      <c r="A15" s="37"/>
      <c r="B15" s="38"/>
      <c r="C15" s="13"/>
      <c r="D15" s="13"/>
      <c r="E15" s="77"/>
      <c r="F15" s="78"/>
      <c r="G15" s="79"/>
      <c r="H15" s="80"/>
      <c r="J15" s="36"/>
      <c r="K15" s="36"/>
      <c r="L15" s="36"/>
    </row>
    <row r="16" spans="1:12" ht="13.05" customHeight="1">
      <c r="A16" s="37"/>
      <c r="B16" s="72" t="s">
        <v>75</v>
      </c>
      <c r="C16" s="13"/>
      <c r="D16" s="13"/>
      <c r="E16" s="39"/>
      <c r="F16" s="40"/>
      <c r="G16" s="41"/>
      <c r="H16" s="42"/>
      <c r="J16" s="69"/>
      <c r="K16" s="69"/>
      <c r="L16" s="69"/>
    </row>
    <row r="17" spans="1:12" ht="13.05" customHeight="1">
      <c r="A17" s="37"/>
      <c r="B17" s="38"/>
      <c r="C17" s="13"/>
      <c r="D17" s="13"/>
      <c r="E17" s="39"/>
      <c r="F17" s="40"/>
      <c r="G17" s="41"/>
      <c r="H17" s="42"/>
      <c r="J17" s="69"/>
      <c r="K17" s="69"/>
      <c r="L17" s="69"/>
    </row>
    <row r="18" spans="1:12" ht="13.05" customHeight="1">
      <c r="A18" s="37"/>
      <c r="B18" s="38"/>
      <c r="C18" s="13"/>
      <c r="D18" s="13"/>
      <c r="E18" s="39"/>
      <c r="F18" s="40"/>
      <c r="G18" s="41"/>
      <c r="H18" s="42"/>
      <c r="J18" s="69"/>
      <c r="K18" s="69"/>
      <c r="L18" s="69"/>
    </row>
    <row r="19" spans="1:12" ht="13.05" customHeight="1">
      <c r="A19" s="37"/>
      <c r="B19" s="38"/>
      <c r="C19" s="13"/>
      <c r="D19" s="13"/>
      <c r="E19" s="39"/>
      <c r="F19" s="40"/>
      <c r="G19" s="41"/>
      <c r="H19" s="42"/>
      <c r="J19" s="69"/>
      <c r="K19" s="69"/>
      <c r="L19" s="69"/>
    </row>
    <row r="20" spans="1:12" ht="13.05" customHeight="1">
      <c r="A20" s="37"/>
      <c r="B20" s="38"/>
      <c r="C20" s="13"/>
      <c r="D20" s="13"/>
      <c r="E20" s="39"/>
      <c r="F20" s="40"/>
      <c r="G20" s="41"/>
      <c r="H20" s="42"/>
      <c r="J20" s="36"/>
      <c r="K20" s="36"/>
      <c r="L20" s="36"/>
    </row>
    <row r="21" spans="1:12" ht="13.05" customHeight="1">
      <c r="A21" s="37"/>
      <c r="B21" s="38"/>
      <c r="C21" s="13"/>
      <c r="D21" s="13"/>
      <c r="E21" s="39"/>
      <c r="F21" s="40"/>
      <c r="G21" s="41"/>
      <c r="H21" s="42"/>
      <c r="J21" s="36"/>
      <c r="K21" s="36"/>
      <c r="L21" s="36"/>
    </row>
    <row r="22" spans="1:12" ht="13.05" customHeight="1">
      <c r="A22" s="37"/>
      <c r="B22" s="38"/>
      <c r="C22" s="13"/>
      <c r="D22" s="13"/>
      <c r="E22" s="77"/>
      <c r="F22" s="78"/>
      <c r="G22" s="79"/>
      <c r="H22" s="80"/>
      <c r="J22" s="36"/>
      <c r="K22" s="36"/>
      <c r="L22" s="36"/>
    </row>
    <row r="23" spans="1:12" ht="13.05" customHeight="1">
      <c r="A23" s="37"/>
      <c r="B23" s="38"/>
      <c r="C23" s="13"/>
      <c r="D23" s="13"/>
      <c r="E23" s="77"/>
      <c r="F23" s="78"/>
      <c r="G23" s="79"/>
      <c r="H23" s="80"/>
      <c r="J23" s="36"/>
      <c r="K23" s="36"/>
      <c r="L23" s="36"/>
    </row>
    <row r="24" spans="1:12" ht="13.05" customHeight="1">
      <c r="A24" s="37" t="s">
        <v>76</v>
      </c>
      <c r="B24" s="38" t="s">
        <v>77</v>
      </c>
      <c r="C24" s="13"/>
      <c r="D24" s="13"/>
      <c r="E24" s="77" t="s">
        <v>52</v>
      </c>
      <c r="F24" s="78"/>
      <c r="G24" s="79"/>
      <c r="H24" s="80"/>
      <c r="J24" s="36"/>
      <c r="K24" s="36"/>
      <c r="L24" s="36"/>
    </row>
    <row r="25" spans="1:12" ht="13.05" customHeight="1">
      <c r="A25" s="37"/>
      <c r="B25" s="38"/>
      <c r="C25" s="13"/>
      <c r="D25" s="13"/>
      <c r="E25" s="77"/>
      <c r="F25" s="78"/>
      <c r="G25" s="79"/>
      <c r="H25" s="80"/>
      <c r="J25" s="36"/>
      <c r="K25" s="36"/>
      <c r="L25" s="36"/>
    </row>
    <row r="26" spans="1:12" ht="13.05" customHeight="1">
      <c r="A26" s="37"/>
      <c r="B26" s="72" t="s">
        <v>75</v>
      </c>
      <c r="C26" s="13"/>
      <c r="D26" s="13"/>
      <c r="E26" s="39"/>
      <c r="F26" s="40"/>
      <c r="G26" s="41"/>
      <c r="H26" s="42"/>
      <c r="J26" s="36"/>
      <c r="K26" s="36"/>
      <c r="L26" s="36"/>
    </row>
    <row r="27" spans="1:12" ht="13.05" customHeight="1">
      <c r="A27" s="37"/>
      <c r="B27" s="38"/>
      <c r="C27" s="13"/>
      <c r="D27" s="13"/>
      <c r="E27" s="39"/>
      <c r="F27" s="40"/>
      <c r="G27" s="41"/>
      <c r="H27" s="42"/>
      <c r="J27" s="36"/>
      <c r="K27" s="36"/>
      <c r="L27" s="36"/>
    </row>
    <row r="28" spans="1:12" ht="13.05" customHeight="1">
      <c r="A28" s="37"/>
      <c r="B28" s="38"/>
      <c r="C28" s="13"/>
      <c r="D28" s="13"/>
      <c r="E28" s="39"/>
      <c r="F28" s="40"/>
      <c r="G28" s="41"/>
      <c r="H28" s="42"/>
      <c r="J28" s="36"/>
      <c r="K28" s="36"/>
      <c r="L28" s="36"/>
    </row>
    <row r="29" spans="1:12" ht="13.05" customHeight="1">
      <c r="A29" s="37"/>
      <c r="B29" s="38"/>
      <c r="C29" s="13"/>
      <c r="D29" s="13"/>
      <c r="E29" s="39"/>
      <c r="F29" s="40"/>
      <c r="G29" s="41"/>
      <c r="H29" s="42"/>
      <c r="J29" s="36"/>
      <c r="K29" s="36"/>
      <c r="L29" s="36"/>
    </row>
    <row r="30" spans="1:12" ht="13.05" customHeight="1">
      <c r="A30" s="37"/>
      <c r="B30" s="38"/>
      <c r="C30" s="13"/>
      <c r="D30" s="13"/>
      <c r="E30" s="39"/>
      <c r="F30" s="40"/>
      <c r="G30" s="41"/>
      <c r="H30" s="42"/>
      <c r="J30" s="69"/>
      <c r="K30" s="69"/>
      <c r="L30" s="69"/>
    </row>
    <row r="31" spans="1:12" ht="13.05" customHeight="1">
      <c r="A31" s="37"/>
      <c r="B31" s="38"/>
      <c r="C31" s="13"/>
      <c r="D31" s="13"/>
      <c r="E31" s="39"/>
      <c r="F31" s="40"/>
      <c r="G31" s="41"/>
      <c r="H31" s="42"/>
      <c r="J31" s="69"/>
      <c r="K31" s="69"/>
      <c r="L31" s="69"/>
    </row>
    <row r="32" spans="1:12" ht="13.05" customHeight="1">
      <c r="A32" s="37"/>
      <c r="B32" s="38"/>
      <c r="C32" s="13"/>
      <c r="D32" s="13"/>
      <c r="E32" s="39"/>
      <c r="F32" s="40"/>
      <c r="G32" s="41"/>
      <c r="H32" s="42"/>
      <c r="J32" s="69"/>
      <c r="K32" s="69"/>
      <c r="L32" s="69"/>
    </row>
    <row r="33" spans="1:12" ht="13.05" customHeight="1">
      <c r="A33" s="37"/>
      <c r="B33" s="38"/>
      <c r="C33" s="13"/>
      <c r="D33" s="13"/>
      <c r="E33" s="39"/>
      <c r="F33" s="40"/>
      <c r="G33" s="41"/>
      <c r="H33" s="42"/>
      <c r="J33" s="69"/>
      <c r="K33" s="69"/>
      <c r="L33" s="69"/>
    </row>
    <row r="34" spans="1:12" ht="13.05" customHeight="1">
      <c r="A34" s="37"/>
      <c r="B34" s="38"/>
      <c r="C34" s="13"/>
      <c r="D34" s="13"/>
      <c r="E34" s="39"/>
      <c r="F34" s="40"/>
      <c r="G34" s="41"/>
      <c r="H34" s="42"/>
      <c r="J34" s="69"/>
      <c r="K34" s="69"/>
      <c r="L34" s="69"/>
    </row>
    <row r="35" spans="1:12" ht="13.05" customHeight="1">
      <c r="A35" s="37"/>
      <c r="B35" s="38"/>
      <c r="C35" s="13"/>
      <c r="D35" s="13"/>
      <c r="E35" s="39"/>
      <c r="F35" s="40"/>
      <c r="G35" s="41"/>
      <c r="H35" s="42"/>
      <c r="J35" s="74"/>
      <c r="K35" s="74"/>
      <c r="L35" s="74"/>
    </row>
    <row r="36" spans="1:12" ht="13.05" customHeight="1">
      <c r="A36" s="37"/>
      <c r="B36" s="38"/>
      <c r="C36" s="13"/>
      <c r="D36" s="13"/>
      <c r="E36" s="39"/>
      <c r="F36" s="40"/>
      <c r="G36" s="41"/>
      <c r="H36" s="42"/>
      <c r="J36" s="74"/>
      <c r="K36" s="74"/>
      <c r="L36" s="74"/>
    </row>
    <row r="37" spans="1:12" ht="13.05" customHeight="1">
      <c r="A37" s="37"/>
      <c r="B37" s="38"/>
      <c r="C37" s="13"/>
      <c r="D37" s="13"/>
      <c r="E37" s="39"/>
      <c r="F37" s="40"/>
      <c r="G37" s="41"/>
      <c r="H37" s="42"/>
      <c r="J37" s="74"/>
      <c r="K37" s="74"/>
      <c r="L37" s="74"/>
    </row>
    <row r="38" spans="1:12" ht="13.05" customHeight="1">
      <c r="A38" s="37" t="s">
        <v>78</v>
      </c>
      <c r="B38" s="38" t="s">
        <v>79</v>
      </c>
      <c r="C38" s="13"/>
      <c r="D38" s="13"/>
      <c r="E38" s="39" t="s">
        <v>80</v>
      </c>
      <c r="F38" s="40"/>
      <c r="G38" s="41"/>
      <c r="H38" s="42"/>
      <c r="J38" s="74"/>
      <c r="K38" s="74"/>
      <c r="L38" s="74"/>
    </row>
    <row r="39" spans="1:12" ht="13.05" customHeight="1">
      <c r="A39" s="37"/>
      <c r="B39" s="38"/>
      <c r="C39" s="13"/>
      <c r="D39" s="13"/>
      <c r="E39" s="39"/>
      <c r="F39" s="40"/>
      <c r="G39" s="41"/>
      <c r="H39" s="42"/>
      <c r="J39" s="74"/>
      <c r="K39" s="74"/>
      <c r="L39" s="74"/>
    </row>
    <row r="40" spans="1:12" ht="13.05" customHeight="1">
      <c r="A40" s="37" t="s">
        <v>81</v>
      </c>
      <c r="B40" s="38" t="s">
        <v>82</v>
      </c>
      <c r="C40" s="13"/>
      <c r="D40" s="13"/>
      <c r="E40" s="39" t="s">
        <v>80</v>
      </c>
      <c r="F40" s="40"/>
      <c r="G40" s="41"/>
      <c r="H40" s="42"/>
      <c r="J40" s="74"/>
      <c r="K40" s="74"/>
      <c r="L40" s="74"/>
    </row>
    <row r="41" spans="1:12" ht="13.05" customHeight="1">
      <c r="A41" s="37"/>
      <c r="B41" s="38"/>
      <c r="C41" s="13"/>
      <c r="D41" s="13"/>
      <c r="E41" s="77"/>
      <c r="F41" s="78"/>
      <c r="G41" s="79"/>
      <c r="H41" s="80"/>
      <c r="J41" s="74"/>
      <c r="K41" s="74"/>
      <c r="L41" s="74"/>
    </row>
    <row r="42" spans="1:12" ht="13.05" customHeight="1">
      <c r="A42" s="37" t="s">
        <v>83</v>
      </c>
      <c r="B42" s="38" t="s">
        <v>84</v>
      </c>
      <c r="C42" s="13"/>
      <c r="D42" s="13"/>
      <c r="E42" s="39"/>
      <c r="F42" s="78"/>
      <c r="G42" s="79"/>
      <c r="H42" s="80"/>
      <c r="J42" s="74"/>
      <c r="K42" s="74"/>
      <c r="L42" s="74"/>
    </row>
    <row r="43" spans="1:12" ht="13.05" customHeight="1">
      <c r="A43" s="37"/>
      <c r="B43" s="38"/>
      <c r="C43" s="13"/>
      <c r="D43" s="13"/>
      <c r="E43" s="39"/>
      <c r="F43" s="78"/>
      <c r="G43" s="79"/>
      <c r="H43" s="80"/>
      <c r="J43" s="74"/>
      <c r="K43" s="74"/>
      <c r="L43" s="74"/>
    </row>
    <row r="44" spans="1:12" ht="13.05" customHeight="1">
      <c r="A44" s="44" t="s">
        <v>85</v>
      </c>
      <c r="B44" s="13" t="s">
        <v>86</v>
      </c>
      <c r="C44" s="13"/>
      <c r="D44" s="13"/>
      <c r="E44" s="39"/>
      <c r="F44" s="78"/>
      <c r="G44" s="79"/>
      <c r="H44" s="80"/>
      <c r="J44" s="69"/>
      <c r="K44" s="69"/>
      <c r="L44" s="69"/>
    </row>
    <row r="45" spans="1:12" ht="13.05" customHeight="1">
      <c r="A45" s="37"/>
      <c r="B45" s="72" t="s">
        <v>75</v>
      </c>
      <c r="C45" s="13"/>
      <c r="D45" s="13"/>
      <c r="E45" s="39"/>
      <c r="F45" s="40"/>
      <c r="G45" s="41"/>
      <c r="H45" s="42"/>
      <c r="J45" s="36"/>
      <c r="K45" s="36"/>
      <c r="L45" s="36"/>
    </row>
    <row r="46" spans="1:12" ht="13.05" customHeight="1">
      <c r="A46" s="37"/>
      <c r="B46" s="38"/>
      <c r="C46" s="13"/>
      <c r="D46" s="13"/>
      <c r="E46" s="39"/>
      <c r="F46" s="40"/>
      <c r="G46" s="41"/>
      <c r="H46" s="42"/>
      <c r="J46" s="36"/>
      <c r="K46" s="36"/>
      <c r="L46" s="36"/>
    </row>
    <row r="47" spans="1:12" ht="13.05" customHeight="1">
      <c r="A47" s="37"/>
      <c r="B47" s="38"/>
      <c r="C47" s="13"/>
      <c r="D47" s="13"/>
      <c r="E47" s="39"/>
      <c r="F47" s="40"/>
      <c r="G47" s="41"/>
      <c r="H47" s="42"/>
      <c r="J47" s="36"/>
      <c r="K47" s="36"/>
      <c r="L47" s="36"/>
    </row>
    <row r="48" spans="1:12" ht="13.05" customHeight="1">
      <c r="A48" s="37"/>
      <c r="B48" s="38"/>
      <c r="C48" s="13"/>
      <c r="D48" s="13"/>
      <c r="E48" s="39"/>
      <c r="F48" s="40"/>
      <c r="G48" s="41"/>
      <c r="H48" s="42"/>
      <c r="J48" s="36"/>
      <c r="K48" s="36"/>
      <c r="L48" s="36"/>
    </row>
    <row r="49" spans="1:12" ht="13.05" customHeight="1">
      <c r="A49" s="37"/>
      <c r="B49" s="38"/>
      <c r="C49" s="13"/>
      <c r="D49" s="13"/>
      <c r="E49" s="39"/>
      <c r="F49" s="40"/>
      <c r="G49" s="41"/>
      <c r="H49" s="42"/>
      <c r="J49" s="69"/>
      <c r="K49" s="69"/>
      <c r="L49" s="69"/>
    </row>
    <row r="50" spans="1:12" ht="13.05" customHeight="1">
      <c r="A50" s="37"/>
      <c r="B50" s="38"/>
      <c r="C50" s="13"/>
      <c r="D50" s="13"/>
      <c r="E50" s="39"/>
      <c r="F50" s="40"/>
      <c r="G50" s="41"/>
      <c r="H50" s="42"/>
      <c r="J50" s="69"/>
      <c r="K50" s="69"/>
      <c r="L50" s="69"/>
    </row>
    <row r="51" spans="1:12" ht="13.05" customHeight="1">
      <c r="A51" s="37"/>
      <c r="B51" s="38"/>
      <c r="C51" s="13"/>
      <c r="D51" s="13"/>
      <c r="E51" s="39"/>
      <c r="F51" s="40"/>
      <c r="G51" s="41"/>
      <c r="H51" s="42"/>
      <c r="J51" s="69"/>
      <c r="K51" s="69"/>
      <c r="L51" s="69"/>
    </row>
    <row r="52" spans="1:12" ht="13.05" customHeight="1">
      <c r="A52" s="37"/>
      <c r="B52" s="38"/>
      <c r="C52" s="13"/>
      <c r="D52" s="13"/>
      <c r="E52" s="39"/>
      <c r="F52" s="40"/>
      <c r="G52" s="41"/>
      <c r="H52" s="42"/>
      <c r="J52" s="69"/>
      <c r="K52" s="69"/>
      <c r="L52" s="69"/>
    </row>
    <row r="53" spans="1:12" ht="13.05" customHeight="1">
      <c r="A53" s="37"/>
      <c r="B53" s="38"/>
      <c r="C53" s="13"/>
      <c r="D53" s="13"/>
      <c r="E53" s="39"/>
      <c r="F53" s="40"/>
      <c r="G53" s="41"/>
      <c r="H53" s="42"/>
      <c r="J53" s="69"/>
      <c r="K53" s="69"/>
      <c r="L53" s="69"/>
    </row>
    <row r="54" spans="1:12" ht="13.05" customHeight="1">
      <c r="A54" s="37"/>
      <c r="B54" s="38"/>
      <c r="C54" s="13"/>
      <c r="D54" s="13"/>
      <c r="E54" s="39"/>
      <c r="F54" s="40"/>
      <c r="G54" s="41"/>
      <c r="H54" s="42"/>
      <c r="J54" s="74"/>
      <c r="K54" s="74"/>
      <c r="L54" s="74"/>
    </row>
    <row r="55" spans="1:12" ht="13.05" customHeight="1">
      <c r="A55" s="37"/>
      <c r="B55" s="38"/>
      <c r="C55" s="13"/>
      <c r="D55" s="13"/>
      <c r="E55" s="39"/>
      <c r="F55" s="40"/>
      <c r="G55" s="41"/>
      <c r="H55" s="42"/>
      <c r="J55" s="74"/>
      <c r="K55" s="74"/>
      <c r="L55" s="74"/>
    </row>
    <row r="56" spans="1:12" ht="13.05" customHeight="1">
      <c r="A56" s="44"/>
      <c r="B56" s="13"/>
      <c r="C56" s="13"/>
      <c r="D56" s="13"/>
      <c r="E56" s="39"/>
      <c r="F56" s="78"/>
      <c r="G56" s="79"/>
      <c r="H56" s="80"/>
      <c r="J56" s="69"/>
      <c r="K56" s="69"/>
      <c r="L56" s="69"/>
    </row>
    <row r="57" spans="1:12" ht="13.05" customHeight="1">
      <c r="A57" s="44" t="s">
        <v>87</v>
      </c>
      <c r="B57" s="13" t="s">
        <v>88</v>
      </c>
      <c r="C57" s="13"/>
      <c r="D57" s="13"/>
      <c r="E57" s="39"/>
      <c r="F57" s="78"/>
      <c r="G57" s="79"/>
      <c r="H57" s="80"/>
      <c r="J57" s="69"/>
      <c r="K57" s="69"/>
      <c r="L57" s="69"/>
    </row>
    <row r="58" spans="1:12" ht="13.05" customHeight="1">
      <c r="A58" s="44"/>
      <c r="B58" s="13" t="s">
        <v>89</v>
      </c>
      <c r="C58" s="13"/>
      <c r="D58" s="13" t="s">
        <v>90</v>
      </c>
      <c r="E58" s="39" t="s">
        <v>52</v>
      </c>
      <c r="F58" s="78"/>
      <c r="G58" s="79"/>
      <c r="H58" s="80"/>
      <c r="J58" s="69"/>
      <c r="K58" s="69"/>
      <c r="L58" s="69"/>
    </row>
    <row r="59" spans="1:12" ht="13.05" customHeight="1">
      <c r="A59" s="44"/>
      <c r="B59" s="13" t="s">
        <v>91</v>
      </c>
      <c r="C59" s="13"/>
      <c r="D59" s="13" t="s">
        <v>92</v>
      </c>
      <c r="E59" s="39" t="s">
        <v>93</v>
      </c>
      <c r="F59" s="78"/>
      <c r="G59" s="79"/>
      <c r="H59" s="80"/>
      <c r="J59" s="69"/>
      <c r="K59" s="69"/>
      <c r="L59" s="69"/>
    </row>
    <row r="60" spans="1:12" ht="13.05" customHeight="1">
      <c r="A60" s="44"/>
      <c r="B60" s="13" t="s">
        <v>94</v>
      </c>
      <c r="C60" s="13"/>
      <c r="D60" s="13" t="s">
        <v>95</v>
      </c>
      <c r="E60" s="39" t="s">
        <v>93</v>
      </c>
      <c r="F60" s="78"/>
      <c r="G60" s="79"/>
      <c r="H60" s="80"/>
      <c r="J60" s="69"/>
      <c r="K60" s="69"/>
      <c r="L60" s="69"/>
    </row>
    <row r="61" spans="1:12" ht="13.05" customHeight="1">
      <c r="A61" s="44"/>
      <c r="B61" s="13" t="s">
        <v>96</v>
      </c>
      <c r="C61" s="13"/>
      <c r="D61" s="13" t="s">
        <v>97</v>
      </c>
      <c r="E61" s="39" t="s">
        <v>52</v>
      </c>
      <c r="F61" s="78"/>
      <c r="G61" s="79"/>
      <c r="H61" s="80"/>
      <c r="J61" s="69"/>
      <c r="K61" s="69"/>
      <c r="L61" s="69"/>
    </row>
    <row r="62" spans="1:12" ht="13.05" customHeight="1">
      <c r="A62" s="44"/>
      <c r="B62" s="13"/>
      <c r="C62" s="13"/>
      <c r="D62" s="13"/>
      <c r="E62" s="39"/>
      <c r="F62" s="78"/>
      <c r="G62" s="79"/>
      <c r="H62" s="80"/>
      <c r="J62" s="69"/>
      <c r="K62" s="69"/>
      <c r="L62" s="69"/>
    </row>
    <row r="63" spans="1:12" ht="13.05" customHeight="1">
      <c r="A63" s="44" t="s">
        <v>98</v>
      </c>
      <c r="B63" s="13" t="s">
        <v>99</v>
      </c>
      <c r="C63" s="13"/>
      <c r="D63" s="13"/>
      <c r="E63" s="39"/>
      <c r="F63" s="78"/>
      <c r="G63" s="79"/>
      <c r="H63" s="80"/>
      <c r="J63" s="69"/>
      <c r="K63" s="69"/>
      <c r="L63" s="69"/>
    </row>
    <row r="64" spans="1:12" ht="13.05" customHeight="1">
      <c r="A64" s="37"/>
      <c r="B64" s="72" t="s">
        <v>75</v>
      </c>
      <c r="C64" s="13"/>
      <c r="D64" s="13"/>
      <c r="E64" s="39"/>
      <c r="F64" s="40"/>
      <c r="G64" s="41"/>
      <c r="H64" s="42"/>
      <c r="J64" s="36"/>
      <c r="K64" s="36"/>
      <c r="L64" s="36"/>
    </row>
    <row r="65" spans="1:12" ht="13.05" customHeight="1">
      <c r="A65" s="37"/>
      <c r="B65" s="38"/>
      <c r="C65" s="13"/>
      <c r="D65" s="13"/>
      <c r="E65" s="39"/>
      <c r="F65" s="40"/>
      <c r="G65" s="41"/>
      <c r="H65" s="42"/>
      <c r="J65" s="36"/>
      <c r="K65" s="36"/>
      <c r="L65" s="36"/>
    </row>
    <row r="66" spans="1:12" ht="13.05" customHeight="1">
      <c r="A66" s="37"/>
      <c r="B66" s="38"/>
      <c r="C66" s="13"/>
      <c r="D66" s="13"/>
      <c r="E66" s="39"/>
      <c r="F66" s="40"/>
      <c r="G66" s="41"/>
      <c r="H66" s="42"/>
      <c r="J66" s="36"/>
      <c r="K66" s="36"/>
      <c r="L66" s="36"/>
    </row>
    <row r="67" spans="1:12" ht="13.05" customHeight="1">
      <c r="A67" s="37"/>
      <c r="B67" s="38"/>
      <c r="C67" s="13"/>
      <c r="D67" s="13"/>
      <c r="E67" s="39"/>
      <c r="F67" s="40"/>
      <c r="G67" s="41"/>
      <c r="H67" s="42"/>
      <c r="J67" s="36"/>
      <c r="K67" s="36"/>
      <c r="L67" s="36"/>
    </row>
    <row r="68" spans="1:12" ht="13.05" customHeight="1">
      <c r="A68" s="37"/>
      <c r="B68" s="38"/>
      <c r="C68" s="13"/>
      <c r="D68" s="13"/>
      <c r="E68" s="39"/>
      <c r="F68" s="40"/>
      <c r="G68" s="41"/>
      <c r="H68" s="42"/>
      <c r="J68" s="69"/>
      <c r="K68" s="69"/>
      <c r="L68" s="69"/>
    </row>
    <row r="69" spans="1:12" ht="13.05" customHeight="1">
      <c r="A69" s="37"/>
      <c r="B69" s="38"/>
      <c r="C69" s="13"/>
      <c r="D69" s="13"/>
      <c r="E69" s="39"/>
      <c r="F69" s="40"/>
      <c r="G69" s="41"/>
      <c r="H69" s="42"/>
      <c r="J69" s="69"/>
      <c r="K69" s="69"/>
      <c r="L69" s="69"/>
    </row>
    <row r="70" spans="1:12" ht="13.05" customHeight="1">
      <c r="A70" s="37"/>
      <c r="B70" s="38"/>
      <c r="C70" s="13"/>
      <c r="D70" s="13"/>
      <c r="E70" s="39"/>
      <c r="F70" s="40"/>
      <c r="G70" s="41"/>
      <c r="H70" s="42"/>
      <c r="J70" s="69"/>
      <c r="K70" s="69"/>
      <c r="L70" s="69"/>
    </row>
    <row r="71" spans="1:12" ht="13.05" customHeight="1">
      <c r="A71" s="37"/>
      <c r="B71" s="38"/>
      <c r="C71" s="13"/>
      <c r="D71" s="13"/>
      <c r="E71" s="39"/>
      <c r="F71" s="40"/>
      <c r="G71" s="41"/>
      <c r="H71" s="42"/>
      <c r="J71" s="69"/>
      <c r="K71" s="69"/>
      <c r="L71" s="69"/>
    </row>
    <row r="72" spans="1:12" ht="13.05" customHeight="1">
      <c r="A72" s="37"/>
      <c r="B72" s="38"/>
      <c r="C72" s="13"/>
      <c r="D72" s="13"/>
      <c r="E72" s="39"/>
      <c r="F72" s="40"/>
      <c r="G72" s="41"/>
      <c r="H72" s="42"/>
      <c r="J72" s="69"/>
      <c r="K72" s="69"/>
      <c r="L72" s="69"/>
    </row>
    <row r="73" spans="1:12" ht="13.05" customHeight="1">
      <c r="A73" s="37"/>
      <c r="B73" s="38"/>
      <c r="C73" s="13"/>
      <c r="D73" s="13"/>
      <c r="E73" s="39"/>
      <c r="F73" s="40"/>
      <c r="G73" s="41"/>
      <c r="H73" s="42"/>
      <c r="J73" s="74"/>
      <c r="K73" s="74"/>
      <c r="L73" s="74"/>
    </row>
    <row r="74" spans="1:12" ht="13.05" customHeight="1">
      <c r="A74" s="37"/>
      <c r="B74" s="38"/>
      <c r="C74" s="13"/>
      <c r="D74" s="13"/>
      <c r="E74" s="39"/>
      <c r="F74" s="40"/>
      <c r="G74" s="41"/>
      <c r="H74" s="42"/>
      <c r="J74" s="74"/>
      <c r="K74" s="74"/>
      <c r="L74" s="74"/>
    </row>
    <row r="75" spans="1:12" ht="13.05" customHeight="1">
      <c r="A75" s="44"/>
      <c r="B75" s="13"/>
      <c r="C75" s="13"/>
      <c r="D75" s="13"/>
      <c r="E75" s="39"/>
      <c r="F75" s="78"/>
      <c r="G75" s="79"/>
      <c r="H75" s="80"/>
      <c r="J75" s="69"/>
      <c r="K75" s="69"/>
      <c r="L75" s="69"/>
    </row>
    <row r="76" spans="1:12" ht="13.05" customHeight="1">
      <c r="A76" s="44" t="s">
        <v>100</v>
      </c>
      <c r="B76" s="13" t="s">
        <v>101</v>
      </c>
      <c r="C76" s="13"/>
      <c r="D76" s="13"/>
      <c r="E76" s="39"/>
      <c r="F76" s="78"/>
      <c r="G76" s="79"/>
      <c r="H76" s="80"/>
      <c r="J76" s="69"/>
      <c r="K76" s="69"/>
      <c r="L76" s="69"/>
    </row>
    <row r="77" spans="1:12" ht="13.05" customHeight="1">
      <c r="A77" s="37"/>
      <c r="B77" s="72" t="s">
        <v>75</v>
      </c>
      <c r="C77" s="13"/>
      <c r="D77" s="13"/>
      <c r="E77" s="39"/>
      <c r="F77" s="40"/>
      <c r="G77" s="41"/>
      <c r="H77" s="42"/>
      <c r="J77" s="36"/>
      <c r="K77" s="36"/>
      <c r="L77" s="36"/>
    </row>
    <row r="78" spans="1:12" ht="13.05" customHeight="1">
      <c r="A78" s="37"/>
      <c r="B78" s="38"/>
      <c r="C78" s="13"/>
      <c r="D78" s="13"/>
      <c r="E78" s="39"/>
      <c r="F78" s="40"/>
      <c r="G78" s="41"/>
      <c r="H78" s="42"/>
      <c r="J78" s="36"/>
      <c r="K78" s="36"/>
      <c r="L78" s="36"/>
    </row>
    <row r="79" spans="1:12" ht="13.05" customHeight="1">
      <c r="A79" s="37"/>
      <c r="B79" s="38"/>
      <c r="C79" s="13"/>
      <c r="D79" s="13"/>
      <c r="E79" s="39"/>
      <c r="F79" s="40"/>
      <c r="G79" s="41"/>
      <c r="H79" s="42"/>
      <c r="J79" s="36"/>
      <c r="K79" s="36"/>
      <c r="L79" s="36"/>
    </row>
    <row r="80" spans="1:12" ht="13.05" customHeight="1">
      <c r="A80" s="37"/>
      <c r="B80" s="38"/>
      <c r="C80" s="13"/>
      <c r="D80" s="13"/>
      <c r="E80" s="39"/>
      <c r="F80" s="40"/>
      <c r="G80" s="41"/>
      <c r="H80" s="42"/>
      <c r="J80" s="36"/>
      <c r="K80" s="36"/>
      <c r="L80" s="36"/>
    </row>
    <row r="81" spans="1:12" ht="13.05" customHeight="1">
      <c r="A81" s="37"/>
      <c r="B81" s="38"/>
      <c r="C81" s="13"/>
      <c r="D81" s="13"/>
      <c r="E81" s="39"/>
      <c r="F81" s="40"/>
      <c r="G81" s="41"/>
      <c r="H81" s="42"/>
      <c r="J81" s="69"/>
      <c r="K81" s="69"/>
      <c r="L81" s="69"/>
    </row>
    <row r="82" spans="1:12" ht="13.05" customHeight="1">
      <c r="A82" s="37"/>
      <c r="B82" s="38"/>
      <c r="C82" s="13"/>
      <c r="D82" s="13"/>
      <c r="E82" s="39"/>
      <c r="F82" s="40"/>
      <c r="G82" s="41"/>
      <c r="H82" s="42"/>
      <c r="J82" s="69"/>
      <c r="K82" s="69"/>
      <c r="L82" s="69"/>
    </row>
    <row r="83" spans="1:12" ht="13.05" customHeight="1">
      <c r="A83" s="37"/>
      <c r="B83" s="38"/>
      <c r="C83" s="13"/>
      <c r="D83" s="13"/>
      <c r="E83" s="39"/>
      <c r="F83" s="40"/>
      <c r="G83" s="41"/>
      <c r="H83" s="42"/>
      <c r="J83" s="69"/>
      <c r="K83" s="69"/>
      <c r="L83" s="69"/>
    </row>
    <row r="84" spans="1:12" ht="13.05" customHeight="1">
      <c r="A84" s="37"/>
      <c r="B84" s="38"/>
      <c r="C84" s="13"/>
      <c r="D84" s="13"/>
      <c r="E84" s="39"/>
      <c r="F84" s="40"/>
      <c r="G84" s="41"/>
      <c r="H84" s="42"/>
      <c r="J84" s="69"/>
      <c r="K84" s="69"/>
      <c r="L84" s="69"/>
    </row>
    <row r="85" spans="1:12" ht="13.05" customHeight="1">
      <c r="A85" s="37"/>
      <c r="B85" s="38"/>
      <c r="C85" s="13"/>
      <c r="D85" s="13"/>
      <c r="E85" s="39"/>
      <c r="F85" s="40"/>
      <c r="G85" s="41"/>
      <c r="H85" s="42"/>
      <c r="J85" s="69"/>
      <c r="K85" s="69"/>
      <c r="L85" s="69"/>
    </row>
    <row r="86" spans="1:12" ht="13.05" customHeight="1">
      <c r="A86" s="37"/>
      <c r="B86" s="38"/>
      <c r="C86" s="13"/>
      <c r="D86" s="13"/>
      <c r="E86" s="39"/>
      <c r="F86" s="40"/>
      <c r="G86" s="41"/>
      <c r="H86" s="42"/>
      <c r="J86" s="74"/>
      <c r="K86" s="74"/>
      <c r="L86" s="74"/>
    </row>
    <row r="87" spans="1:12" ht="13.05" customHeight="1">
      <c r="A87" s="37"/>
      <c r="B87" s="38"/>
      <c r="C87" s="13"/>
      <c r="D87" s="13"/>
      <c r="E87" s="39"/>
      <c r="F87" s="40"/>
      <c r="G87" s="41"/>
      <c r="H87" s="42"/>
      <c r="J87" s="74"/>
      <c r="K87" s="74"/>
      <c r="L87" s="74"/>
    </row>
    <row r="88" spans="1:12" ht="13.05" customHeight="1">
      <c r="A88" s="44"/>
      <c r="B88" s="13"/>
      <c r="C88" s="13"/>
      <c r="D88" s="13"/>
      <c r="E88" s="39"/>
      <c r="F88" s="78"/>
      <c r="G88" s="79"/>
      <c r="H88" s="80"/>
      <c r="J88" s="69"/>
      <c r="K88" s="69"/>
      <c r="L88" s="69"/>
    </row>
    <row r="89" spans="1:12" ht="13.05" customHeight="1">
      <c r="A89" s="44" t="s">
        <v>102</v>
      </c>
      <c r="B89" s="13" t="s">
        <v>103</v>
      </c>
      <c r="C89" s="13"/>
      <c r="D89" s="13"/>
      <c r="E89" s="39"/>
      <c r="F89" s="78"/>
      <c r="G89" s="79"/>
      <c r="H89" s="80"/>
      <c r="J89" s="69"/>
      <c r="K89" s="69"/>
      <c r="L89" s="69"/>
    </row>
    <row r="90" spans="1:12" ht="13.05" customHeight="1">
      <c r="A90" s="44"/>
      <c r="B90" s="13"/>
      <c r="C90" s="13"/>
      <c r="D90" s="13"/>
      <c r="E90" s="39"/>
      <c r="F90" s="78"/>
      <c r="G90" s="79"/>
      <c r="H90" s="80"/>
      <c r="J90" s="69"/>
      <c r="K90" s="69"/>
      <c r="L90" s="69"/>
    </row>
    <row r="91" spans="1:12" ht="13.05" customHeight="1">
      <c r="A91" s="44" t="s">
        <v>104</v>
      </c>
      <c r="B91" s="13" t="s">
        <v>105</v>
      </c>
      <c r="C91" s="13"/>
      <c r="D91" s="13"/>
      <c r="E91" s="39" t="s">
        <v>106</v>
      </c>
      <c r="F91" s="78"/>
      <c r="G91" s="79"/>
      <c r="H91" s="80"/>
      <c r="J91" s="69"/>
      <c r="K91" s="69"/>
      <c r="L91" s="69"/>
    </row>
    <row r="92" spans="1:12" ht="13.05" customHeight="1">
      <c r="A92" s="37"/>
      <c r="B92" s="38"/>
      <c r="C92" s="13"/>
      <c r="D92" s="13"/>
      <c r="E92" s="39"/>
      <c r="F92" s="78"/>
      <c r="G92" s="79"/>
      <c r="H92" s="80"/>
      <c r="J92" s="69"/>
      <c r="K92" s="69"/>
      <c r="L92" s="69"/>
    </row>
    <row r="93" spans="1:12" ht="13.05" customHeight="1">
      <c r="A93" s="44" t="s">
        <v>107</v>
      </c>
      <c r="B93" s="13" t="s">
        <v>108</v>
      </c>
      <c r="C93" s="13"/>
      <c r="D93" s="13"/>
      <c r="E93" s="77" t="s">
        <v>46</v>
      </c>
      <c r="F93" s="78"/>
      <c r="G93" s="79"/>
      <c r="H93" s="80"/>
      <c r="J93" s="36"/>
      <c r="K93" s="36"/>
      <c r="L93" s="36"/>
    </row>
    <row r="94" spans="1:12" ht="13.05" customHeight="1">
      <c r="A94" s="44"/>
      <c r="B94" s="13"/>
      <c r="C94" s="13"/>
      <c r="D94" s="13"/>
      <c r="E94" s="77"/>
      <c r="F94" s="78"/>
      <c r="G94" s="79"/>
      <c r="H94" s="80"/>
      <c r="J94" s="36"/>
      <c r="K94" s="36"/>
      <c r="L94" s="36"/>
    </row>
    <row r="95" spans="1:12" ht="13.05" customHeight="1">
      <c r="A95" s="44" t="s">
        <v>109</v>
      </c>
      <c r="B95" s="13" t="s">
        <v>110</v>
      </c>
      <c r="C95" s="13"/>
      <c r="D95" s="13"/>
      <c r="E95" s="77" t="s">
        <v>46</v>
      </c>
      <c r="F95" s="78"/>
      <c r="G95" s="79"/>
      <c r="H95" s="80"/>
      <c r="J95" s="36"/>
      <c r="K95" s="36"/>
      <c r="L95" s="36"/>
    </row>
    <row r="96" spans="1:12" ht="13.05" customHeight="1">
      <c r="A96" s="44"/>
      <c r="B96" s="13"/>
      <c r="C96" s="13"/>
      <c r="D96" s="13"/>
      <c r="E96" s="77"/>
      <c r="F96" s="78"/>
      <c r="G96" s="79"/>
      <c r="H96" s="80"/>
      <c r="J96" s="36"/>
      <c r="K96" s="36"/>
      <c r="L96" s="36"/>
    </row>
    <row r="97" spans="1:12" ht="28.05" customHeight="1">
      <c r="A97" s="44" t="s">
        <v>111</v>
      </c>
      <c r="B97" s="364" t="s">
        <v>112</v>
      </c>
      <c r="C97" s="364"/>
      <c r="D97" s="365"/>
      <c r="E97" s="77" t="s">
        <v>46</v>
      </c>
      <c r="F97" s="78"/>
      <c r="G97" s="79"/>
      <c r="H97" s="80"/>
      <c r="J97" s="36"/>
      <c r="K97" s="36"/>
      <c r="L97" s="36"/>
    </row>
    <row r="98" spans="1:12" ht="13.05" customHeight="1">
      <c r="A98" s="44"/>
      <c r="B98" s="13"/>
      <c r="C98" s="13"/>
      <c r="D98" s="13"/>
      <c r="E98" s="77"/>
      <c r="F98" s="78"/>
      <c r="G98" s="79"/>
      <c r="H98" s="80"/>
      <c r="J98" s="36"/>
      <c r="K98" s="36"/>
      <c r="L98" s="36"/>
    </row>
    <row r="99" spans="1:12" ht="13.05" customHeight="1">
      <c r="A99" s="44" t="s">
        <v>113</v>
      </c>
      <c r="B99" s="13" t="s">
        <v>114</v>
      </c>
      <c r="C99" s="13"/>
      <c r="D99" s="13"/>
      <c r="E99" s="77" t="s">
        <v>46</v>
      </c>
      <c r="F99" s="78"/>
      <c r="G99" s="79"/>
      <c r="H99" s="80"/>
      <c r="J99" s="36"/>
      <c r="K99" s="36"/>
      <c r="L99" s="36"/>
    </row>
    <row r="100" spans="1:12" ht="13.05" customHeight="1">
      <c r="A100" s="44"/>
      <c r="B100" s="13"/>
      <c r="C100" s="13"/>
      <c r="D100" s="13"/>
      <c r="E100" s="77"/>
      <c r="F100" s="78"/>
      <c r="G100" s="79"/>
      <c r="H100" s="80"/>
      <c r="J100" s="36"/>
      <c r="K100" s="36"/>
      <c r="L100" s="36"/>
    </row>
    <row r="101" spans="1:12" ht="13.05" customHeight="1">
      <c r="A101" s="44" t="s">
        <v>115</v>
      </c>
      <c r="B101" s="13" t="s">
        <v>116</v>
      </c>
      <c r="C101" s="13"/>
      <c r="D101" s="13"/>
      <c r="E101" s="77" t="s">
        <v>52</v>
      </c>
      <c r="F101" s="78"/>
      <c r="G101" s="79"/>
      <c r="H101" s="80"/>
      <c r="J101" s="36"/>
      <c r="K101" s="36"/>
      <c r="L101" s="36"/>
    </row>
    <row r="102" spans="1:12" ht="13.05" customHeight="1">
      <c r="A102" s="44"/>
      <c r="B102" s="13"/>
      <c r="C102" s="13"/>
      <c r="D102" s="13"/>
      <c r="E102" s="77"/>
      <c r="F102" s="78"/>
      <c r="G102" s="79"/>
      <c r="H102" s="80"/>
      <c r="J102" s="36"/>
      <c r="K102" s="36"/>
      <c r="L102" s="36"/>
    </row>
    <row r="103" spans="1:12" ht="13.05" customHeight="1">
      <c r="A103" s="44" t="s">
        <v>117</v>
      </c>
      <c r="B103" s="13" t="s">
        <v>118</v>
      </c>
      <c r="C103" s="13"/>
      <c r="D103" s="13"/>
      <c r="E103" s="77" t="s">
        <v>52</v>
      </c>
      <c r="F103" s="78"/>
      <c r="G103" s="79"/>
      <c r="H103" s="80"/>
      <c r="J103" s="36"/>
      <c r="K103" s="36"/>
      <c r="L103" s="36"/>
    </row>
    <row r="104" spans="1:12" ht="13.05" customHeight="1">
      <c r="A104" s="44"/>
      <c r="B104" s="13"/>
      <c r="C104" s="13"/>
      <c r="D104" s="13"/>
      <c r="E104" s="77"/>
      <c r="F104" s="78"/>
      <c r="G104" s="79"/>
      <c r="H104" s="80"/>
      <c r="J104" s="36"/>
      <c r="K104" s="36"/>
      <c r="L104" s="36"/>
    </row>
    <row r="105" spans="1:12" ht="13.05" customHeight="1">
      <c r="A105" s="44" t="s">
        <v>119</v>
      </c>
      <c r="B105" s="13" t="s">
        <v>120</v>
      </c>
      <c r="C105" s="13"/>
      <c r="D105" s="13"/>
      <c r="E105" s="77" t="s">
        <v>52</v>
      </c>
      <c r="F105" s="78"/>
      <c r="G105" s="79"/>
      <c r="H105" s="80"/>
      <c r="J105" s="36"/>
      <c r="K105" s="36"/>
      <c r="L105" s="36"/>
    </row>
    <row r="106" spans="1:12" ht="13.05" customHeight="1">
      <c r="A106" s="44"/>
      <c r="B106" s="13"/>
      <c r="C106" s="13"/>
      <c r="D106" s="13"/>
      <c r="E106" s="77"/>
      <c r="F106" s="78"/>
      <c r="G106" s="79"/>
      <c r="H106" s="80"/>
      <c r="J106" s="36"/>
      <c r="K106" s="36"/>
      <c r="L106" s="36"/>
    </row>
    <row r="107" spans="1:12" ht="13.05" customHeight="1">
      <c r="A107" s="44" t="s">
        <v>121</v>
      </c>
      <c r="B107" s="13" t="s">
        <v>122</v>
      </c>
      <c r="C107" s="13"/>
      <c r="D107" s="13"/>
      <c r="E107" s="77" t="s">
        <v>123</v>
      </c>
      <c r="F107" s="78"/>
      <c r="G107" s="79"/>
      <c r="H107" s="80"/>
      <c r="J107" s="36"/>
      <c r="K107" s="36"/>
      <c r="L107" s="36"/>
    </row>
    <row r="108" spans="1:12" ht="13.05" customHeight="1">
      <c r="A108" s="44"/>
      <c r="B108" s="13"/>
      <c r="C108" s="13"/>
      <c r="D108" s="13"/>
      <c r="E108" s="77"/>
      <c r="F108" s="78"/>
      <c r="G108" s="79"/>
      <c r="H108" s="80"/>
      <c r="J108" s="36"/>
      <c r="K108" s="36"/>
      <c r="L108" s="36"/>
    </row>
    <row r="109" spans="1:12" ht="13.05" customHeight="1">
      <c r="A109" s="44" t="s">
        <v>124</v>
      </c>
      <c r="B109" s="13" t="s">
        <v>125</v>
      </c>
      <c r="C109" s="13"/>
      <c r="D109" s="13"/>
      <c r="E109" s="77" t="s">
        <v>52</v>
      </c>
      <c r="F109" s="78"/>
      <c r="G109" s="79"/>
      <c r="H109" s="80"/>
      <c r="J109" s="36"/>
      <c r="K109" s="36"/>
      <c r="L109" s="36"/>
    </row>
    <row r="110" spans="1:12" ht="13.05" customHeight="1">
      <c r="A110" s="44"/>
      <c r="B110" s="13"/>
      <c r="C110" s="13"/>
      <c r="D110" s="13"/>
      <c r="E110" s="77"/>
      <c r="F110" s="78"/>
      <c r="G110" s="79"/>
      <c r="H110" s="80"/>
      <c r="J110" s="36"/>
      <c r="K110" s="36"/>
      <c r="L110" s="36"/>
    </row>
    <row r="111" spans="1:12" ht="13.05" customHeight="1">
      <c r="A111" s="44" t="s">
        <v>126</v>
      </c>
      <c r="B111" s="13" t="s">
        <v>127</v>
      </c>
      <c r="C111" s="13"/>
      <c r="D111" s="13"/>
      <c r="E111" s="77" t="s">
        <v>52</v>
      </c>
      <c r="F111" s="78"/>
      <c r="G111" s="79"/>
      <c r="H111" s="80"/>
      <c r="J111" s="36"/>
      <c r="K111" s="36"/>
      <c r="L111" s="36"/>
    </row>
    <row r="112" spans="1:12" ht="13.05" customHeight="1">
      <c r="A112" s="44"/>
      <c r="B112" s="13"/>
      <c r="C112" s="13"/>
      <c r="D112" s="13"/>
      <c r="E112" s="77"/>
      <c r="F112" s="78"/>
      <c r="G112" s="79"/>
      <c r="H112" s="80"/>
      <c r="J112" s="36"/>
      <c r="K112" s="36"/>
      <c r="L112" s="36"/>
    </row>
    <row r="113" spans="1:12" ht="13.05" customHeight="1">
      <c r="A113" s="44" t="s">
        <v>128</v>
      </c>
      <c r="B113" s="13" t="s">
        <v>129</v>
      </c>
      <c r="C113" s="13"/>
      <c r="D113" s="13"/>
      <c r="E113" s="77" t="s">
        <v>46</v>
      </c>
      <c r="F113" s="78"/>
      <c r="G113" s="79"/>
      <c r="H113" s="80"/>
      <c r="J113" s="36"/>
      <c r="K113" s="36"/>
      <c r="L113" s="36"/>
    </row>
    <row r="114" spans="1:12" ht="13.05" customHeight="1">
      <c r="A114" s="44"/>
      <c r="B114" s="13"/>
      <c r="C114" s="13"/>
      <c r="D114" s="13"/>
      <c r="E114" s="77"/>
      <c r="F114" s="78"/>
      <c r="G114" s="79"/>
      <c r="H114" s="80"/>
      <c r="J114" s="36"/>
      <c r="K114" s="36"/>
      <c r="L114" s="36"/>
    </row>
    <row r="115" spans="1:12" ht="13.05" customHeight="1">
      <c r="A115" s="44" t="s">
        <v>130</v>
      </c>
      <c r="B115" s="13" t="s">
        <v>131</v>
      </c>
      <c r="C115" s="13"/>
      <c r="D115" s="13"/>
      <c r="E115" s="77" t="s">
        <v>52</v>
      </c>
      <c r="F115" s="78"/>
      <c r="G115" s="79"/>
      <c r="H115" s="80"/>
      <c r="J115" s="36"/>
      <c r="K115" s="36"/>
      <c r="L115" s="36"/>
    </row>
    <row r="116" spans="1:12" ht="13.05" customHeight="1">
      <c r="A116" s="44"/>
      <c r="B116" s="13"/>
      <c r="C116" s="13"/>
      <c r="D116" s="13"/>
      <c r="E116" s="77"/>
      <c r="F116" s="78"/>
      <c r="G116" s="79"/>
      <c r="H116" s="80"/>
      <c r="J116" s="36"/>
      <c r="K116" s="36"/>
      <c r="L116" s="36"/>
    </row>
    <row r="117" spans="1:12" ht="13.05" customHeight="1">
      <c r="A117" s="44" t="s">
        <v>132</v>
      </c>
      <c r="B117" s="13" t="s">
        <v>133</v>
      </c>
      <c r="C117" s="13"/>
      <c r="D117" s="13"/>
      <c r="E117" s="77" t="s">
        <v>52</v>
      </c>
      <c r="F117" s="78"/>
      <c r="G117" s="79"/>
      <c r="H117" s="80"/>
      <c r="J117" s="36"/>
      <c r="K117" s="36"/>
      <c r="L117" s="36"/>
    </row>
    <row r="118" spans="1:12" ht="13.05" customHeight="1">
      <c r="A118" s="44"/>
      <c r="B118" s="13"/>
      <c r="C118" s="13"/>
      <c r="D118" s="13"/>
      <c r="E118" s="77"/>
      <c r="F118" s="78"/>
      <c r="G118" s="79"/>
      <c r="H118" s="80"/>
      <c r="J118" s="36"/>
      <c r="K118" s="36"/>
      <c r="L118" s="36"/>
    </row>
    <row r="119" spans="1:12" ht="13.05" customHeight="1">
      <c r="A119" s="44" t="s">
        <v>134</v>
      </c>
      <c r="B119" s="13" t="s">
        <v>135</v>
      </c>
      <c r="C119" s="13"/>
      <c r="D119" s="13"/>
      <c r="E119" s="77" t="s">
        <v>46</v>
      </c>
      <c r="F119" s="78"/>
      <c r="G119" s="79"/>
      <c r="H119" s="80"/>
      <c r="J119" s="36"/>
      <c r="K119" s="36"/>
      <c r="L119" s="36"/>
    </row>
    <row r="120" spans="1:12" ht="13.05" customHeight="1">
      <c r="A120" s="44"/>
      <c r="B120" s="13"/>
      <c r="C120" s="13"/>
      <c r="D120" s="13"/>
      <c r="E120" s="77"/>
      <c r="F120" s="78"/>
      <c r="G120" s="79"/>
      <c r="H120" s="80"/>
      <c r="J120" s="36"/>
      <c r="K120" s="36"/>
      <c r="L120" s="36"/>
    </row>
    <row r="121" spans="1:12" ht="13.05" customHeight="1">
      <c r="A121" s="37" t="s">
        <v>136</v>
      </c>
      <c r="B121" s="38" t="s">
        <v>137</v>
      </c>
      <c r="C121" s="13"/>
      <c r="D121" s="13"/>
      <c r="E121" s="39" t="s">
        <v>138</v>
      </c>
      <c r="F121" s="78"/>
      <c r="G121" s="79"/>
      <c r="H121" s="80"/>
      <c r="J121" s="69"/>
      <c r="K121" s="69"/>
      <c r="L121" s="69"/>
    </row>
    <row r="122" spans="1:12" ht="13.05" customHeight="1">
      <c r="A122" s="96"/>
      <c r="B122" s="11"/>
      <c r="C122" s="11"/>
      <c r="D122" s="11"/>
      <c r="E122" s="97"/>
      <c r="F122" s="98"/>
      <c r="G122" s="99"/>
      <c r="H122" s="100"/>
      <c r="J122" s="36"/>
      <c r="K122" s="36"/>
      <c r="L122" s="36"/>
    </row>
    <row r="123" spans="1:12" ht="13.05" customHeight="1" thickBot="1">
      <c r="A123" s="49"/>
      <c r="B123" s="50"/>
      <c r="C123" s="50"/>
      <c r="D123" s="50"/>
      <c r="E123" s="51"/>
      <c r="F123" s="52"/>
      <c r="G123" s="53"/>
      <c r="H123" s="54"/>
      <c r="J123" s="81"/>
      <c r="K123" s="81"/>
      <c r="L123" s="81"/>
    </row>
    <row r="124" spans="1:12" ht="20.100000000000001" customHeight="1" thickTop="1">
      <c r="A124" s="366" t="s">
        <v>62</v>
      </c>
      <c r="B124" s="367"/>
      <c r="C124" s="367"/>
      <c r="D124" s="368"/>
      <c r="E124" s="55"/>
      <c r="F124" s="56"/>
      <c r="G124" s="57"/>
      <c r="H124" s="58">
        <f>SUM(H7:H121)</f>
        <v>0</v>
      </c>
      <c r="J124" s="81"/>
      <c r="K124" s="81"/>
      <c r="L124" s="81"/>
    </row>
    <row r="125" spans="1:12" ht="20.100000000000001" customHeight="1">
      <c r="A125" s="369" t="s">
        <v>63</v>
      </c>
      <c r="B125" s="370"/>
      <c r="C125" s="370"/>
      <c r="D125" s="371"/>
      <c r="E125" s="59"/>
      <c r="F125" s="60"/>
      <c r="G125" s="61"/>
      <c r="H125" s="62">
        <f>H124*0.2</f>
        <v>0</v>
      </c>
      <c r="J125" s="81"/>
      <c r="K125" s="81"/>
      <c r="L125" s="81"/>
    </row>
    <row r="126" spans="1:12" ht="20.100000000000001" customHeight="1" thickBot="1">
      <c r="A126" s="352" t="s">
        <v>64</v>
      </c>
      <c r="B126" s="353"/>
      <c r="C126" s="353"/>
      <c r="D126" s="354"/>
      <c r="E126" s="63"/>
      <c r="F126" s="64"/>
      <c r="G126" s="65"/>
      <c r="H126" s="66">
        <f>H125+H124</f>
        <v>0</v>
      </c>
      <c r="J126" s="81"/>
      <c r="K126" s="81"/>
      <c r="L126" s="81"/>
    </row>
    <row r="127" spans="1:12" ht="15.6" thickTop="1">
      <c r="J127" s="81"/>
      <c r="K127" s="81"/>
      <c r="L127" s="81"/>
    </row>
    <row r="128" spans="1:12">
      <c r="J128" s="81"/>
      <c r="K128" s="81"/>
      <c r="L128" s="81"/>
    </row>
    <row r="129" spans="10:12">
      <c r="J129" s="81"/>
      <c r="K129" s="81"/>
      <c r="L129" s="81"/>
    </row>
    <row r="130" spans="10:12">
      <c r="L130" s="81"/>
    </row>
    <row r="131" spans="10:12">
      <c r="L131" s="81"/>
    </row>
    <row r="132" spans="10:12">
      <c r="L132" s="81"/>
    </row>
    <row r="133" spans="10:12">
      <c r="L133" s="81"/>
    </row>
    <row r="134" spans="10:12">
      <c r="L134" s="81"/>
    </row>
    <row r="135" spans="10:12">
      <c r="L135" s="81"/>
    </row>
    <row r="136" spans="10:12">
      <c r="L136" s="81"/>
    </row>
    <row r="137" spans="10:12">
      <c r="L137" s="81"/>
    </row>
    <row r="138" spans="10:12">
      <c r="L138" s="81"/>
    </row>
    <row r="139" spans="10:12">
      <c r="L139" s="81"/>
    </row>
    <row r="140" spans="10:12">
      <c r="L140" s="81"/>
    </row>
    <row r="141" spans="10:12">
      <c r="L141" s="81"/>
    </row>
    <row r="142" spans="10:12">
      <c r="L142" s="81"/>
    </row>
    <row r="143" spans="10:12">
      <c r="L143" s="81"/>
    </row>
    <row r="144" spans="10:12">
      <c r="L144" s="81"/>
    </row>
    <row r="145" spans="10:12">
      <c r="L145" s="81"/>
    </row>
    <row r="146" spans="10:12">
      <c r="L146" s="81"/>
    </row>
    <row r="147" spans="10:12">
      <c r="L147" s="81"/>
    </row>
    <row r="148" spans="10:12">
      <c r="L148" s="81"/>
    </row>
    <row r="149" spans="10:12">
      <c r="L149" s="81"/>
    </row>
    <row r="150" spans="10:12">
      <c r="L150" s="81"/>
    </row>
    <row r="151" spans="10:12">
      <c r="J151" s="75"/>
      <c r="K151" s="81"/>
      <c r="L151" s="81"/>
    </row>
  </sheetData>
  <mergeCells count="8">
    <mergeCell ref="A126:D126"/>
    <mergeCell ref="A1:H1"/>
    <mergeCell ref="A2:H2"/>
    <mergeCell ref="B3:D3"/>
    <mergeCell ref="A124:D124"/>
    <mergeCell ref="A125:D125"/>
    <mergeCell ref="B97:D97"/>
    <mergeCell ref="A6:H6"/>
  </mergeCells>
  <phoneticPr fontId="15" type="noConversion"/>
  <pageMargins left="0.70866141732283472" right="0.70866141732283472" top="0.74803149606299213" bottom="0.74803149606299213" header="0.31496062992125984" footer="0.31496062992125984"/>
  <pageSetup paperSize="9" scale="62" fitToHeight="11"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8A18CE-34FA-412F-8AD1-1E921B71648D}">
  <dimension ref="A1:L154"/>
  <sheetViews>
    <sheetView workbookViewId="0">
      <selection activeCell="K5" sqref="K5"/>
    </sheetView>
  </sheetViews>
  <sheetFormatPr baseColWidth="10" defaultColWidth="11.44140625" defaultRowHeight="15"/>
  <cols>
    <col min="1" max="3" width="9.77734375" style="1" customWidth="1"/>
    <col min="4" max="4" width="34.21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139</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t="s">
        <v>43</v>
      </c>
      <c r="C5" s="28"/>
      <c r="D5" s="28"/>
      <c r="E5" s="29"/>
      <c r="F5" s="30"/>
      <c r="G5" s="31"/>
      <c r="H5" s="32"/>
    </row>
    <row r="6" spans="1:12" ht="34.049999999999997" customHeight="1">
      <c r="A6" s="372" t="s">
        <v>1525</v>
      </c>
      <c r="B6" s="373"/>
      <c r="C6" s="373"/>
      <c r="D6" s="373"/>
      <c r="E6" s="373"/>
      <c r="F6" s="373"/>
      <c r="G6" s="373"/>
      <c r="H6" s="374"/>
    </row>
    <row r="7" spans="1:12" ht="13.05" customHeight="1">
      <c r="A7" s="26"/>
      <c r="B7" s="128"/>
      <c r="C7" s="128"/>
      <c r="D7" s="128"/>
      <c r="E7" s="129"/>
      <c r="F7" s="130"/>
      <c r="G7" s="131"/>
      <c r="H7" s="124"/>
      <c r="J7" s="36"/>
      <c r="K7" s="36"/>
      <c r="L7" s="36"/>
    </row>
    <row r="8" spans="1:12" ht="13.05" customHeight="1">
      <c r="A8" s="122"/>
      <c r="B8" s="123"/>
      <c r="C8" s="120"/>
      <c r="D8" s="121"/>
      <c r="E8" s="132"/>
      <c r="F8" s="136"/>
      <c r="G8" s="134"/>
      <c r="H8" s="125"/>
      <c r="J8" s="69"/>
      <c r="K8" s="69"/>
      <c r="L8" s="69"/>
    </row>
    <row r="9" spans="1:12" ht="28.05" customHeight="1" thickBot="1">
      <c r="A9" s="112"/>
      <c r="B9" s="387"/>
      <c r="C9" s="387"/>
      <c r="D9" s="388"/>
      <c r="E9" s="133"/>
      <c r="F9" s="137"/>
      <c r="G9" s="135"/>
      <c r="H9" s="126"/>
      <c r="J9" s="36"/>
      <c r="K9" s="36"/>
      <c r="L9" s="36"/>
    </row>
    <row r="10" spans="1:12" ht="16.5" customHeight="1" thickBot="1">
      <c r="A10" s="113" t="s">
        <v>140</v>
      </c>
      <c r="B10" s="389" t="s">
        <v>141</v>
      </c>
      <c r="C10" s="389"/>
      <c r="D10" s="390"/>
      <c r="E10" s="138"/>
      <c r="F10" s="139"/>
      <c r="G10" s="140"/>
      <c r="H10" s="141">
        <f>SUM(H11:H23)</f>
        <v>0</v>
      </c>
      <c r="J10" s="36"/>
      <c r="K10" s="36"/>
      <c r="L10" s="36"/>
    </row>
    <row r="11" spans="1:12" ht="16.5" customHeight="1">
      <c r="A11" s="114" t="s">
        <v>142</v>
      </c>
      <c r="B11" s="385" t="s">
        <v>143</v>
      </c>
      <c r="C11" s="385"/>
      <c r="D11" s="386"/>
      <c r="E11" s="142" t="s">
        <v>144</v>
      </c>
      <c r="F11" s="137"/>
      <c r="G11" s="135"/>
      <c r="H11" s="126">
        <f t="shared" ref="H11:H23" si="0">G11*F11</f>
        <v>0</v>
      </c>
      <c r="J11" s="36"/>
      <c r="K11" s="36"/>
      <c r="L11" s="36"/>
    </row>
    <row r="12" spans="1:12" ht="16.5" customHeight="1">
      <c r="A12" s="114" t="s">
        <v>145</v>
      </c>
      <c r="B12" s="385" t="s">
        <v>146</v>
      </c>
      <c r="C12" s="385"/>
      <c r="D12" s="386"/>
      <c r="E12" s="142" t="s">
        <v>144</v>
      </c>
      <c r="F12" s="137"/>
      <c r="G12" s="135"/>
      <c r="H12" s="126">
        <f t="shared" si="0"/>
        <v>0</v>
      </c>
      <c r="J12" s="36"/>
      <c r="K12" s="36"/>
      <c r="L12" s="36"/>
    </row>
    <row r="13" spans="1:12" ht="16.5" customHeight="1">
      <c r="A13" s="114" t="s">
        <v>147</v>
      </c>
      <c r="B13" s="385" t="s">
        <v>148</v>
      </c>
      <c r="C13" s="385"/>
      <c r="D13" s="386"/>
      <c r="E13" s="142" t="s">
        <v>144</v>
      </c>
      <c r="F13" s="137"/>
      <c r="G13" s="135"/>
      <c r="H13" s="126">
        <f t="shared" si="0"/>
        <v>0</v>
      </c>
      <c r="J13" s="36"/>
      <c r="K13" s="36"/>
      <c r="L13" s="36"/>
    </row>
    <row r="14" spans="1:12" ht="16.5" customHeight="1">
      <c r="A14" s="114" t="s">
        <v>149</v>
      </c>
      <c r="B14" s="385" t="s">
        <v>150</v>
      </c>
      <c r="C14" s="385"/>
      <c r="D14" s="386"/>
      <c r="E14" s="142" t="s">
        <v>144</v>
      </c>
      <c r="F14" s="137"/>
      <c r="G14" s="135"/>
      <c r="H14" s="126">
        <f t="shared" si="0"/>
        <v>0</v>
      </c>
      <c r="J14" s="36"/>
      <c r="K14" s="36"/>
      <c r="L14" s="36"/>
    </row>
    <row r="15" spans="1:12" ht="16.5" customHeight="1">
      <c r="A15" s="114" t="s">
        <v>151</v>
      </c>
      <c r="B15" s="385" t="s">
        <v>152</v>
      </c>
      <c r="C15" s="385"/>
      <c r="D15" s="386"/>
      <c r="E15" s="142" t="s">
        <v>144</v>
      </c>
      <c r="F15" s="137"/>
      <c r="G15" s="135"/>
      <c r="H15" s="126">
        <f t="shared" si="0"/>
        <v>0</v>
      </c>
      <c r="J15" s="36"/>
      <c r="K15" s="36"/>
      <c r="L15" s="36"/>
    </row>
    <row r="16" spans="1:12" ht="16.5" customHeight="1">
      <c r="A16" s="114" t="s">
        <v>153</v>
      </c>
      <c r="B16" s="385" t="s">
        <v>154</v>
      </c>
      <c r="C16" s="385"/>
      <c r="D16" s="386"/>
      <c r="E16" s="142" t="s">
        <v>144</v>
      </c>
      <c r="F16" s="137"/>
      <c r="G16" s="135"/>
      <c r="H16" s="126">
        <f t="shared" si="0"/>
        <v>0</v>
      </c>
      <c r="J16" s="36"/>
      <c r="K16" s="36"/>
      <c r="L16" s="36"/>
    </row>
    <row r="17" spans="1:12" ht="16.5" customHeight="1">
      <c r="A17" s="114" t="s">
        <v>155</v>
      </c>
      <c r="B17" s="385" t="s">
        <v>156</v>
      </c>
      <c r="C17" s="385"/>
      <c r="D17" s="386"/>
      <c r="E17" s="142" t="s">
        <v>144</v>
      </c>
      <c r="F17" s="137"/>
      <c r="G17" s="135"/>
      <c r="H17" s="126">
        <f t="shared" si="0"/>
        <v>0</v>
      </c>
      <c r="J17" s="36"/>
      <c r="K17" s="36"/>
      <c r="L17" s="36"/>
    </row>
    <row r="18" spans="1:12" ht="16.5" customHeight="1">
      <c r="A18" s="114" t="s">
        <v>157</v>
      </c>
      <c r="B18" s="385" t="s">
        <v>158</v>
      </c>
      <c r="C18" s="385"/>
      <c r="D18" s="386"/>
      <c r="E18" s="142" t="s">
        <v>144</v>
      </c>
      <c r="F18" s="137"/>
      <c r="G18" s="135"/>
      <c r="H18" s="126">
        <f t="shared" si="0"/>
        <v>0</v>
      </c>
      <c r="J18" s="36"/>
      <c r="K18" s="36"/>
      <c r="L18" s="36"/>
    </row>
    <row r="19" spans="1:12" ht="16.5" customHeight="1">
      <c r="A19" s="114" t="s">
        <v>159</v>
      </c>
      <c r="B19" s="385" t="s">
        <v>160</v>
      </c>
      <c r="C19" s="385"/>
      <c r="D19" s="386"/>
      <c r="E19" s="142" t="s">
        <v>144</v>
      </c>
      <c r="F19" s="137"/>
      <c r="G19" s="135"/>
      <c r="H19" s="126">
        <f t="shared" si="0"/>
        <v>0</v>
      </c>
      <c r="J19" s="36"/>
      <c r="K19" s="36"/>
      <c r="L19" s="36"/>
    </row>
    <row r="20" spans="1:12" ht="16.5" customHeight="1">
      <c r="A20" s="114" t="s">
        <v>161</v>
      </c>
      <c r="B20" s="385" t="s">
        <v>162</v>
      </c>
      <c r="C20" s="385"/>
      <c r="D20" s="386"/>
      <c r="E20" s="142" t="s">
        <v>144</v>
      </c>
      <c r="F20" s="137"/>
      <c r="G20" s="135"/>
      <c r="H20" s="126">
        <f t="shared" si="0"/>
        <v>0</v>
      </c>
      <c r="J20" s="36"/>
      <c r="K20" s="36"/>
      <c r="L20" s="36"/>
    </row>
    <row r="21" spans="1:12" ht="16.5" customHeight="1">
      <c r="A21" s="114" t="s">
        <v>163</v>
      </c>
      <c r="B21" s="385" t="s">
        <v>164</v>
      </c>
      <c r="C21" s="385"/>
      <c r="D21" s="386"/>
      <c r="E21" s="142" t="s">
        <v>144</v>
      </c>
      <c r="F21" s="137"/>
      <c r="G21" s="135"/>
      <c r="H21" s="126">
        <f t="shared" si="0"/>
        <v>0</v>
      </c>
      <c r="J21" s="36"/>
      <c r="K21" s="36"/>
      <c r="L21" s="36"/>
    </row>
    <row r="22" spans="1:12" ht="16.5" customHeight="1">
      <c r="A22" s="114" t="s">
        <v>165</v>
      </c>
      <c r="B22" s="385" t="s">
        <v>166</v>
      </c>
      <c r="C22" s="385"/>
      <c r="D22" s="386"/>
      <c r="E22" s="142" t="s">
        <v>144</v>
      </c>
      <c r="F22" s="137"/>
      <c r="G22" s="135"/>
      <c r="H22" s="126">
        <f t="shared" si="0"/>
        <v>0</v>
      </c>
      <c r="J22" s="36"/>
      <c r="K22" s="36"/>
      <c r="L22" s="36"/>
    </row>
    <row r="23" spans="1:12" ht="16.5" customHeight="1">
      <c r="A23" s="114" t="s">
        <v>167</v>
      </c>
      <c r="B23" s="385" t="s">
        <v>168</v>
      </c>
      <c r="C23" s="385"/>
      <c r="D23" s="386"/>
      <c r="E23" s="142" t="s">
        <v>144</v>
      </c>
      <c r="F23" s="137"/>
      <c r="G23" s="135"/>
      <c r="H23" s="126">
        <f t="shared" si="0"/>
        <v>0</v>
      </c>
      <c r="J23" s="36"/>
      <c r="K23" s="36"/>
      <c r="L23" s="36"/>
    </row>
    <row r="24" spans="1:12" ht="15.6" thickBot="1">
      <c r="A24" s="115"/>
      <c r="B24" s="393"/>
      <c r="C24" s="393"/>
      <c r="D24" s="394"/>
      <c r="E24" s="143"/>
      <c r="F24" s="137"/>
      <c r="G24" s="135"/>
      <c r="H24" s="126"/>
      <c r="J24" s="36"/>
      <c r="K24" s="36"/>
      <c r="L24" s="36"/>
    </row>
    <row r="25" spans="1:12" ht="15.6" thickBot="1">
      <c r="A25" s="113" t="s">
        <v>169</v>
      </c>
      <c r="B25" s="389" t="s">
        <v>170</v>
      </c>
      <c r="C25" s="389"/>
      <c r="D25" s="390"/>
      <c r="E25" s="144"/>
      <c r="F25" s="145"/>
      <c r="G25" s="146"/>
      <c r="H25" s="141">
        <f>SUM(H26:H39)</f>
        <v>0</v>
      </c>
      <c r="J25" s="36"/>
      <c r="K25" s="36"/>
      <c r="L25" s="36"/>
    </row>
    <row r="26" spans="1:12">
      <c r="A26" s="114" t="s">
        <v>171</v>
      </c>
      <c r="B26" s="385" t="s">
        <v>172</v>
      </c>
      <c r="C26" s="385"/>
      <c r="D26" s="386"/>
      <c r="E26" s="147" t="s">
        <v>144</v>
      </c>
      <c r="F26" s="137"/>
      <c r="G26" s="135"/>
      <c r="H26" s="126">
        <f t="shared" ref="H26" si="1">G26*F26</f>
        <v>0</v>
      </c>
      <c r="J26" s="36"/>
      <c r="K26" s="36"/>
      <c r="L26" s="36"/>
    </row>
    <row r="27" spans="1:12">
      <c r="A27" s="115"/>
      <c r="B27" s="393"/>
      <c r="C27" s="393"/>
      <c r="D27" s="394"/>
      <c r="E27" s="143"/>
      <c r="F27" s="137"/>
      <c r="G27" s="135"/>
      <c r="H27" s="126"/>
      <c r="J27" s="36"/>
      <c r="K27" s="36"/>
      <c r="L27" s="36"/>
    </row>
    <row r="28" spans="1:12">
      <c r="A28" s="114" t="s">
        <v>173</v>
      </c>
      <c r="B28" s="385" t="s">
        <v>174</v>
      </c>
      <c r="C28" s="385"/>
      <c r="D28" s="386"/>
      <c r="E28" s="143"/>
      <c r="F28" s="137"/>
      <c r="G28" s="135"/>
      <c r="H28" s="126"/>
      <c r="J28" s="36"/>
      <c r="K28" s="36"/>
      <c r="L28" s="36"/>
    </row>
    <row r="29" spans="1:12">
      <c r="A29" s="114" t="s">
        <v>175</v>
      </c>
      <c r="B29" s="391" t="s">
        <v>176</v>
      </c>
      <c r="C29" s="391"/>
      <c r="D29" s="392"/>
      <c r="E29" s="142" t="s">
        <v>144</v>
      </c>
      <c r="F29" s="137"/>
      <c r="G29" s="135"/>
      <c r="H29" s="126">
        <f t="shared" ref="H29:H32" si="2">G29*F29</f>
        <v>0</v>
      </c>
      <c r="J29" s="36"/>
      <c r="K29" s="36"/>
      <c r="L29" s="36"/>
    </row>
    <row r="30" spans="1:12">
      <c r="A30" s="114" t="s">
        <v>177</v>
      </c>
      <c r="B30" s="391" t="s">
        <v>178</v>
      </c>
      <c r="C30" s="391"/>
      <c r="D30" s="392"/>
      <c r="E30" s="148" t="s">
        <v>179</v>
      </c>
      <c r="F30" s="137"/>
      <c r="G30" s="135"/>
      <c r="H30" s="126">
        <f t="shared" si="2"/>
        <v>0</v>
      </c>
      <c r="J30" s="36"/>
      <c r="K30" s="36"/>
      <c r="L30" s="36"/>
    </row>
    <row r="31" spans="1:12">
      <c r="A31" s="114" t="s">
        <v>180</v>
      </c>
      <c r="B31" s="385" t="s">
        <v>181</v>
      </c>
      <c r="C31" s="385"/>
      <c r="D31" s="386"/>
      <c r="E31" s="142" t="s">
        <v>182</v>
      </c>
      <c r="F31" s="137"/>
      <c r="G31" s="135"/>
      <c r="H31" s="126">
        <f t="shared" si="2"/>
        <v>0</v>
      </c>
      <c r="J31" s="36"/>
      <c r="K31" s="36"/>
      <c r="L31" s="36"/>
    </row>
    <row r="32" spans="1:12">
      <c r="A32" s="114" t="s">
        <v>183</v>
      </c>
      <c r="B32" s="385" t="s">
        <v>184</v>
      </c>
      <c r="C32" s="385"/>
      <c r="D32" s="386"/>
      <c r="E32" s="142" t="s">
        <v>179</v>
      </c>
      <c r="F32" s="137"/>
      <c r="G32" s="135"/>
      <c r="H32" s="126">
        <f t="shared" si="2"/>
        <v>0</v>
      </c>
      <c r="J32" s="36"/>
      <c r="K32" s="36"/>
      <c r="L32" s="36"/>
    </row>
    <row r="33" spans="1:12">
      <c r="A33" s="115"/>
      <c r="B33" s="393"/>
      <c r="C33" s="393"/>
      <c r="D33" s="394"/>
      <c r="E33" s="143"/>
      <c r="F33" s="137"/>
      <c r="G33" s="135"/>
      <c r="H33" s="126"/>
      <c r="J33" s="36"/>
      <c r="K33" s="36"/>
      <c r="L33" s="36"/>
    </row>
    <row r="34" spans="1:12">
      <c r="A34" s="114" t="s">
        <v>185</v>
      </c>
      <c r="B34" s="385" t="s">
        <v>186</v>
      </c>
      <c r="C34" s="385"/>
      <c r="D34" s="386"/>
      <c r="E34" s="143"/>
      <c r="F34" s="137"/>
      <c r="G34" s="135"/>
      <c r="H34" s="126"/>
      <c r="J34" s="36"/>
      <c r="K34" s="36"/>
      <c r="L34" s="36"/>
    </row>
    <row r="35" spans="1:12">
      <c r="A35" s="114" t="s">
        <v>187</v>
      </c>
      <c r="B35" s="385" t="s">
        <v>188</v>
      </c>
      <c r="C35" s="385"/>
      <c r="D35" s="386"/>
      <c r="E35" s="142" t="s">
        <v>179</v>
      </c>
      <c r="F35" s="137"/>
      <c r="G35" s="135"/>
      <c r="H35" s="126">
        <f t="shared" ref="H35:H39" si="3">G35*F35</f>
        <v>0</v>
      </c>
      <c r="J35" s="36"/>
      <c r="K35" s="36"/>
      <c r="L35" s="36"/>
    </row>
    <row r="36" spans="1:12">
      <c r="A36" s="114" t="s">
        <v>189</v>
      </c>
      <c r="B36" s="385" t="s">
        <v>190</v>
      </c>
      <c r="C36" s="385"/>
      <c r="D36" s="386"/>
      <c r="E36" s="142" t="s">
        <v>48</v>
      </c>
      <c r="F36" s="137"/>
      <c r="G36" s="135"/>
      <c r="H36" s="126">
        <f t="shared" si="3"/>
        <v>0</v>
      </c>
      <c r="J36" s="36"/>
      <c r="K36" s="36"/>
      <c r="L36" s="36"/>
    </row>
    <row r="37" spans="1:12">
      <c r="A37" s="114" t="s">
        <v>191</v>
      </c>
      <c r="B37" s="385" t="s">
        <v>192</v>
      </c>
      <c r="C37" s="385"/>
      <c r="D37" s="386"/>
      <c r="E37" s="142" t="s">
        <v>193</v>
      </c>
      <c r="F37" s="137"/>
      <c r="G37" s="135"/>
      <c r="H37" s="126">
        <f t="shared" si="3"/>
        <v>0</v>
      </c>
      <c r="J37" s="36"/>
      <c r="K37" s="36"/>
      <c r="L37" s="36"/>
    </row>
    <row r="38" spans="1:12">
      <c r="A38" s="114" t="s">
        <v>194</v>
      </c>
      <c r="B38" s="385" t="s">
        <v>195</v>
      </c>
      <c r="C38" s="385"/>
      <c r="D38" s="386"/>
      <c r="E38" s="142" t="s">
        <v>193</v>
      </c>
      <c r="F38" s="137"/>
      <c r="G38" s="135"/>
      <c r="H38" s="126">
        <f t="shared" si="3"/>
        <v>0</v>
      </c>
      <c r="J38" s="36"/>
      <c r="K38" s="36"/>
      <c r="L38" s="36"/>
    </row>
    <row r="39" spans="1:12">
      <c r="A39" s="114" t="s">
        <v>196</v>
      </c>
      <c r="B39" s="385" t="s">
        <v>197</v>
      </c>
      <c r="C39" s="385"/>
      <c r="D39" s="386"/>
      <c r="E39" s="142" t="s">
        <v>193</v>
      </c>
      <c r="F39" s="137"/>
      <c r="G39" s="135"/>
      <c r="H39" s="126">
        <f t="shared" si="3"/>
        <v>0</v>
      </c>
      <c r="J39" s="36"/>
      <c r="K39" s="36"/>
      <c r="L39" s="36"/>
    </row>
    <row r="40" spans="1:12" ht="15.6" thickBot="1">
      <c r="A40" s="115"/>
      <c r="B40" s="393"/>
      <c r="C40" s="393"/>
      <c r="D40" s="394"/>
      <c r="E40" s="143"/>
      <c r="F40" s="137"/>
      <c r="G40" s="135"/>
      <c r="H40" s="126"/>
      <c r="J40" s="36"/>
      <c r="K40" s="36"/>
      <c r="L40" s="36"/>
    </row>
    <row r="41" spans="1:12" ht="15.6" thickBot="1">
      <c r="A41" s="113" t="s">
        <v>198</v>
      </c>
      <c r="B41" s="389" t="s">
        <v>199</v>
      </c>
      <c r="C41" s="389"/>
      <c r="D41" s="390"/>
      <c r="E41" s="144"/>
      <c r="F41" s="145"/>
      <c r="G41" s="146"/>
      <c r="H41" s="141">
        <f>SUM(H42:H112)</f>
        <v>0</v>
      </c>
      <c r="J41" s="36"/>
      <c r="K41" s="36"/>
      <c r="L41" s="36"/>
    </row>
    <row r="42" spans="1:12">
      <c r="A42" s="114" t="s">
        <v>200</v>
      </c>
      <c r="B42" s="385" t="s">
        <v>201</v>
      </c>
      <c r="C42" s="385"/>
      <c r="D42" s="386"/>
      <c r="E42" s="143"/>
      <c r="F42" s="137"/>
      <c r="G42" s="135"/>
      <c r="H42" s="126"/>
      <c r="J42" s="36"/>
      <c r="K42" s="36"/>
      <c r="L42" s="36"/>
    </row>
    <row r="43" spans="1:12">
      <c r="A43" s="114" t="s">
        <v>202</v>
      </c>
      <c r="B43" s="385" t="s">
        <v>203</v>
      </c>
      <c r="C43" s="385"/>
      <c r="D43" s="386"/>
      <c r="E43" s="143"/>
      <c r="F43" s="137"/>
      <c r="G43" s="135"/>
      <c r="H43" s="126"/>
      <c r="J43" s="36"/>
      <c r="K43" s="36"/>
      <c r="L43" s="36"/>
    </row>
    <row r="44" spans="1:12">
      <c r="A44" s="116" t="s">
        <v>204</v>
      </c>
      <c r="B44" s="395" t="s">
        <v>205</v>
      </c>
      <c r="C44" s="395"/>
      <c r="D44" s="396"/>
      <c r="E44" s="149" t="s">
        <v>182</v>
      </c>
      <c r="F44" s="137"/>
      <c r="G44" s="135"/>
      <c r="H44" s="126">
        <f t="shared" ref="H44:H107" si="4">G44*F44</f>
        <v>0</v>
      </c>
      <c r="J44" s="36"/>
      <c r="K44" s="36"/>
      <c r="L44" s="36"/>
    </row>
    <row r="45" spans="1:12">
      <c r="A45" s="116" t="s">
        <v>206</v>
      </c>
      <c r="B45" s="395" t="s">
        <v>207</v>
      </c>
      <c r="C45" s="395"/>
      <c r="D45" s="396"/>
      <c r="E45" s="149" t="s">
        <v>182</v>
      </c>
      <c r="F45" s="137"/>
      <c r="G45" s="135"/>
      <c r="H45" s="126">
        <f t="shared" si="4"/>
        <v>0</v>
      </c>
      <c r="J45" s="36"/>
      <c r="K45" s="36"/>
      <c r="L45" s="36"/>
    </row>
    <row r="46" spans="1:12">
      <c r="A46" s="114" t="s">
        <v>208</v>
      </c>
      <c r="B46" s="385" t="s">
        <v>209</v>
      </c>
      <c r="C46" s="385"/>
      <c r="D46" s="386"/>
      <c r="E46" s="142" t="s">
        <v>179</v>
      </c>
      <c r="F46" s="137"/>
      <c r="G46" s="135"/>
      <c r="H46" s="126">
        <f t="shared" si="4"/>
        <v>0</v>
      </c>
      <c r="J46" s="36"/>
      <c r="K46" s="36"/>
      <c r="L46" s="36"/>
    </row>
    <row r="47" spans="1:12">
      <c r="A47" s="114" t="s">
        <v>210</v>
      </c>
      <c r="B47" s="385" t="s">
        <v>211</v>
      </c>
      <c r="C47" s="385"/>
      <c r="D47" s="386"/>
      <c r="E47" s="142" t="s">
        <v>179</v>
      </c>
      <c r="F47" s="137"/>
      <c r="G47" s="135"/>
      <c r="H47" s="126">
        <f t="shared" si="4"/>
        <v>0</v>
      </c>
      <c r="J47" s="36"/>
      <c r="K47" s="36"/>
      <c r="L47" s="36"/>
    </row>
    <row r="48" spans="1:12">
      <c r="A48" s="114" t="s">
        <v>212</v>
      </c>
      <c r="B48" s="385" t="s">
        <v>186</v>
      </c>
      <c r="C48" s="385"/>
      <c r="D48" s="386"/>
      <c r="E48" s="143"/>
      <c r="F48" s="137"/>
      <c r="G48" s="135"/>
      <c r="H48" s="126"/>
      <c r="J48" s="36"/>
      <c r="K48" s="36"/>
      <c r="L48" s="36"/>
    </row>
    <row r="49" spans="1:12">
      <c r="A49" s="116" t="s">
        <v>213</v>
      </c>
      <c r="B49" s="395" t="s">
        <v>214</v>
      </c>
      <c r="C49" s="395"/>
      <c r="D49" s="396"/>
      <c r="E49" s="149" t="s">
        <v>48</v>
      </c>
      <c r="F49" s="137"/>
      <c r="G49" s="135"/>
      <c r="H49" s="126">
        <f t="shared" si="4"/>
        <v>0</v>
      </c>
      <c r="J49" s="36"/>
      <c r="K49" s="36"/>
      <c r="L49" s="36"/>
    </row>
    <row r="50" spans="1:12">
      <c r="A50" s="116" t="s">
        <v>215</v>
      </c>
      <c r="B50" s="395" t="s">
        <v>192</v>
      </c>
      <c r="C50" s="395"/>
      <c r="D50" s="396"/>
      <c r="E50" s="149" t="s">
        <v>193</v>
      </c>
      <c r="F50" s="137"/>
      <c r="G50" s="135"/>
      <c r="H50" s="126">
        <f t="shared" si="4"/>
        <v>0</v>
      </c>
      <c r="J50" s="36"/>
      <c r="K50" s="36"/>
      <c r="L50" s="36"/>
    </row>
    <row r="51" spans="1:12">
      <c r="A51" s="116" t="s">
        <v>216</v>
      </c>
      <c r="B51" s="395" t="s">
        <v>217</v>
      </c>
      <c r="C51" s="395"/>
      <c r="D51" s="396"/>
      <c r="E51" s="149" t="s">
        <v>193</v>
      </c>
      <c r="F51" s="137"/>
      <c r="G51" s="135"/>
      <c r="H51" s="126">
        <f t="shared" si="4"/>
        <v>0</v>
      </c>
      <c r="J51" s="36"/>
      <c r="K51" s="36"/>
      <c r="L51" s="36"/>
    </row>
    <row r="52" spans="1:12">
      <c r="A52" s="117" t="s">
        <v>218</v>
      </c>
      <c r="B52" s="385" t="s">
        <v>219</v>
      </c>
      <c r="C52" s="385"/>
      <c r="D52" s="386"/>
      <c r="E52" s="143"/>
      <c r="F52" s="137"/>
      <c r="G52" s="135"/>
      <c r="H52" s="126"/>
      <c r="J52" s="36"/>
      <c r="K52" s="36"/>
      <c r="L52" s="36"/>
    </row>
    <row r="53" spans="1:12">
      <c r="A53" s="118" t="s">
        <v>220</v>
      </c>
      <c r="B53" s="395" t="s">
        <v>221</v>
      </c>
      <c r="C53" s="395"/>
      <c r="D53" s="396"/>
      <c r="E53" s="149" t="s">
        <v>48</v>
      </c>
      <c r="F53" s="137"/>
      <c r="G53" s="135"/>
      <c r="H53" s="126">
        <f t="shared" si="4"/>
        <v>0</v>
      </c>
      <c r="J53" s="36"/>
      <c r="K53" s="36"/>
      <c r="L53" s="36"/>
    </row>
    <row r="54" spans="1:12">
      <c r="A54" s="118" t="s">
        <v>222</v>
      </c>
      <c r="B54" s="395" t="s">
        <v>223</v>
      </c>
      <c r="C54" s="395"/>
      <c r="D54" s="396"/>
      <c r="E54" s="149" t="s">
        <v>179</v>
      </c>
      <c r="F54" s="137"/>
      <c r="G54" s="135"/>
      <c r="H54" s="126">
        <f t="shared" si="4"/>
        <v>0</v>
      </c>
      <c r="J54" s="36"/>
      <c r="K54" s="36"/>
      <c r="L54" s="36"/>
    </row>
    <row r="55" spans="1:12">
      <c r="A55" s="118" t="s">
        <v>224</v>
      </c>
      <c r="B55" s="395" t="s">
        <v>225</v>
      </c>
      <c r="C55" s="395"/>
      <c r="D55" s="396"/>
      <c r="E55" s="149" t="s">
        <v>179</v>
      </c>
      <c r="F55" s="137"/>
      <c r="G55" s="135"/>
      <c r="H55" s="126">
        <f t="shared" si="4"/>
        <v>0</v>
      </c>
      <c r="J55" s="36"/>
      <c r="K55" s="36"/>
      <c r="L55" s="36"/>
    </row>
    <row r="56" spans="1:12">
      <c r="A56" s="118" t="s">
        <v>226</v>
      </c>
      <c r="B56" s="395" t="s">
        <v>227</v>
      </c>
      <c r="C56" s="395"/>
      <c r="D56" s="396"/>
      <c r="E56" s="149" t="s">
        <v>179</v>
      </c>
      <c r="F56" s="137"/>
      <c r="G56" s="135"/>
      <c r="H56" s="126">
        <f>G56*F56</f>
        <v>0</v>
      </c>
      <c r="J56" s="36"/>
      <c r="K56" s="36"/>
      <c r="L56" s="36"/>
    </row>
    <row r="57" spans="1:12">
      <c r="A57" s="118" t="s">
        <v>228</v>
      </c>
      <c r="B57" s="395" t="s">
        <v>229</v>
      </c>
      <c r="C57" s="395"/>
      <c r="D57" s="396"/>
      <c r="E57" s="150" t="s">
        <v>182</v>
      </c>
      <c r="F57" s="137"/>
      <c r="G57" s="135"/>
      <c r="H57" s="126">
        <f t="shared" si="4"/>
        <v>0</v>
      </c>
      <c r="J57" s="36"/>
      <c r="K57" s="36"/>
      <c r="L57" s="36"/>
    </row>
    <row r="58" spans="1:12">
      <c r="A58" s="117" t="s">
        <v>230</v>
      </c>
      <c r="B58" s="385" t="s">
        <v>231</v>
      </c>
      <c r="C58" s="385"/>
      <c r="D58" s="386"/>
      <c r="E58" s="143"/>
      <c r="F58" s="137"/>
      <c r="G58" s="135"/>
      <c r="H58" s="126"/>
      <c r="J58" s="36"/>
      <c r="K58" s="36"/>
      <c r="L58" s="36"/>
    </row>
    <row r="59" spans="1:12">
      <c r="A59" s="118" t="s">
        <v>232</v>
      </c>
      <c r="B59" s="397" t="s">
        <v>233</v>
      </c>
      <c r="C59" s="397"/>
      <c r="D59" s="398"/>
      <c r="E59" s="150" t="s">
        <v>182</v>
      </c>
      <c r="F59" s="137"/>
      <c r="G59" s="135"/>
      <c r="H59" s="126">
        <f t="shared" si="4"/>
        <v>0</v>
      </c>
      <c r="J59" s="36"/>
      <c r="K59" s="36"/>
      <c r="L59" s="36"/>
    </row>
    <row r="60" spans="1:12">
      <c r="A60" s="118" t="s">
        <v>234</v>
      </c>
      <c r="B60" s="397" t="s">
        <v>235</v>
      </c>
      <c r="C60" s="397"/>
      <c r="D60" s="398"/>
      <c r="E60" s="150" t="s">
        <v>182</v>
      </c>
      <c r="F60" s="137"/>
      <c r="G60" s="135"/>
      <c r="H60" s="126">
        <f t="shared" si="4"/>
        <v>0</v>
      </c>
      <c r="J60" s="36"/>
      <c r="K60" s="36"/>
      <c r="L60" s="36"/>
    </row>
    <row r="61" spans="1:12">
      <c r="A61" s="118" t="s">
        <v>236</v>
      </c>
      <c r="B61" s="397" t="s">
        <v>237</v>
      </c>
      <c r="C61" s="397"/>
      <c r="D61" s="398"/>
      <c r="E61" s="150" t="s">
        <v>182</v>
      </c>
      <c r="F61" s="137"/>
      <c r="G61" s="135"/>
      <c r="H61" s="126">
        <f t="shared" si="4"/>
        <v>0</v>
      </c>
      <c r="J61" s="36"/>
      <c r="K61" s="36"/>
      <c r="L61" s="36"/>
    </row>
    <row r="62" spans="1:12">
      <c r="A62" s="118" t="s">
        <v>238</v>
      </c>
      <c r="B62" s="397" t="s">
        <v>239</v>
      </c>
      <c r="C62" s="397"/>
      <c r="D62" s="398"/>
      <c r="E62" s="150" t="s">
        <v>179</v>
      </c>
      <c r="F62" s="137"/>
      <c r="G62" s="135"/>
      <c r="H62" s="126">
        <f t="shared" si="4"/>
        <v>0</v>
      </c>
      <c r="J62" s="36"/>
      <c r="K62" s="36"/>
      <c r="L62" s="36"/>
    </row>
    <row r="63" spans="1:12">
      <c r="A63" s="118" t="s">
        <v>240</v>
      </c>
      <c r="B63" s="397" t="s">
        <v>241</v>
      </c>
      <c r="C63" s="397"/>
      <c r="D63" s="398"/>
      <c r="E63" s="150" t="s">
        <v>182</v>
      </c>
      <c r="F63" s="137"/>
      <c r="G63" s="135"/>
      <c r="H63" s="126">
        <f t="shared" si="4"/>
        <v>0</v>
      </c>
      <c r="J63" s="36"/>
      <c r="K63" s="36"/>
      <c r="L63" s="36"/>
    </row>
    <row r="64" spans="1:12">
      <c r="A64" s="117" t="s">
        <v>242</v>
      </c>
      <c r="B64" s="385" t="s">
        <v>243</v>
      </c>
      <c r="C64" s="385"/>
      <c r="D64" s="386"/>
      <c r="E64" s="143"/>
      <c r="F64" s="137"/>
      <c r="G64" s="135"/>
      <c r="H64" s="126"/>
      <c r="J64" s="36"/>
      <c r="K64" s="36"/>
      <c r="L64" s="36"/>
    </row>
    <row r="65" spans="1:12">
      <c r="A65" s="118" t="s">
        <v>244</v>
      </c>
      <c r="B65" s="397" t="s">
        <v>245</v>
      </c>
      <c r="C65" s="397"/>
      <c r="D65" s="398"/>
      <c r="E65" s="150" t="s">
        <v>144</v>
      </c>
      <c r="F65" s="137"/>
      <c r="G65" s="135"/>
      <c r="H65" s="126">
        <f t="shared" si="4"/>
        <v>0</v>
      </c>
      <c r="J65" s="36"/>
      <c r="K65" s="36"/>
      <c r="L65" s="36"/>
    </row>
    <row r="66" spans="1:12">
      <c r="A66" s="118" t="s">
        <v>246</v>
      </c>
      <c r="B66" s="397" t="s">
        <v>247</v>
      </c>
      <c r="C66" s="397"/>
      <c r="D66" s="398"/>
      <c r="E66" s="150" t="s">
        <v>48</v>
      </c>
      <c r="F66" s="137"/>
      <c r="G66" s="135"/>
      <c r="H66" s="126">
        <f t="shared" si="4"/>
        <v>0</v>
      </c>
      <c r="J66" s="36"/>
      <c r="K66" s="36"/>
      <c r="L66" s="36"/>
    </row>
    <row r="67" spans="1:12">
      <c r="A67" s="115"/>
      <c r="B67" s="393"/>
      <c r="C67" s="393"/>
      <c r="D67" s="394"/>
      <c r="E67" s="143"/>
      <c r="F67" s="137"/>
      <c r="G67" s="135"/>
      <c r="H67" s="126"/>
      <c r="J67" s="36"/>
      <c r="K67" s="36"/>
      <c r="L67" s="36"/>
    </row>
    <row r="68" spans="1:12">
      <c r="A68" s="114" t="s">
        <v>248</v>
      </c>
      <c r="B68" s="385" t="s">
        <v>249</v>
      </c>
      <c r="C68" s="385"/>
      <c r="D68" s="386"/>
      <c r="E68" s="143"/>
      <c r="F68" s="137"/>
      <c r="G68" s="135"/>
      <c r="H68" s="126"/>
      <c r="J68" s="36"/>
      <c r="K68" s="36"/>
      <c r="L68" s="36"/>
    </row>
    <row r="69" spans="1:12">
      <c r="A69" s="114" t="s">
        <v>250</v>
      </c>
      <c r="B69" s="399" t="s">
        <v>251</v>
      </c>
      <c r="C69" s="399"/>
      <c r="D69" s="400"/>
      <c r="E69" s="143"/>
      <c r="F69" s="137"/>
      <c r="G69" s="135"/>
      <c r="H69" s="126"/>
      <c r="J69" s="36"/>
      <c r="K69" s="36"/>
      <c r="L69" s="36"/>
    </row>
    <row r="70" spans="1:12">
      <c r="A70" s="118" t="s">
        <v>252</v>
      </c>
      <c r="B70" s="397" t="s">
        <v>253</v>
      </c>
      <c r="C70" s="397"/>
      <c r="D70" s="398"/>
      <c r="E70" s="150" t="s">
        <v>182</v>
      </c>
      <c r="F70" s="137"/>
      <c r="G70" s="135"/>
      <c r="H70" s="126">
        <f t="shared" si="4"/>
        <v>0</v>
      </c>
      <c r="J70" s="36"/>
      <c r="K70" s="36"/>
      <c r="L70" s="36"/>
    </row>
    <row r="71" spans="1:12">
      <c r="A71" s="118" t="s">
        <v>254</v>
      </c>
      <c r="B71" s="397" t="s">
        <v>205</v>
      </c>
      <c r="C71" s="397"/>
      <c r="D71" s="398"/>
      <c r="E71" s="150" t="s">
        <v>182</v>
      </c>
      <c r="F71" s="137"/>
      <c r="G71" s="135"/>
      <c r="H71" s="126">
        <f t="shared" si="4"/>
        <v>0</v>
      </c>
      <c r="J71" s="36"/>
      <c r="K71" s="36"/>
      <c r="L71" s="36"/>
    </row>
    <row r="72" spans="1:12">
      <c r="A72" s="118" t="s">
        <v>255</v>
      </c>
      <c r="B72" s="397" t="s">
        <v>256</v>
      </c>
      <c r="C72" s="397"/>
      <c r="D72" s="398"/>
      <c r="E72" s="150" t="s">
        <v>182</v>
      </c>
      <c r="F72" s="137"/>
      <c r="G72" s="135"/>
      <c r="H72" s="126">
        <f t="shared" si="4"/>
        <v>0</v>
      </c>
      <c r="J72" s="36"/>
      <c r="K72" s="36"/>
      <c r="L72" s="36"/>
    </row>
    <row r="73" spans="1:12">
      <c r="A73" s="118" t="s">
        <v>257</v>
      </c>
      <c r="B73" s="397" t="s">
        <v>258</v>
      </c>
      <c r="C73" s="397"/>
      <c r="D73" s="398"/>
      <c r="E73" s="150" t="s">
        <v>182</v>
      </c>
      <c r="F73" s="137"/>
      <c r="G73" s="135"/>
      <c r="H73" s="126">
        <f t="shared" si="4"/>
        <v>0</v>
      </c>
      <c r="J73" s="36"/>
      <c r="K73" s="36"/>
      <c r="L73" s="36"/>
    </row>
    <row r="74" spans="1:12">
      <c r="A74" s="118" t="s">
        <v>259</v>
      </c>
      <c r="B74" s="397" t="s">
        <v>260</v>
      </c>
      <c r="C74" s="397"/>
      <c r="D74" s="398"/>
      <c r="E74" s="150" t="s">
        <v>182</v>
      </c>
      <c r="F74" s="137"/>
      <c r="G74" s="135"/>
      <c r="H74" s="126">
        <f t="shared" si="4"/>
        <v>0</v>
      </c>
      <c r="J74" s="36"/>
      <c r="K74" s="36"/>
      <c r="L74" s="36"/>
    </row>
    <row r="75" spans="1:12">
      <c r="A75" s="118" t="s">
        <v>261</v>
      </c>
      <c r="B75" s="397" t="s">
        <v>262</v>
      </c>
      <c r="C75" s="397"/>
      <c r="D75" s="398"/>
      <c r="E75" s="150" t="s">
        <v>263</v>
      </c>
      <c r="F75" s="137"/>
      <c r="G75" s="135"/>
      <c r="H75" s="126">
        <f t="shared" si="4"/>
        <v>0</v>
      </c>
      <c r="J75" s="36"/>
      <c r="K75" s="36"/>
      <c r="L75" s="36"/>
    </row>
    <row r="76" spans="1:12">
      <c r="A76" s="118" t="s">
        <v>264</v>
      </c>
      <c r="B76" s="397" t="s">
        <v>265</v>
      </c>
      <c r="C76" s="397"/>
      <c r="D76" s="398"/>
      <c r="E76" s="150" t="s">
        <v>263</v>
      </c>
      <c r="F76" s="137"/>
      <c r="G76" s="135"/>
      <c r="H76" s="126">
        <f t="shared" si="4"/>
        <v>0</v>
      </c>
      <c r="J76" s="36"/>
      <c r="K76" s="36"/>
      <c r="L76" s="36"/>
    </row>
    <row r="77" spans="1:12">
      <c r="A77" s="118" t="s">
        <v>266</v>
      </c>
      <c r="B77" s="397" t="s">
        <v>267</v>
      </c>
      <c r="C77" s="397"/>
      <c r="D77" s="398"/>
      <c r="E77" s="150" t="s">
        <v>179</v>
      </c>
      <c r="F77" s="137"/>
      <c r="G77" s="135"/>
      <c r="H77" s="126">
        <f t="shared" si="4"/>
        <v>0</v>
      </c>
      <c r="J77" s="36"/>
      <c r="K77" s="36"/>
      <c r="L77" s="36"/>
    </row>
    <row r="78" spans="1:12">
      <c r="A78" s="114" t="s">
        <v>268</v>
      </c>
      <c r="B78" s="399" t="s">
        <v>269</v>
      </c>
      <c r="C78" s="399"/>
      <c r="D78" s="400"/>
      <c r="E78" s="143"/>
      <c r="F78" s="137"/>
      <c r="G78" s="135"/>
      <c r="H78" s="126"/>
      <c r="J78" s="36"/>
      <c r="K78" s="36"/>
      <c r="L78" s="36"/>
    </row>
    <row r="79" spans="1:12">
      <c r="A79" s="116" t="s">
        <v>270</v>
      </c>
      <c r="B79" s="395" t="s">
        <v>271</v>
      </c>
      <c r="C79" s="395"/>
      <c r="D79" s="396"/>
      <c r="E79" s="150" t="s">
        <v>182</v>
      </c>
      <c r="F79" s="137"/>
      <c r="G79" s="135"/>
      <c r="H79" s="126">
        <f t="shared" si="4"/>
        <v>0</v>
      </c>
      <c r="J79" s="36"/>
      <c r="K79" s="36"/>
      <c r="L79" s="36"/>
    </row>
    <row r="80" spans="1:12">
      <c r="A80" s="116" t="s">
        <v>272</v>
      </c>
      <c r="B80" s="395" t="s">
        <v>273</v>
      </c>
      <c r="C80" s="395"/>
      <c r="D80" s="396"/>
      <c r="E80" s="150" t="s">
        <v>179</v>
      </c>
      <c r="F80" s="137"/>
      <c r="G80" s="135"/>
      <c r="H80" s="126">
        <f t="shared" si="4"/>
        <v>0</v>
      </c>
      <c r="J80" s="36"/>
      <c r="K80" s="36"/>
      <c r="L80" s="36"/>
    </row>
    <row r="81" spans="1:12">
      <c r="A81" s="116" t="s">
        <v>274</v>
      </c>
      <c r="B81" s="395" t="s">
        <v>275</v>
      </c>
      <c r="C81" s="395"/>
      <c r="D81" s="396"/>
      <c r="E81" s="150" t="s">
        <v>179</v>
      </c>
      <c r="F81" s="137"/>
      <c r="G81" s="135"/>
      <c r="H81" s="126">
        <f t="shared" si="4"/>
        <v>0</v>
      </c>
      <c r="J81" s="36"/>
      <c r="K81" s="36"/>
      <c r="L81" s="36"/>
    </row>
    <row r="82" spans="1:12">
      <c r="A82" s="116" t="s">
        <v>276</v>
      </c>
      <c r="B82" s="395" t="s">
        <v>277</v>
      </c>
      <c r="C82" s="395"/>
      <c r="D82" s="396"/>
      <c r="E82" s="150" t="s">
        <v>182</v>
      </c>
      <c r="F82" s="137"/>
      <c r="G82" s="135"/>
      <c r="H82" s="126">
        <f t="shared" si="4"/>
        <v>0</v>
      </c>
      <c r="J82" s="36"/>
      <c r="K82" s="36"/>
      <c r="L82" s="36"/>
    </row>
    <row r="83" spans="1:12">
      <c r="A83" s="116" t="s">
        <v>278</v>
      </c>
      <c r="B83" s="395" t="s">
        <v>279</v>
      </c>
      <c r="C83" s="395"/>
      <c r="D83" s="396"/>
      <c r="E83" s="150" t="s">
        <v>179</v>
      </c>
      <c r="F83" s="137"/>
      <c r="G83" s="135"/>
      <c r="H83" s="126">
        <f t="shared" si="4"/>
        <v>0</v>
      </c>
      <c r="J83" s="36"/>
      <c r="K83" s="36"/>
      <c r="L83" s="36"/>
    </row>
    <row r="84" spans="1:12">
      <c r="A84" s="116" t="s">
        <v>280</v>
      </c>
      <c r="B84" s="395" t="s">
        <v>281</v>
      </c>
      <c r="C84" s="395"/>
      <c r="D84" s="396"/>
      <c r="E84" s="150" t="s">
        <v>182</v>
      </c>
      <c r="F84" s="137"/>
      <c r="G84" s="135"/>
      <c r="H84" s="126">
        <f t="shared" si="4"/>
        <v>0</v>
      </c>
      <c r="J84" s="36"/>
      <c r="K84" s="36"/>
      <c r="L84" s="36"/>
    </row>
    <row r="85" spans="1:12">
      <c r="A85" s="116" t="s">
        <v>282</v>
      </c>
      <c r="B85" s="395" t="s">
        <v>283</v>
      </c>
      <c r="C85" s="395"/>
      <c r="D85" s="396"/>
      <c r="E85" s="150" t="s">
        <v>144</v>
      </c>
      <c r="F85" s="137"/>
      <c r="G85" s="135"/>
      <c r="H85" s="126">
        <f t="shared" si="4"/>
        <v>0</v>
      </c>
      <c r="J85" s="36"/>
      <c r="K85" s="36"/>
      <c r="L85" s="36"/>
    </row>
    <row r="86" spans="1:12">
      <c r="A86" s="116" t="s">
        <v>284</v>
      </c>
      <c r="B86" s="395" t="s">
        <v>285</v>
      </c>
      <c r="C86" s="395"/>
      <c r="D86" s="396"/>
      <c r="E86" s="150" t="s">
        <v>182</v>
      </c>
      <c r="F86" s="137"/>
      <c r="G86" s="135"/>
      <c r="H86" s="126">
        <f t="shared" si="4"/>
        <v>0</v>
      </c>
      <c r="J86" s="36"/>
      <c r="K86" s="36"/>
      <c r="L86" s="36"/>
    </row>
    <row r="87" spans="1:12">
      <c r="A87" s="116" t="s">
        <v>286</v>
      </c>
      <c r="B87" s="401" t="s">
        <v>287</v>
      </c>
      <c r="C87" s="401"/>
      <c r="D87" s="402"/>
      <c r="E87" s="151" t="s">
        <v>182</v>
      </c>
      <c r="F87" s="137"/>
      <c r="G87" s="135"/>
      <c r="H87" s="126">
        <f t="shared" si="4"/>
        <v>0</v>
      </c>
      <c r="J87" s="36"/>
      <c r="K87" s="36"/>
      <c r="L87" s="36"/>
    </row>
    <row r="88" spans="1:12" ht="13.05" customHeight="1">
      <c r="A88" s="116" t="s">
        <v>288</v>
      </c>
      <c r="B88" s="395" t="s">
        <v>289</v>
      </c>
      <c r="C88" s="395"/>
      <c r="D88" s="396"/>
      <c r="E88" s="150" t="s">
        <v>179</v>
      </c>
      <c r="F88" s="137"/>
      <c r="G88" s="135"/>
      <c r="H88" s="126">
        <f t="shared" si="4"/>
        <v>0</v>
      </c>
      <c r="J88" s="36"/>
      <c r="K88" s="36"/>
      <c r="L88" s="36"/>
    </row>
    <row r="89" spans="1:12" ht="13.05" customHeight="1">
      <c r="A89" s="116" t="s">
        <v>290</v>
      </c>
      <c r="B89" s="395" t="s">
        <v>291</v>
      </c>
      <c r="C89" s="395"/>
      <c r="D89" s="396"/>
      <c r="E89" s="150" t="s">
        <v>182</v>
      </c>
      <c r="F89" s="137"/>
      <c r="G89" s="135"/>
      <c r="H89" s="126">
        <f t="shared" si="4"/>
        <v>0</v>
      </c>
      <c r="J89" s="36"/>
      <c r="K89" s="36"/>
      <c r="L89" s="36"/>
    </row>
    <row r="90" spans="1:12" ht="13.05" customHeight="1">
      <c r="A90" s="116" t="s">
        <v>292</v>
      </c>
      <c r="B90" s="395" t="s">
        <v>293</v>
      </c>
      <c r="C90" s="395"/>
      <c r="D90" s="396"/>
      <c r="E90" s="150" t="s">
        <v>179</v>
      </c>
      <c r="F90" s="137"/>
      <c r="G90" s="135"/>
      <c r="H90" s="126">
        <f t="shared" si="4"/>
        <v>0</v>
      </c>
      <c r="J90" s="36"/>
      <c r="K90" s="36"/>
      <c r="L90" s="36"/>
    </row>
    <row r="91" spans="1:12" ht="13.05" customHeight="1">
      <c r="A91" s="116" t="s">
        <v>294</v>
      </c>
      <c r="B91" s="395" t="s">
        <v>295</v>
      </c>
      <c r="C91" s="395"/>
      <c r="D91" s="396"/>
      <c r="E91" s="150" t="s">
        <v>179</v>
      </c>
      <c r="F91" s="137"/>
      <c r="G91" s="135"/>
      <c r="H91" s="126">
        <f t="shared" si="4"/>
        <v>0</v>
      </c>
      <c r="J91" s="36"/>
      <c r="K91" s="36"/>
      <c r="L91" s="36"/>
    </row>
    <row r="92" spans="1:12" ht="13.05" customHeight="1">
      <c r="A92" s="116" t="s">
        <v>296</v>
      </c>
      <c r="B92" s="395" t="s">
        <v>297</v>
      </c>
      <c r="C92" s="395"/>
      <c r="D92" s="396"/>
      <c r="E92" s="143"/>
      <c r="F92" s="137"/>
      <c r="G92" s="135"/>
      <c r="H92" s="126"/>
      <c r="J92" s="36"/>
      <c r="K92" s="36"/>
      <c r="L92" s="36"/>
    </row>
    <row r="93" spans="1:12" ht="13.05" customHeight="1">
      <c r="A93" s="115"/>
      <c r="B93" s="401" t="s">
        <v>298</v>
      </c>
      <c r="C93" s="401"/>
      <c r="D93" s="402"/>
      <c r="E93" s="150" t="s">
        <v>179</v>
      </c>
      <c r="F93" s="137"/>
      <c r="G93" s="135"/>
      <c r="H93" s="126">
        <f t="shared" si="4"/>
        <v>0</v>
      </c>
      <c r="J93" s="36"/>
      <c r="K93" s="36"/>
      <c r="L93" s="36"/>
    </row>
    <row r="94" spans="1:12" ht="13.05" customHeight="1">
      <c r="A94" s="115"/>
      <c r="B94" s="401" t="s">
        <v>299</v>
      </c>
      <c r="C94" s="401"/>
      <c r="D94" s="402"/>
      <c r="E94" s="150" t="s">
        <v>179</v>
      </c>
      <c r="F94" s="137"/>
      <c r="G94" s="135"/>
      <c r="H94" s="126">
        <f t="shared" si="4"/>
        <v>0</v>
      </c>
      <c r="J94" s="36"/>
      <c r="K94" s="36"/>
      <c r="L94" s="36"/>
    </row>
    <row r="95" spans="1:12" ht="13.05" customHeight="1">
      <c r="A95" s="116" t="s">
        <v>300</v>
      </c>
      <c r="B95" s="395" t="s">
        <v>301</v>
      </c>
      <c r="C95" s="395"/>
      <c r="D95" s="396"/>
      <c r="E95" s="150" t="s">
        <v>193</v>
      </c>
      <c r="F95" s="137"/>
      <c r="G95" s="135"/>
      <c r="H95" s="126">
        <f t="shared" si="4"/>
        <v>0</v>
      </c>
      <c r="J95" s="36"/>
      <c r="K95" s="36"/>
      <c r="L95" s="36"/>
    </row>
    <row r="96" spans="1:12" ht="13.05" customHeight="1">
      <c r="A96" s="116" t="s">
        <v>302</v>
      </c>
      <c r="B96" s="395" t="s">
        <v>303</v>
      </c>
      <c r="C96" s="395"/>
      <c r="D96" s="396"/>
      <c r="E96" s="150" t="s">
        <v>48</v>
      </c>
      <c r="F96" s="137"/>
      <c r="G96" s="135"/>
      <c r="H96" s="126">
        <f t="shared" si="4"/>
        <v>0</v>
      </c>
      <c r="J96" s="36"/>
      <c r="K96" s="36"/>
      <c r="L96" s="36"/>
    </row>
    <row r="97" spans="1:12" ht="13.05" customHeight="1">
      <c r="A97" s="114" t="s">
        <v>304</v>
      </c>
      <c r="B97" s="399" t="s">
        <v>305</v>
      </c>
      <c r="C97" s="399"/>
      <c r="D97" s="400"/>
      <c r="E97" s="143"/>
      <c r="F97" s="137"/>
      <c r="G97" s="135"/>
      <c r="H97" s="126"/>
      <c r="J97" s="36"/>
      <c r="K97" s="36"/>
      <c r="L97" s="36"/>
    </row>
    <row r="98" spans="1:12" ht="13.05" customHeight="1">
      <c r="A98" s="116" t="s">
        <v>306</v>
      </c>
      <c r="B98" s="395" t="s">
        <v>307</v>
      </c>
      <c r="C98" s="395"/>
      <c r="D98" s="396"/>
      <c r="E98" s="149" t="s">
        <v>48</v>
      </c>
      <c r="F98" s="137"/>
      <c r="G98" s="135"/>
      <c r="H98" s="126">
        <f t="shared" si="4"/>
        <v>0</v>
      </c>
      <c r="J98" s="36"/>
      <c r="K98" s="36"/>
      <c r="L98" s="36"/>
    </row>
    <row r="99" spans="1:12" ht="13.05" customHeight="1">
      <c r="A99" s="116" t="s">
        <v>308</v>
      </c>
      <c r="B99" s="395" t="s">
        <v>309</v>
      </c>
      <c r="C99" s="395"/>
      <c r="D99" s="396"/>
      <c r="E99" s="149" t="s">
        <v>182</v>
      </c>
      <c r="F99" s="137"/>
      <c r="G99" s="135"/>
      <c r="H99" s="126">
        <f t="shared" si="4"/>
        <v>0</v>
      </c>
      <c r="J99" s="36"/>
      <c r="K99" s="36"/>
      <c r="L99" s="36"/>
    </row>
    <row r="100" spans="1:12" ht="13.05" customHeight="1">
      <c r="A100" s="116" t="s">
        <v>310</v>
      </c>
      <c r="B100" s="395" t="s">
        <v>279</v>
      </c>
      <c r="C100" s="395"/>
      <c r="D100" s="396"/>
      <c r="E100" s="149" t="s">
        <v>179</v>
      </c>
      <c r="F100" s="137"/>
      <c r="G100" s="135"/>
      <c r="H100" s="126">
        <f t="shared" si="4"/>
        <v>0</v>
      </c>
      <c r="J100" s="36"/>
      <c r="K100" s="36"/>
      <c r="L100" s="36"/>
    </row>
    <row r="101" spans="1:12" ht="13.05" customHeight="1">
      <c r="A101" s="116" t="s">
        <v>311</v>
      </c>
      <c r="B101" s="395" t="s">
        <v>312</v>
      </c>
      <c r="C101" s="395"/>
      <c r="D101" s="396"/>
      <c r="E101" s="149" t="s">
        <v>263</v>
      </c>
      <c r="F101" s="137"/>
      <c r="G101" s="135"/>
      <c r="H101" s="126">
        <f t="shared" si="4"/>
        <v>0</v>
      </c>
      <c r="J101" s="36"/>
      <c r="K101" s="36"/>
      <c r="L101" s="36"/>
    </row>
    <row r="102" spans="1:12" ht="13.05" customHeight="1">
      <c r="A102" s="116" t="s">
        <v>313</v>
      </c>
      <c r="B102" s="395" t="s">
        <v>314</v>
      </c>
      <c r="C102" s="395"/>
      <c r="D102" s="396"/>
      <c r="E102" s="150" t="s">
        <v>182</v>
      </c>
      <c r="F102" s="137"/>
      <c r="G102" s="135"/>
      <c r="H102" s="126">
        <f t="shared" si="4"/>
        <v>0</v>
      </c>
      <c r="J102" s="36"/>
      <c r="K102" s="36"/>
      <c r="L102" s="36"/>
    </row>
    <row r="103" spans="1:12" ht="13.05" customHeight="1">
      <c r="A103" s="116" t="s">
        <v>315</v>
      </c>
      <c r="B103" s="395" t="s">
        <v>316</v>
      </c>
      <c r="C103" s="395"/>
      <c r="D103" s="396"/>
      <c r="E103" s="149" t="s">
        <v>179</v>
      </c>
      <c r="F103" s="137"/>
      <c r="G103" s="135"/>
      <c r="H103" s="126">
        <f t="shared" si="4"/>
        <v>0</v>
      </c>
      <c r="J103" s="36"/>
      <c r="K103" s="36"/>
      <c r="L103" s="36"/>
    </row>
    <row r="104" spans="1:12" ht="13.05" customHeight="1">
      <c r="A104" s="116" t="s">
        <v>317</v>
      </c>
      <c r="B104" s="395" t="s">
        <v>318</v>
      </c>
      <c r="C104" s="395"/>
      <c r="D104" s="396"/>
      <c r="E104" s="149" t="s">
        <v>182</v>
      </c>
      <c r="F104" s="137"/>
      <c r="G104" s="135"/>
      <c r="H104" s="126">
        <f t="shared" si="4"/>
        <v>0</v>
      </c>
      <c r="J104" s="36"/>
      <c r="K104" s="36"/>
      <c r="L104" s="36"/>
    </row>
    <row r="105" spans="1:12" ht="13.05" customHeight="1">
      <c r="A105" s="116" t="s">
        <v>319</v>
      </c>
      <c r="B105" s="395" t="s">
        <v>320</v>
      </c>
      <c r="C105" s="395"/>
      <c r="D105" s="396"/>
      <c r="E105" s="150" t="s">
        <v>144</v>
      </c>
      <c r="F105" s="137"/>
      <c r="G105" s="135"/>
      <c r="H105" s="126">
        <f t="shared" si="4"/>
        <v>0</v>
      </c>
      <c r="J105" s="36"/>
      <c r="K105" s="36"/>
      <c r="L105" s="36"/>
    </row>
    <row r="106" spans="1:12" ht="13.05" customHeight="1">
      <c r="A106" s="119" t="s">
        <v>321</v>
      </c>
      <c r="B106" s="391" t="s">
        <v>322</v>
      </c>
      <c r="C106" s="391"/>
      <c r="D106" s="392"/>
      <c r="E106" s="143"/>
      <c r="F106" s="137"/>
      <c r="G106" s="135"/>
      <c r="H106" s="126"/>
      <c r="J106" s="36"/>
      <c r="K106" s="36"/>
      <c r="L106" s="36"/>
    </row>
    <row r="107" spans="1:12" ht="13.05" customHeight="1">
      <c r="A107" s="152" t="s">
        <v>323</v>
      </c>
      <c r="B107" s="397" t="s">
        <v>324</v>
      </c>
      <c r="C107" s="397"/>
      <c r="D107" s="398"/>
      <c r="E107" s="150" t="s">
        <v>48</v>
      </c>
      <c r="F107" s="137"/>
      <c r="G107" s="135"/>
      <c r="H107" s="126">
        <f t="shared" si="4"/>
        <v>0</v>
      </c>
      <c r="J107" s="36"/>
      <c r="K107" s="36"/>
      <c r="L107" s="36"/>
    </row>
    <row r="108" spans="1:12" ht="13.05" customHeight="1">
      <c r="A108" s="152" t="s">
        <v>325</v>
      </c>
      <c r="B108" s="395" t="s">
        <v>326</v>
      </c>
      <c r="C108" s="395"/>
      <c r="D108" s="396"/>
      <c r="E108" s="149" t="s">
        <v>48</v>
      </c>
      <c r="F108" s="137"/>
      <c r="G108" s="135"/>
      <c r="H108" s="126">
        <f t="shared" ref="H108:H111" si="5">G108*F108</f>
        <v>0</v>
      </c>
      <c r="J108" s="36"/>
      <c r="K108" s="36"/>
      <c r="L108" s="36"/>
    </row>
    <row r="109" spans="1:12" ht="13.05" customHeight="1">
      <c r="A109" s="152" t="s">
        <v>327</v>
      </c>
      <c r="B109" s="395" t="s">
        <v>328</v>
      </c>
      <c r="C109" s="395"/>
      <c r="D109" s="396"/>
      <c r="E109" s="149" t="s">
        <v>48</v>
      </c>
      <c r="F109" s="137"/>
      <c r="G109" s="135"/>
      <c r="H109" s="126">
        <f t="shared" si="5"/>
        <v>0</v>
      </c>
      <c r="J109" s="36"/>
      <c r="K109" s="36"/>
      <c r="L109" s="36"/>
    </row>
    <row r="110" spans="1:12" ht="13.05" customHeight="1">
      <c r="A110" s="152" t="s">
        <v>329</v>
      </c>
      <c r="B110" s="395" t="s">
        <v>245</v>
      </c>
      <c r="C110" s="395"/>
      <c r="D110" s="396"/>
      <c r="E110" s="149" t="s">
        <v>144</v>
      </c>
      <c r="F110" s="137"/>
      <c r="G110" s="135"/>
      <c r="H110" s="126">
        <f t="shared" si="5"/>
        <v>0</v>
      </c>
      <c r="J110" s="36"/>
      <c r="K110" s="36"/>
      <c r="L110" s="36"/>
    </row>
    <row r="111" spans="1:12" ht="13.05" customHeight="1">
      <c r="A111" s="152" t="s">
        <v>330</v>
      </c>
      <c r="B111" s="395" t="s">
        <v>331</v>
      </c>
      <c r="C111" s="395"/>
      <c r="D111" s="396"/>
      <c r="E111" s="149" t="s">
        <v>182</v>
      </c>
      <c r="F111" s="137"/>
      <c r="G111" s="135"/>
      <c r="H111" s="126">
        <f t="shared" si="5"/>
        <v>0</v>
      </c>
      <c r="J111" s="36"/>
      <c r="K111" s="36"/>
      <c r="L111" s="36"/>
    </row>
    <row r="112" spans="1:12" ht="13.05" customHeight="1">
      <c r="A112" s="152" t="s">
        <v>332</v>
      </c>
      <c r="B112" s="395" t="s">
        <v>333</v>
      </c>
      <c r="C112" s="395"/>
      <c r="D112" s="396"/>
      <c r="E112" s="149" t="s">
        <v>48</v>
      </c>
      <c r="F112" s="137"/>
      <c r="G112" s="135"/>
      <c r="H112" s="126">
        <f>G112*F112</f>
        <v>0</v>
      </c>
      <c r="J112" s="36"/>
      <c r="K112" s="36"/>
      <c r="L112" s="36"/>
    </row>
    <row r="113" spans="1:12" ht="13.05" customHeight="1" thickBot="1">
      <c r="A113" s="115"/>
      <c r="B113" s="393"/>
      <c r="C113" s="393"/>
      <c r="D113" s="394"/>
      <c r="E113" s="143"/>
      <c r="F113" s="137"/>
      <c r="G113" s="135"/>
      <c r="H113" s="126"/>
      <c r="J113" s="36"/>
      <c r="K113" s="36"/>
      <c r="L113" s="36"/>
    </row>
    <row r="114" spans="1:12" ht="13.05" customHeight="1" thickBot="1">
      <c r="A114" s="113" t="s">
        <v>334</v>
      </c>
      <c r="B114" s="389" t="s">
        <v>335</v>
      </c>
      <c r="C114" s="389"/>
      <c r="D114" s="390"/>
      <c r="E114" s="144"/>
      <c r="F114" s="145"/>
      <c r="G114" s="146"/>
      <c r="H114" s="141">
        <f>SUM(H115:H125)</f>
        <v>0</v>
      </c>
      <c r="J114" s="36"/>
      <c r="K114" s="36"/>
      <c r="L114" s="36"/>
    </row>
    <row r="115" spans="1:12" ht="13.05" customHeight="1">
      <c r="A115" s="114" t="s">
        <v>336</v>
      </c>
      <c r="B115" s="385" t="s">
        <v>201</v>
      </c>
      <c r="C115" s="385"/>
      <c r="D115" s="386"/>
      <c r="E115" s="143"/>
      <c r="F115" s="137"/>
      <c r="G115" s="135"/>
      <c r="H115" s="126"/>
      <c r="J115" s="36"/>
      <c r="K115" s="36"/>
      <c r="L115" s="36"/>
    </row>
    <row r="116" spans="1:12" ht="13.05" customHeight="1">
      <c r="A116" s="117" t="s">
        <v>337</v>
      </c>
      <c r="B116" s="385" t="s">
        <v>231</v>
      </c>
      <c r="C116" s="385"/>
      <c r="D116" s="386"/>
      <c r="E116" s="143"/>
      <c r="F116" s="137"/>
      <c r="G116" s="135"/>
      <c r="H116" s="126"/>
      <c r="J116" s="36"/>
      <c r="K116" s="36"/>
      <c r="L116" s="36"/>
    </row>
    <row r="117" spans="1:12" ht="13.05" customHeight="1">
      <c r="A117" s="152" t="s">
        <v>338</v>
      </c>
      <c r="B117" s="395" t="s">
        <v>339</v>
      </c>
      <c r="C117" s="395"/>
      <c r="D117" s="396"/>
      <c r="E117" s="149" t="s">
        <v>144</v>
      </c>
      <c r="F117" s="137"/>
      <c r="G117" s="135"/>
      <c r="H117" s="126">
        <f>G117*F117</f>
        <v>0</v>
      </c>
      <c r="J117" s="36"/>
      <c r="K117" s="36"/>
      <c r="L117" s="36"/>
    </row>
    <row r="118" spans="1:12" ht="13.05" customHeight="1">
      <c r="A118" s="115"/>
      <c r="B118" s="393"/>
      <c r="C118" s="393"/>
      <c r="D118" s="394"/>
      <c r="E118" s="143"/>
      <c r="F118" s="137"/>
      <c r="G118" s="135"/>
      <c r="H118" s="126"/>
      <c r="J118" s="36"/>
      <c r="K118" s="36"/>
      <c r="L118" s="36"/>
    </row>
    <row r="119" spans="1:12" ht="13.05" customHeight="1">
      <c r="A119" s="114" t="s">
        <v>340</v>
      </c>
      <c r="B119" s="385" t="s">
        <v>341</v>
      </c>
      <c r="C119" s="385"/>
      <c r="D119" s="386"/>
      <c r="E119" s="143"/>
      <c r="F119" s="137"/>
      <c r="G119" s="135"/>
      <c r="H119" s="126"/>
      <c r="J119" s="36"/>
      <c r="K119" s="36"/>
      <c r="L119" s="36"/>
    </row>
    <row r="120" spans="1:12" ht="13.05" customHeight="1">
      <c r="A120" s="117" t="s">
        <v>342</v>
      </c>
      <c r="B120" s="385" t="s">
        <v>343</v>
      </c>
      <c r="C120" s="385"/>
      <c r="D120" s="386"/>
      <c r="E120" s="142" t="s">
        <v>182</v>
      </c>
      <c r="F120" s="137"/>
      <c r="G120" s="135"/>
      <c r="H120" s="126">
        <f>G120*F120</f>
        <v>0</v>
      </c>
      <c r="J120" s="36"/>
      <c r="K120" s="36"/>
      <c r="L120" s="36"/>
    </row>
    <row r="121" spans="1:12" ht="13.05" customHeight="1">
      <c r="A121" s="117" t="s">
        <v>344</v>
      </c>
      <c r="B121" s="391" t="s">
        <v>345</v>
      </c>
      <c r="C121" s="391"/>
      <c r="D121" s="392"/>
      <c r="E121" s="142" t="s">
        <v>144</v>
      </c>
      <c r="F121" s="137"/>
      <c r="G121" s="135"/>
      <c r="H121" s="126">
        <f>G121*F121</f>
        <v>0</v>
      </c>
      <c r="J121" s="36"/>
      <c r="K121" s="36"/>
      <c r="L121" s="36"/>
    </row>
    <row r="122" spans="1:12" ht="13.05" customHeight="1">
      <c r="A122" s="117" t="s">
        <v>346</v>
      </c>
      <c r="B122" s="391" t="s">
        <v>347</v>
      </c>
      <c r="C122" s="391"/>
      <c r="D122" s="392"/>
      <c r="E122" s="143"/>
      <c r="F122" s="137"/>
      <c r="G122" s="135"/>
      <c r="H122" s="126"/>
      <c r="J122" s="36"/>
      <c r="K122" s="36"/>
      <c r="L122" s="36"/>
    </row>
    <row r="123" spans="1:12" ht="13.05" customHeight="1">
      <c r="A123" s="152" t="s">
        <v>348</v>
      </c>
      <c r="B123" s="395" t="s">
        <v>324</v>
      </c>
      <c r="C123" s="395"/>
      <c r="D123" s="396"/>
      <c r="E123" s="150" t="s">
        <v>48</v>
      </c>
      <c r="F123" s="137"/>
      <c r="G123" s="135"/>
      <c r="H123" s="126">
        <f>G123*F123</f>
        <v>0</v>
      </c>
      <c r="J123" s="36"/>
      <c r="K123" s="36"/>
      <c r="L123" s="36"/>
    </row>
    <row r="124" spans="1:12" ht="13.05" customHeight="1">
      <c r="A124" s="152" t="s">
        <v>349</v>
      </c>
      <c r="B124" s="395" t="s">
        <v>326</v>
      </c>
      <c r="C124" s="395"/>
      <c r="D124" s="396"/>
      <c r="E124" s="149" t="s">
        <v>48</v>
      </c>
      <c r="F124" s="137"/>
      <c r="G124" s="135"/>
      <c r="H124" s="126">
        <f>G124*F124</f>
        <v>0</v>
      </c>
      <c r="J124" s="36"/>
      <c r="K124" s="36"/>
      <c r="L124" s="36"/>
    </row>
    <row r="125" spans="1:12" ht="13.05" customHeight="1">
      <c r="A125" s="152" t="s">
        <v>350</v>
      </c>
      <c r="B125" s="395" t="s">
        <v>245</v>
      </c>
      <c r="C125" s="395"/>
      <c r="D125" s="396"/>
      <c r="E125" s="149" t="s">
        <v>144</v>
      </c>
      <c r="F125" s="137"/>
      <c r="G125" s="135"/>
      <c r="H125" s="126">
        <f>G125*F125</f>
        <v>0</v>
      </c>
      <c r="J125" s="36"/>
      <c r="K125" s="36"/>
      <c r="L125" s="36"/>
    </row>
    <row r="126" spans="1:12" ht="13.05" customHeight="1" thickBot="1">
      <c r="A126" s="49"/>
      <c r="B126" s="50"/>
      <c r="C126" s="50"/>
      <c r="D126" s="50"/>
      <c r="E126" s="51"/>
      <c r="F126" s="52"/>
      <c r="G126" s="53"/>
      <c r="H126" s="127"/>
      <c r="J126" s="81"/>
      <c r="K126" s="81"/>
      <c r="L126" s="81"/>
    </row>
    <row r="127" spans="1:12" ht="20.100000000000001" customHeight="1" thickTop="1">
      <c r="A127" s="366" t="s">
        <v>62</v>
      </c>
      <c r="B127" s="367"/>
      <c r="C127" s="367"/>
      <c r="D127" s="368"/>
      <c r="E127" s="55"/>
      <c r="F127" s="56"/>
      <c r="G127" s="57"/>
      <c r="H127" s="58">
        <f>H114+H41+H25+H10</f>
        <v>0</v>
      </c>
      <c r="J127" s="81"/>
      <c r="K127" s="81"/>
      <c r="L127" s="81"/>
    </row>
    <row r="128" spans="1:12" ht="20.100000000000001" customHeight="1">
      <c r="A128" s="369" t="s">
        <v>63</v>
      </c>
      <c r="B128" s="370"/>
      <c r="C128" s="370"/>
      <c r="D128" s="371"/>
      <c r="E128" s="59"/>
      <c r="F128" s="60"/>
      <c r="G128" s="61"/>
      <c r="H128" s="62"/>
      <c r="J128" s="81"/>
      <c r="K128" s="81"/>
      <c r="L128" s="81"/>
    </row>
    <row r="129" spans="1:12" ht="20.100000000000001" customHeight="1" thickBot="1">
      <c r="A129" s="352" t="s">
        <v>64</v>
      </c>
      <c r="B129" s="353"/>
      <c r="C129" s="353"/>
      <c r="D129" s="354"/>
      <c r="E129" s="63"/>
      <c r="F129" s="64"/>
      <c r="G129" s="65"/>
      <c r="H129" s="66"/>
      <c r="J129" s="81"/>
      <c r="K129" s="81"/>
      <c r="L129" s="81"/>
    </row>
    <row r="130" spans="1:12" ht="15.6" thickTop="1">
      <c r="J130" s="81"/>
      <c r="K130" s="81"/>
      <c r="L130" s="81"/>
    </row>
    <row r="131" spans="1:12">
      <c r="J131" s="81"/>
      <c r="K131" s="81"/>
      <c r="L131" s="81"/>
    </row>
    <row r="132" spans="1:12">
      <c r="J132" s="81"/>
      <c r="K132" s="81"/>
      <c r="L132" s="81"/>
    </row>
    <row r="133" spans="1:12">
      <c r="L133" s="81"/>
    </row>
    <row r="134" spans="1:12">
      <c r="L134" s="81"/>
    </row>
    <row r="135" spans="1:12">
      <c r="L135" s="81"/>
    </row>
    <row r="136" spans="1:12">
      <c r="L136" s="81"/>
    </row>
    <row r="137" spans="1:12">
      <c r="L137" s="81"/>
    </row>
    <row r="138" spans="1:12">
      <c r="L138" s="81"/>
    </row>
    <row r="139" spans="1:12">
      <c r="L139" s="81"/>
    </row>
    <row r="140" spans="1:12">
      <c r="L140" s="81"/>
    </row>
    <row r="141" spans="1:12">
      <c r="L141" s="81"/>
    </row>
    <row r="142" spans="1:12">
      <c r="L142" s="81"/>
    </row>
    <row r="143" spans="1:12">
      <c r="L143" s="81"/>
    </row>
    <row r="144" spans="1:12">
      <c r="L144" s="81"/>
    </row>
    <row r="145" spans="10:12">
      <c r="L145" s="81"/>
    </row>
    <row r="146" spans="10:12">
      <c r="L146" s="81"/>
    </row>
    <row r="147" spans="10:12">
      <c r="L147" s="81"/>
    </row>
    <row r="148" spans="10:12">
      <c r="L148" s="81"/>
    </row>
    <row r="149" spans="10:12">
      <c r="L149" s="81"/>
    </row>
    <row r="150" spans="10:12">
      <c r="L150" s="81"/>
    </row>
    <row r="151" spans="10:12">
      <c r="L151" s="81"/>
    </row>
    <row r="152" spans="10:12">
      <c r="L152" s="81"/>
    </row>
    <row r="153" spans="10:12">
      <c r="L153" s="81"/>
    </row>
    <row r="154" spans="10:12">
      <c r="J154" s="75"/>
      <c r="K154" s="81"/>
      <c r="L154" s="81"/>
    </row>
  </sheetData>
  <mergeCells count="124">
    <mergeCell ref="B124:D124"/>
    <mergeCell ref="B125:D125"/>
    <mergeCell ref="B119:D119"/>
    <mergeCell ref="B120:D120"/>
    <mergeCell ref="B121:D121"/>
    <mergeCell ref="B122:D122"/>
    <mergeCell ref="B123:D123"/>
    <mergeCell ref="B114:D114"/>
    <mergeCell ref="B115:D115"/>
    <mergeCell ref="B116:D116"/>
    <mergeCell ref="B117:D117"/>
    <mergeCell ref="B118:D118"/>
    <mergeCell ref="B109:D109"/>
    <mergeCell ref="B110:D110"/>
    <mergeCell ref="B111:D111"/>
    <mergeCell ref="B112:D112"/>
    <mergeCell ref="B113:D113"/>
    <mergeCell ref="B104:D104"/>
    <mergeCell ref="B105:D105"/>
    <mergeCell ref="B106:D106"/>
    <mergeCell ref="B107:D107"/>
    <mergeCell ref="B108:D108"/>
    <mergeCell ref="B99:D99"/>
    <mergeCell ref="B100:D100"/>
    <mergeCell ref="B101:D101"/>
    <mergeCell ref="B102:D102"/>
    <mergeCell ref="B103:D103"/>
    <mergeCell ref="B94:D94"/>
    <mergeCell ref="B95:D95"/>
    <mergeCell ref="B96:D96"/>
    <mergeCell ref="B97:D97"/>
    <mergeCell ref="B98:D98"/>
    <mergeCell ref="B89:D89"/>
    <mergeCell ref="B90:D90"/>
    <mergeCell ref="B91:D91"/>
    <mergeCell ref="B92:D92"/>
    <mergeCell ref="B93:D93"/>
    <mergeCell ref="B84:D84"/>
    <mergeCell ref="B85:D85"/>
    <mergeCell ref="B86:D86"/>
    <mergeCell ref="B87:D87"/>
    <mergeCell ref="B88:D88"/>
    <mergeCell ref="B79:D79"/>
    <mergeCell ref="B80:D80"/>
    <mergeCell ref="B81:D81"/>
    <mergeCell ref="B82:D82"/>
    <mergeCell ref="B83:D83"/>
    <mergeCell ref="B74:D74"/>
    <mergeCell ref="B75:D75"/>
    <mergeCell ref="B76:D76"/>
    <mergeCell ref="B77:D77"/>
    <mergeCell ref="B78:D78"/>
    <mergeCell ref="B69:D69"/>
    <mergeCell ref="B70:D70"/>
    <mergeCell ref="B71:D71"/>
    <mergeCell ref="B72:D72"/>
    <mergeCell ref="B73:D73"/>
    <mergeCell ref="B64:D64"/>
    <mergeCell ref="B65:D65"/>
    <mergeCell ref="B66:D66"/>
    <mergeCell ref="B67:D67"/>
    <mergeCell ref="B68:D68"/>
    <mergeCell ref="B59:D59"/>
    <mergeCell ref="B60:D60"/>
    <mergeCell ref="B61:D61"/>
    <mergeCell ref="B62:D62"/>
    <mergeCell ref="B63:D63"/>
    <mergeCell ref="B54:D54"/>
    <mergeCell ref="B55:D55"/>
    <mergeCell ref="B56:D56"/>
    <mergeCell ref="B57:D57"/>
    <mergeCell ref="B58:D58"/>
    <mergeCell ref="B49:D49"/>
    <mergeCell ref="B50:D50"/>
    <mergeCell ref="B51:D51"/>
    <mergeCell ref="B52:D52"/>
    <mergeCell ref="B53:D53"/>
    <mergeCell ref="B44:D44"/>
    <mergeCell ref="B45:D45"/>
    <mergeCell ref="B46:D46"/>
    <mergeCell ref="B47:D47"/>
    <mergeCell ref="B48:D48"/>
    <mergeCell ref="B40:D40"/>
    <mergeCell ref="B41:D41"/>
    <mergeCell ref="B42:D42"/>
    <mergeCell ref="B43:D43"/>
    <mergeCell ref="B34:D34"/>
    <mergeCell ref="B35:D35"/>
    <mergeCell ref="B36:D36"/>
    <mergeCell ref="B37:D37"/>
    <mergeCell ref="B38:D38"/>
    <mergeCell ref="B31:D31"/>
    <mergeCell ref="B32:D32"/>
    <mergeCell ref="B33:D33"/>
    <mergeCell ref="B24:D24"/>
    <mergeCell ref="B25:D25"/>
    <mergeCell ref="B26:D26"/>
    <mergeCell ref="B27:D27"/>
    <mergeCell ref="B28:D28"/>
    <mergeCell ref="B39:D39"/>
    <mergeCell ref="A6:H6"/>
    <mergeCell ref="B19:D19"/>
    <mergeCell ref="B20:D20"/>
    <mergeCell ref="B21:D21"/>
    <mergeCell ref="B22:D22"/>
    <mergeCell ref="B23:D23"/>
    <mergeCell ref="A129:D129"/>
    <mergeCell ref="A1:H1"/>
    <mergeCell ref="A2:H2"/>
    <mergeCell ref="B3:D3"/>
    <mergeCell ref="B9:D9"/>
    <mergeCell ref="A127:D127"/>
    <mergeCell ref="A128:D128"/>
    <mergeCell ref="B10:D10"/>
    <mergeCell ref="B11:D11"/>
    <mergeCell ref="B12:D12"/>
    <mergeCell ref="B13:D13"/>
    <mergeCell ref="B14:D14"/>
    <mergeCell ref="B15:D15"/>
    <mergeCell ref="B16:D16"/>
    <mergeCell ref="B17:D17"/>
    <mergeCell ref="B18:D18"/>
    <mergeCell ref="B29:D29"/>
    <mergeCell ref="B30:D3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C410C1-5B3D-4E8D-8A43-167B45A320AD}">
  <dimension ref="A1:L201"/>
  <sheetViews>
    <sheetView zoomScale="85" zoomScaleNormal="85" workbookViewId="0">
      <selection activeCell="J15" sqref="J15"/>
    </sheetView>
  </sheetViews>
  <sheetFormatPr baseColWidth="10" defaultColWidth="11.44140625" defaultRowHeight="15"/>
  <cols>
    <col min="1" max="3" width="9.77734375" style="1" customWidth="1"/>
    <col min="4" max="4" width="34.21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351</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t="s">
        <v>43</v>
      </c>
      <c r="C5" s="28"/>
      <c r="D5" s="28"/>
      <c r="E5" s="29"/>
      <c r="F5" s="30"/>
      <c r="G5" s="31"/>
      <c r="H5" s="32"/>
    </row>
    <row r="6" spans="1:12" ht="36.450000000000003" customHeight="1">
      <c r="A6" s="372" t="s">
        <v>1525</v>
      </c>
      <c r="B6" s="373"/>
      <c r="C6" s="373"/>
      <c r="D6" s="373"/>
      <c r="E6" s="373"/>
      <c r="F6" s="373"/>
      <c r="G6" s="373"/>
      <c r="H6" s="374"/>
    </row>
    <row r="7" spans="1:12" ht="13.05" customHeight="1">
      <c r="A7" s="26"/>
      <c r="B7" s="28"/>
      <c r="C7" s="28"/>
      <c r="D7" s="28"/>
      <c r="E7" s="29"/>
      <c r="F7" s="33"/>
      <c r="G7" s="34"/>
      <c r="H7" s="35"/>
      <c r="J7" s="36"/>
      <c r="K7" s="36"/>
      <c r="L7" s="36"/>
    </row>
    <row r="8" spans="1:12" ht="13.05" customHeight="1">
      <c r="A8" s="37" t="s">
        <v>66</v>
      </c>
      <c r="B8" s="38" t="s">
        <v>352</v>
      </c>
      <c r="C8" s="13"/>
      <c r="D8" s="13"/>
      <c r="E8" s="39" t="s">
        <v>70</v>
      </c>
      <c r="F8" s="40"/>
      <c r="G8" s="41"/>
      <c r="H8" s="42"/>
      <c r="J8" s="36"/>
      <c r="K8" s="36"/>
      <c r="L8" s="36"/>
    </row>
    <row r="9" spans="1:12" ht="13.05" customHeight="1">
      <c r="A9" s="37"/>
      <c r="B9" s="38"/>
      <c r="C9" s="13"/>
      <c r="D9" s="13"/>
      <c r="E9" s="39"/>
      <c r="F9" s="40"/>
      <c r="G9" s="41"/>
      <c r="H9" s="42"/>
      <c r="J9" s="36"/>
      <c r="K9" s="36"/>
      <c r="L9" s="36"/>
    </row>
    <row r="10" spans="1:12" ht="13.05" customHeight="1">
      <c r="A10" s="37" t="s">
        <v>68</v>
      </c>
      <c r="B10" s="38" t="s">
        <v>67</v>
      </c>
      <c r="C10" s="13"/>
      <c r="D10" s="13"/>
      <c r="E10" s="39" t="s">
        <v>70</v>
      </c>
      <c r="F10" s="40"/>
      <c r="G10" s="41"/>
      <c r="H10" s="42"/>
      <c r="J10" s="36"/>
      <c r="K10" s="36"/>
      <c r="L10" s="36"/>
    </row>
    <row r="11" spans="1:12" ht="13.05" customHeight="1">
      <c r="A11" s="37"/>
      <c r="B11" s="38"/>
      <c r="C11" s="13"/>
      <c r="D11" s="13"/>
      <c r="E11" s="39"/>
      <c r="F11" s="40"/>
      <c r="G11" s="41"/>
      <c r="H11" s="42"/>
      <c r="J11" s="36"/>
      <c r="K11" s="36"/>
      <c r="L11" s="36"/>
    </row>
    <row r="12" spans="1:12" ht="13.05" customHeight="1">
      <c r="A12" s="37" t="s">
        <v>71</v>
      </c>
      <c r="B12" s="38" t="s">
        <v>353</v>
      </c>
      <c r="C12" s="13"/>
      <c r="D12" s="13"/>
      <c r="E12" s="39" t="s">
        <v>70</v>
      </c>
      <c r="F12" s="40"/>
      <c r="G12" s="41"/>
      <c r="H12" s="42"/>
      <c r="J12" s="36"/>
      <c r="K12" s="36"/>
      <c r="L12" s="36"/>
    </row>
    <row r="13" spans="1:12" ht="13.05" customHeight="1">
      <c r="A13" s="37"/>
      <c r="B13" s="38"/>
      <c r="C13" s="13"/>
      <c r="D13" s="13"/>
      <c r="E13" s="39"/>
      <c r="F13" s="40"/>
      <c r="G13" s="41"/>
      <c r="H13" s="42"/>
      <c r="J13" s="36"/>
      <c r="K13" s="36"/>
      <c r="L13" s="36"/>
    </row>
    <row r="14" spans="1:12" ht="13.05" customHeight="1">
      <c r="A14" s="37" t="s">
        <v>73</v>
      </c>
      <c r="B14" s="38" t="s">
        <v>354</v>
      </c>
      <c r="C14" s="13"/>
      <c r="D14" s="13"/>
      <c r="E14" s="39" t="s">
        <v>70</v>
      </c>
      <c r="F14" s="40"/>
      <c r="G14" s="41"/>
      <c r="H14" s="42"/>
      <c r="J14" s="36"/>
      <c r="K14" s="36"/>
      <c r="L14" s="36"/>
    </row>
    <row r="15" spans="1:12" ht="13.05" customHeight="1">
      <c r="A15" s="37"/>
      <c r="B15" s="38"/>
      <c r="C15" s="13"/>
      <c r="D15" s="13"/>
      <c r="E15" s="39"/>
      <c r="F15" s="40"/>
      <c r="G15" s="41"/>
      <c r="H15" s="42"/>
      <c r="J15" s="36"/>
      <c r="K15" s="36"/>
      <c r="L15" s="36"/>
    </row>
    <row r="16" spans="1:12" ht="13.05" customHeight="1">
      <c r="A16" s="37" t="s">
        <v>76</v>
      </c>
      <c r="B16" s="38" t="s">
        <v>355</v>
      </c>
      <c r="C16" s="13"/>
      <c r="D16" s="13"/>
      <c r="E16" s="39" t="s">
        <v>70</v>
      </c>
      <c r="F16" s="40"/>
      <c r="G16" s="41"/>
      <c r="H16" s="42"/>
      <c r="J16" s="36"/>
      <c r="K16" s="36"/>
      <c r="L16" s="36"/>
    </row>
    <row r="17" spans="1:12" ht="13.05" customHeight="1">
      <c r="A17" s="37"/>
      <c r="B17" s="38"/>
      <c r="C17" s="13"/>
      <c r="D17" s="13"/>
      <c r="E17" s="39"/>
      <c r="F17" s="40"/>
      <c r="G17" s="41"/>
      <c r="H17" s="42"/>
      <c r="J17" s="36"/>
      <c r="K17" s="36"/>
      <c r="L17" s="36"/>
    </row>
    <row r="18" spans="1:12" ht="13.05" customHeight="1">
      <c r="A18" s="37" t="s">
        <v>78</v>
      </c>
      <c r="B18" s="38" t="s">
        <v>356</v>
      </c>
      <c r="C18" s="13"/>
      <c r="D18" s="13"/>
      <c r="E18" s="39"/>
      <c r="F18" s="40"/>
      <c r="G18" s="41"/>
      <c r="H18" s="42"/>
      <c r="J18" s="36"/>
      <c r="K18" s="36"/>
      <c r="L18" s="36"/>
    </row>
    <row r="19" spans="1:12" ht="13.05" customHeight="1">
      <c r="A19" s="37"/>
      <c r="B19" s="38"/>
      <c r="C19" s="13"/>
      <c r="D19" s="13"/>
      <c r="E19" s="39"/>
      <c r="F19" s="40"/>
      <c r="G19" s="41"/>
      <c r="H19" s="42"/>
      <c r="J19" s="36"/>
      <c r="K19" s="36"/>
      <c r="L19" s="36"/>
    </row>
    <row r="20" spans="1:12" ht="13.05" customHeight="1">
      <c r="A20" s="44" t="s">
        <v>357</v>
      </c>
      <c r="B20" s="13" t="s">
        <v>358</v>
      </c>
      <c r="C20" s="13"/>
      <c r="D20" s="13"/>
      <c r="E20" s="39" t="s">
        <v>52</v>
      </c>
      <c r="F20" s="40"/>
      <c r="G20" s="41"/>
      <c r="H20" s="42"/>
      <c r="J20" s="69"/>
      <c r="K20" s="69"/>
      <c r="L20" s="69"/>
    </row>
    <row r="21" spans="1:12" ht="13.05" customHeight="1">
      <c r="A21" s="44"/>
      <c r="B21" s="13"/>
      <c r="C21" s="13"/>
      <c r="D21" s="13"/>
      <c r="E21" s="39"/>
      <c r="F21" s="40"/>
      <c r="G21" s="41"/>
      <c r="H21" s="42"/>
      <c r="J21" s="69"/>
      <c r="K21" s="69"/>
      <c r="L21" s="69"/>
    </row>
    <row r="22" spans="1:12" ht="13.05" customHeight="1">
      <c r="A22" s="44" t="s">
        <v>359</v>
      </c>
      <c r="B22" s="13" t="s">
        <v>360</v>
      </c>
      <c r="C22" s="13"/>
      <c r="D22" s="13"/>
      <c r="E22" s="39" t="s">
        <v>46</v>
      </c>
      <c r="F22" s="40"/>
      <c r="G22" s="41"/>
      <c r="H22" s="42"/>
      <c r="J22" s="69"/>
      <c r="K22" s="69"/>
      <c r="L22" s="69"/>
    </row>
    <row r="23" spans="1:12" ht="13.05" customHeight="1">
      <c r="A23" s="37"/>
      <c r="B23" s="72" t="s">
        <v>75</v>
      </c>
      <c r="C23" s="13"/>
      <c r="D23" s="13"/>
      <c r="E23" s="39"/>
      <c r="F23" s="40"/>
      <c r="G23" s="41"/>
      <c r="H23" s="42"/>
      <c r="J23" s="36"/>
      <c r="K23" s="36"/>
      <c r="L23" s="36"/>
    </row>
    <row r="24" spans="1:12" ht="13.05" customHeight="1">
      <c r="A24" s="37"/>
      <c r="B24" s="38"/>
      <c r="C24" s="13"/>
      <c r="D24" s="13"/>
      <c r="E24" s="39"/>
      <c r="F24" s="40"/>
      <c r="G24" s="41"/>
      <c r="H24" s="42"/>
      <c r="J24" s="36"/>
      <c r="K24" s="36"/>
      <c r="L24" s="36"/>
    </row>
    <row r="25" spans="1:12" ht="13.05" customHeight="1">
      <c r="A25" s="37"/>
      <c r="B25" s="38"/>
      <c r="C25" s="13"/>
      <c r="D25" s="13"/>
      <c r="E25" s="39"/>
      <c r="F25" s="40"/>
      <c r="G25" s="41"/>
      <c r="H25" s="42"/>
      <c r="J25" s="36"/>
      <c r="K25" s="36"/>
      <c r="L25" s="36"/>
    </row>
    <row r="26" spans="1:12" ht="13.05" customHeight="1">
      <c r="A26" s="37"/>
      <c r="B26" s="38"/>
      <c r="C26" s="13"/>
      <c r="D26" s="13"/>
      <c r="E26" s="39"/>
      <c r="F26" s="40"/>
      <c r="G26" s="41"/>
      <c r="H26" s="42"/>
      <c r="J26" s="36"/>
      <c r="K26" s="36"/>
      <c r="L26" s="36"/>
    </row>
    <row r="27" spans="1:12" ht="13.05" customHeight="1">
      <c r="A27" s="37"/>
      <c r="B27" s="38"/>
      <c r="C27" s="13"/>
      <c r="D27" s="13"/>
      <c r="E27" s="39"/>
      <c r="F27" s="40"/>
      <c r="G27" s="41"/>
      <c r="H27" s="42"/>
      <c r="J27" s="69"/>
      <c r="K27" s="69"/>
      <c r="L27" s="69"/>
    </row>
    <row r="28" spans="1:12" ht="13.05" customHeight="1">
      <c r="A28" s="37"/>
      <c r="B28" s="38"/>
      <c r="C28" s="13"/>
      <c r="D28" s="13"/>
      <c r="E28" s="39"/>
      <c r="F28" s="40"/>
      <c r="G28" s="41"/>
      <c r="H28" s="42"/>
      <c r="J28" s="69"/>
      <c r="K28" s="69"/>
      <c r="L28" s="69"/>
    </row>
    <row r="29" spans="1:12" ht="13.05" customHeight="1">
      <c r="A29" s="37"/>
      <c r="B29" s="38"/>
      <c r="C29" s="13"/>
      <c r="D29" s="13"/>
      <c r="E29" s="39"/>
      <c r="F29" s="40"/>
      <c r="G29" s="41"/>
      <c r="H29" s="42"/>
      <c r="J29" s="69"/>
      <c r="K29" s="69"/>
      <c r="L29" s="69"/>
    </row>
    <row r="30" spans="1:12" ht="13.05" customHeight="1">
      <c r="A30" s="37"/>
      <c r="B30" s="38"/>
      <c r="C30" s="13"/>
      <c r="D30" s="13"/>
      <c r="E30" s="39"/>
      <c r="F30" s="40"/>
      <c r="G30" s="41"/>
      <c r="H30" s="42"/>
      <c r="J30" s="69"/>
      <c r="K30" s="69"/>
      <c r="L30" s="69"/>
    </row>
    <row r="31" spans="1:12" ht="13.05" customHeight="1">
      <c r="A31" s="37"/>
      <c r="B31" s="38"/>
      <c r="C31" s="13"/>
      <c r="D31" s="13"/>
      <c r="E31" s="39"/>
      <c r="F31" s="40"/>
      <c r="G31" s="41"/>
      <c r="H31" s="42"/>
      <c r="J31" s="69"/>
      <c r="K31" s="69"/>
      <c r="L31" s="69"/>
    </row>
    <row r="32" spans="1:12" ht="13.05" customHeight="1">
      <c r="A32" s="37"/>
      <c r="B32" s="38"/>
      <c r="C32" s="13"/>
      <c r="D32" s="13"/>
      <c r="E32" s="39"/>
      <c r="F32" s="40"/>
      <c r="G32" s="41"/>
      <c r="H32" s="42"/>
      <c r="J32" s="74"/>
      <c r="K32" s="74"/>
      <c r="L32" s="74"/>
    </row>
    <row r="33" spans="1:12" ht="13.05" customHeight="1">
      <c r="A33" s="37"/>
      <c r="B33" s="38"/>
      <c r="C33" s="13"/>
      <c r="D33" s="13"/>
      <c r="E33" s="39"/>
      <c r="F33" s="40"/>
      <c r="G33" s="41"/>
      <c r="H33" s="42"/>
      <c r="J33" s="74"/>
      <c r="K33" s="74"/>
      <c r="L33" s="74"/>
    </row>
    <row r="34" spans="1:12" ht="13.05" customHeight="1">
      <c r="A34" s="37"/>
      <c r="B34" s="38"/>
      <c r="C34" s="13"/>
      <c r="D34" s="13"/>
      <c r="E34" s="39"/>
      <c r="F34" s="40"/>
      <c r="G34" s="41"/>
      <c r="H34" s="42"/>
      <c r="J34" s="74"/>
      <c r="K34" s="74"/>
      <c r="L34" s="74"/>
    </row>
    <row r="35" spans="1:12" ht="13.05" customHeight="1">
      <c r="A35" s="44"/>
      <c r="B35" s="13"/>
      <c r="C35" s="13"/>
      <c r="D35" s="13"/>
      <c r="E35" s="39"/>
      <c r="F35" s="40"/>
      <c r="G35" s="41"/>
      <c r="H35" s="42"/>
      <c r="J35" s="69"/>
      <c r="K35" s="69"/>
      <c r="L35" s="69"/>
    </row>
    <row r="36" spans="1:12" ht="13.05" customHeight="1">
      <c r="A36" s="44" t="s">
        <v>361</v>
      </c>
      <c r="B36" s="13" t="s">
        <v>362</v>
      </c>
      <c r="C36" s="13"/>
      <c r="D36" s="13"/>
      <c r="E36" s="39" t="s">
        <v>363</v>
      </c>
      <c r="F36" s="40"/>
      <c r="G36" s="41"/>
      <c r="H36" s="42"/>
      <c r="J36" s="69"/>
      <c r="K36" s="69"/>
      <c r="L36" s="69"/>
    </row>
    <row r="37" spans="1:12" ht="13.05" customHeight="1">
      <c r="A37" s="44"/>
      <c r="B37" s="13"/>
      <c r="C37" s="13"/>
      <c r="D37" s="13"/>
      <c r="E37" s="39"/>
      <c r="F37" s="40"/>
      <c r="G37" s="41"/>
      <c r="H37" s="42"/>
      <c r="J37" s="69"/>
      <c r="K37" s="69"/>
      <c r="L37" s="69"/>
    </row>
    <row r="38" spans="1:12" ht="13.05" customHeight="1">
      <c r="A38" s="44" t="s">
        <v>364</v>
      </c>
      <c r="B38" s="13" t="s">
        <v>365</v>
      </c>
      <c r="C38" s="13"/>
      <c r="D38" s="13"/>
      <c r="E38" s="39" t="s">
        <v>52</v>
      </c>
      <c r="F38" s="40"/>
      <c r="G38" s="41"/>
      <c r="H38" s="42"/>
      <c r="J38" s="69"/>
      <c r="K38" s="69"/>
      <c r="L38" s="69"/>
    </row>
    <row r="39" spans="1:12" ht="13.05" customHeight="1">
      <c r="A39" s="44"/>
      <c r="B39" s="13"/>
      <c r="C39" s="13"/>
      <c r="D39" s="13"/>
      <c r="E39" s="39"/>
      <c r="F39" s="40"/>
      <c r="G39" s="41"/>
      <c r="H39" s="42"/>
      <c r="J39" s="69"/>
      <c r="K39" s="69"/>
      <c r="L39" s="69"/>
    </row>
    <row r="40" spans="1:12" ht="13.05" customHeight="1">
      <c r="A40" s="44" t="s">
        <v>366</v>
      </c>
      <c r="B40" s="13" t="s">
        <v>367</v>
      </c>
      <c r="C40" s="13"/>
      <c r="D40" s="13"/>
      <c r="E40" s="39"/>
      <c r="F40" s="40"/>
      <c r="G40" s="41"/>
      <c r="H40" s="42"/>
      <c r="J40" s="69"/>
      <c r="K40" s="69"/>
      <c r="L40" s="69"/>
    </row>
    <row r="41" spans="1:12" ht="13.05" customHeight="1">
      <c r="A41" s="44"/>
      <c r="B41" s="13"/>
      <c r="C41" s="13"/>
      <c r="D41" s="13"/>
      <c r="E41" s="39"/>
      <c r="F41" s="40"/>
      <c r="G41" s="41"/>
      <c r="H41" s="42"/>
      <c r="J41" s="69"/>
      <c r="K41" s="69"/>
      <c r="L41" s="69"/>
    </row>
    <row r="42" spans="1:12" ht="13.05" customHeight="1">
      <c r="A42" s="44" t="s">
        <v>368</v>
      </c>
      <c r="B42" s="13" t="s">
        <v>369</v>
      </c>
      <c r="C42" s="13"/>
      <c r="D42" s="13"/>
      <c r="E42" s="39"/>
      <c r="F42" s="40"/>
      <c r="G42" s="41"/>
      <c r="H42" s="42"/>
      <c r="J42" s="74"/>
      <c r="K42" s="74"/>
      <c r="L42" s="74"/>
    </row>
    <row r="43" spans="1:12" ht="13.05" customHeight="1">
      <c r="A43" s="44"/>
      <c r="B43" s="13"/>
      <c r="C43" s="13" t="s">
        <v>370</v>
      </c>
      <c r="D43" s="13"/>
      <c r="E43" s="39" t="s">
        <v>123</v>
      </c>
      <c r="F43" s="40"/>
      <c r="G43" s="41"/>
      <c r="H43" s="42"/>
      <c r="J43" s="74"/>
      <c r="K43" s="74"/>
      <c r="L43" s="74"/>
    </row>
    <row r="44" spans="1:12" ht="13.05" customHeight="1">
      <c r="A44" s="44"/>
      <c r="B44" s="13"/>
      <c r="C44" s="13" t="s">
        <v>371</v>
      </c>
      <c r="D44" s="13"/>
      <c r="E44" s="39" t="s">
        <v>123</v>
      </c>
      <c r="F44" s="40"/>
      <c r="G44" s="41"/>
      <c r="H44" s="42"/>
      <c r="J44" s="74"/>
      <c r="K44" s="74"/>
      <c r="L44" s="74"/>
    </row>
    <row r="45" spans="1:12" ht="13.05" customHeight="1">
      <c r="A45" s="44"/>
      <c r="B45" s="13"/>
      <c r="C45" s="13" t="s">
        <v>372</v>
      </c>
      <c r="D45" s="13"/>
      <c r="E45" s="39" t="s">
        <v>123</v>
      </c>
      <c r="F45" s="40"/>
      <c r="G45" s="41"/>
      <c r="H45" s="42"/>
      <c r="J45" s="74"/>
      <c r="K45" s="74"/>
      <c r="L45" s="74"/>
    </row>
    <row r="46" spans="1:12" ht="13.05" customHeight="1">
      <c r="A46" s="44"/>
      <c r="B46" s="13"/>
      <c r="C46" s="13"/>
      <c r="D46" s="13"/>
      <c r="E46" s="39"/>
      <c r="F46" s="40"/>
      <c r="G46" s="41"/>
      <c r="H46" s="42"/>
      <c r="J46" s="74"/>
      <c r="K46" s="74"/>
      <c r="L46" s="74"/>
    </row>
    <row r="47" spans="1:12" ht="13.05" customHeight="1">
      <c r="A47" s="44" t="s">
        <v>373</v>
      </c>
      <c r="B47" s="13" t="s">
        <v>374</v>
      </c>
      <c r="C47" s="13"/>
      <c r="D47" s="13"/>
      <c r="E47" s="39"/>
      <c r="F47" s="40"/>
      <c r="G47" s="41"/>
      <c r="H47" s="42"/>
      <c r="J47" s="74"/>
      <c r="K47" s="74"/>
      <c r="L47" s="74"/>
    </row>
    <row r="48" spans="1:12" ht="13.05" customHeight="1">
      <c r="A48" s="44"/>
      <c r="B48" s="13"/>
      <c r="C48" s="13" t="s">
        <v>375</v>
      </c>
      <c r="D48" s="13"/>
      <c r="E48" s="39" t="s">
        <v>123</v>
      </c>
      <c r="F48" s="40"/>
      <c r="G48" s="41"/>
      <c r="H48" s="42"/>
      <c r="J48" s="74"/>
      <c r="K48" s="74"/>
      <c r="L48" s="74"/>
    </row>
    <row r="49" spans="1:12" ht="13.05" customHeight="1">
      <c r="A49" s="44"/>
      <c r="B49" s="13"/>
      <c r="C49" s="13" t="s">
        <v>376</v>
      </c>
      <c r="D49" s="13"/>
      <c r="E49" s="39" t="s">
        <v>93</v>
      </c>
      <c r="F49" s="40"/>
      <c r="G49" s="41"/>
      <c r="H49" s="42"/>
      <c r="J49" s="74"/>
      <c r="K49" s="74"/>
      <c r="L49" s="74"/>
    </row>
    <row r="50" spans="1:12" ht="13.05" customHeight="1">
      <c r="A50" s="44"/>
      <c r="B50" s="13"/>
      <c r="C50" s="13"/>
      <c r="D50" s="13"/>
      <c r="E50" s="39"/>
      <c r="F50" s="40"/>
      <c r="G50" s="41"/>
      <c r="H50" s="42"/>
      <c r="J50" s="74"/>
      <c r="K50" s="74"/>
      <c r="L50" s="74"/>
    </row>
    <row r="51" spans="1:12" ht="13.05" customHeight="1">
      <c r="A51" s="44" t="s">
        <v>377</v>
      </c>
      <c r="B51" s="13" t="s">
        <v>378</v>
      </c>
      <c r="C51" s="13"/>
      <c r="D51" s="13"/>
      <c r="E51" s="39" t="s">
        <v>93</v>
      </c>
      <c r="F51" s="40"/>
      <c r="G51" s="41"/>
      <c r="H51" s="42"/>
      <c r="J51" s="69"/>
      <c r="K51" s="69"/>
      <c r="L51" s="69"/>
    </row>
    <row r="52" spans="1:12" ht="13.05" customHeight="1">
      <c r="A52" s="37"/>
      <c r="B52" s="72" t="s">
        <v>75</v>
      </c>
      <c r="C52" s="13"/>
      <c r="D52" s="13"/>
      <c r="E52" s="39"/>
      <c r="F52" s="40"/>
      <c r="G52" s="41"/>
      <c r="H52" s="42"/>
      <c r="J52" s="36"/>
      <c r="K52" s="36"/>
      <c r="L52" s="36"/>
    </row>
    <row r="53" spans="1:12" ht="13.05" customHeight="1">
      <c r="A53" s="37"/>
      <c r="B53" s="38"/>
      <c r="C53" s="13"/>
      <c r="D53" s="13"/>
      <c r="E53" s="39"/>
      <c r="F53" s="40"/>
      <c r="G53" s="41"/>
      <c r="H53" s="42"/>
      <c r="J53" s="36"/>
      <c r="K53" s="36"/>
      <c r="L53" s="36"/>
    </row>
    <row r="54" spans="1:12" ht="13.05" customHeight="1">
      <c r="A54" s="37"/>
      <c r="B54" s="38"/>
      <c r="C54" s="13"/>
      <c r="D54" s="13"/>
      <c r="E54" s="39"/>
      <c r="F54" s="40"/>
      <c r="G54" s="41"/>
      <c r="H54" s="42"/>
      <c r="J54" s="36"/>
      <c r="K54" s="36"/>
      <c r="L54" s="36"/>
    </row>
    <row r="55" spans="1:12" ht="13.05" customHeight="1">
      <c r="A55" s="37"/>
      <c r="B55" s="38"/>
      <c r="C55" s="13"/>
      <c r="D55" s="13"/>
      <c r="E55" s="39"/>
      <c r="F55" s="40"/>
      <c r="G55" s="41"/>
      <c r="H55" s="42"/>
      <c r="J55" s="36"/>
      <c r="K55" s="36"/>
      <c r="L55" s="36"/>
    </row>
    <row r="56" spans="1:12" ht="13.05" customHeight="1">
      <c r="A56" s="37"/>
      <c r="B56" s="38"/>
      <c r="C56" s="13"/>
      <c r="D56" s="13"/>
      <c r="E56" s="39"/>
      <c r="F56" s="40"/>
      <c r="G56" s="41"/>
      <c r="H56" s="42"/>
      <c r="J56" s="69"/>
      <c r="K56" s="69"/>
      <c r="L56" s="69"/>
    </row>
    <row r="57" spans="1:12" ht="13.05" customHeight="1">
      <c r="A57" s="37"/>
      <c r="B57" s="38"/>
      <c r="C57" s="13"/>
      <c r="D57" s="13"/>
      <c r="E57" s="39"/>
      <c r="F57" s="40"/>
      <c r="G57" s="41"/>
      <c r="H57" s="42"/>
      <c r="J57" s="69"/>
      <c r="K57" s="69"/>
      <c r="L57" s="69"/>
    </row>
    <row r="58" spans="1:12" ht="13.05" customHeight="1">
      <c r="A58" s="37"/>
      <c r="B58" s="38"/>
      <c r="C58" s="13"/>
      <c r="D58" s="13"/>
      <c r="E58" s="39"/>
      <c r="F58" s="40"/>
      <c r="G58" s="41"/>
      <c r="H58" s="42"/>
      <c r="J58" s="69"/>
      <c r="K58" s="69"/>
      <c r="L58" s="69"/>
    </row>
    <row r="59" spans="1:12" ht="13.05" customHeight="1">
      <c r="A59" s="37"/>
      <c r="B59" s="38"/>
      <c r="C59" s="13"/>
      <c r="D59" s="13"/>
      <c r="E59" s="39"/>
      <c r="F59" s="40"/>
      <c r="G59" s="41"/>
      <c r="H59" s="42"/>
      <c r="J59" s="69"/>
      <c r="K59" s="69"/>
      <c r="L59" s="69"/>
    </row>
    <row r="60" spans="1:12" ht="13.05" customHeight="1">
      <c r="A60" s="37"/>
      <c r="B60" s="38"/>
      <c r="C60" s="13"/>
      <c r="D60" s="13"/>
      <c r="E60" s="39"/>
      <c r="F60" s="40"/>
      <c r="G60" s="41"/>
      <c r="H60" s="42"/>
      <c r="J60" s="69"/>
      <c r="K60" s="69"/>
      <c r="L60" s="69"/>
    </row>
    <row r="61" spans="1:12" ht="13.05" customHeight="1">
      <c r="A61" s="37"/>
      <c r="B61" s="38"/>
      <c r="C61" s="13"/>
      <c r="D61" s="13"/>
      <c r="E61" s="39"/>
      <c r="F61" s="40"/>
      <c r="G61" s="41"/>
      <c r="H61" s="42"/>
      <c r="J61" s="74"/>
      <c r="K61" s="74"/>
      <c r="L61" s="74"/>
    </row>
    <row r="62" spans="1:12" ht="13.05" customHeight="1">
      <c r="A62" s="37"/>
      <c r="B62" s="38"/>
      <c r="C62" s="13"/>
      <c r="D62" s="13"/>
      <c r="E62" s="39"/>
      <c r="F62" s="40"/>
      <c r="G62" s="41"/>
      <c r="H62" s="42"/>
      <c r="J62" s="74"/>
      <c r="K62" s="74"/>
      <c r="L62" s="74"/>
    </row>
    <row r="63" spans="1:12" ht="13.05" customHeight="1">
      <c r="A63" s="37"/>
      <c r="B63" s="38"/>
      <c r="C63" s="13"/>
      <c r="D63" s="13"/>
      <c r="E63" s="39"/>
      <c r="F63" s="40"/>
      <c r="G63" s="41"/>
      <c r="H63" s="42"/>
      <c r="J63" s="74"/>
      <c r="K63" s="74"/>
      <c r="L63" s="74"/>
    </row>
    <row r="64" spans="1:12" ht="13.05" customHeight="1">
      <c r="A64" s="44"/>
      <c r="B64" s="13"/>
      <c r="C64" s="13"/>
      <c r="D64" s="13"/>
      <c r="E64" s="39"/>
      <c r="F64" s="40"/>
      <c r="G64" s="41"/>
      <c r="H64" s="42"/>
      <c r="J64" s="69"/>
      <c r="K64" s="69"/>
      <c r="L64" s="69"/>
    </row>
    <row r="65" spans="1:12" ht="13.05" customHeight="1">
      <c r="A65" s="44" t="s">
        <v>379</v>
      </c>
      <c r="B65" s="13" t="s">
        <v>380</v>
      </c>
      <c r="C65" s="13"/>
      <c r="D65" s="13"/>
      <c r="E65" s="39" t="s">
        <v>123</v>
      </c>
      <c r="F65" s="40"/>
      <c r="G65" s="41"/>
      <c r="H65" s="42"/>
      <c r="J65" s="69"/>
      <c r="K65" s="69"/>
      <c r="L65" s="69"/>
    </row>
    <row r="66" spans="1:12" ht="13.05" customHeight="1">
      <c r="A66" s="37"/>
      <c r="B66" s="72" t="s">
        <v>75</v>
      </c>
      <c r="C66" s="13"/>
      <c r="D66" s="13"/>
      <c r="E66" s="39"/>
      <c r="F66" s="40"/>
      <c r="G66" s="41"/>
      <c r="H66" s="42"/>
      <c r="J66" s="36"/>
      <c r="K66" s="36"/>
      <c r="L66" s="36"/>
    </row>
    <row r="67" spans="1:12" ht="13.05" customHeight="1">
      <c r="A67" s="37"/>
      <c r="B67" s="38"/>
      <c r="C67" s="13"/>
      <c r="D67" s="13"/>
      <c r="E67" s="39"/>
      <c r="F67" s="40"/>
      <c r="G67" s="41"/>
      <c r="H67" s="42"/>
      <c r="J67" s="36"/>
      <c r="K67" s="36"/>
      <c r="L67" s="36"/>
    </row>
    <row r="68" spans="1:12" ht="13.05" customHeight="1">
      <c r="A68" s="37"/>
      <c r="B68" s="38"/>
      <c r="C68" s="13"/>
      <c r="D68" s="13"/>
      <c r="E68" s="39"/>
      <c r="F68" s="40"/>
      <c r="G68" s="41"/>
      <c r="H68" s="42"/>
      <c r="J68" s="36"/>
      <c r="K68" s="36"/>
      <c r="L68" s="36"/>
    </row>
    <row r="69" spans="1:12" ht="13.05" customHeight="1">
      <c r="A69" s="37"/>
      <c r="B69" s="38"/>
      <c r="C69" s="13"/>
      <c r="D69" s="13"/>
      <c r="E69" s="39"/>
      <c r="F69" s="40"/>
      <c r="G69" s="41"/>
      <c r="H69" s="42"/>
      <c r="J69" s="36"/>
      <c r="K69" s="36"/>
      <c r="L69" s="36"/>
    </row>
    <row r="70" spans="1:12" ht="13.05" customHeight="1">
      <c r="A70" s="37"/>
      <c r="B70" s="38"/>
      <c r="C70" s="13"/>
      <c r="D70" s="13"/>
      <c r="E70" s="39"/>
      <c r="F70" s="40"/>
      <c r="G70" s="41"/>
      <c r="H70" s="42"/>
      <c r="J70" s="69"/>
      <c r="K70" s="69"/>
      <c r="L70" s="69"/>
    </row>
    <row r="71" spans="1:12" ht="13.05" customHeight="1">
      <c r="A71" s="37"/>
      <c r="B71" s="38"/>
      <c r="C71" s="13"/>
      <c r="D71" s="13"/>
      <c r="E71" s="39"/>
      <c r="F71" s="40"/>
      <c r="G71" s="41"/>
      <c r="H71" s="42"/>
      <c r="J71" s="69"/>
      <c r="K71" s="69"/>
      <c r="L71" s="69"/>
    </row>
    <row r="72" spans="1:12" ht="13.05" customHeight="1">
      <c r="A72" s="37"/>
      <c r="B72" s="38"/>
      <c r="C72" s="13"/>
      <c r="D72" s="13"/>
      <c r="E72" s="39"/>
      <c r="F72" s="40"/>
      <c r="G72" s="41"/>
      <c r="H72" s="42"/>
      <c r="J72" s="69"/>
      <c r="K72" s="69"/>
      <c r="L72" s="69"/>
    </row>
    <row r="73" spans="1:12" ht="13.05" customHeight="1">
      <c r="A73" s="37"/>
      <c r="B73" s="38"/>
      <c r="C73" s="13"/>
      <c r="D73" s="13"/>
      <c r="E73" s="39"/>
      <c r="F73" s="40"/>
      <c r="G73" s="41"/>
      <c r="H73" s="42"/>
      <c r="J73" s="69"/>
      <c r="K73" s="69"/>
      <c r="L73" s="69"/>
    </row>
    <row r="74" spans="1:12" ht="13.05" customHeight="1">
      <c r="A74" s="37"/>
      <c r="B74" s="38"/>
      <c r="C74" s="13"/>
      <c r="D74" s="13"/>
      <c r="E74" s="39"/>
      <c r="F74" s="40"/>
      <c r="G74" s="41"/>
      <c r="H74" s="42"/>
      <c r="J74" s="69"/>
      <c r="K74" s="69"/>
      <c r="L74" s="69"/>
    </row>
    <row r="75" spans="1:12" ht="13.05" customHeight="1">
      <c r="A75" s="37"/>
      <c r="B75" s="38"/>
      <c r="C75" s="13"/>
      <c r="D75" s="13"/>
      <c r="E75" s="39"/>
      <c r="F75" s="40"/>
      <c r="G75" s="41"/>
      <c r="H75" s="42"/>
      <c r="J75" s="74"/>
      <c r="K75" s="74"/>
      <c r="L75" s="74"/>
    </row>
    <row r="76" spans="1:12" ht="13.05" customHeight="1">
      <c r="A76" s="37"/>
      <c r="B76" s="38"/>
      <c r="C76" s="13"/>
      <c r="D76" s="13"/>
      <c r="E76" s="39"/>
      <c r="F76" s="40"/>
      <c r="G76" s="41"/>
      <c r="H76" s="42"/>
      <c r="J76" s="74"/>
      <c r="K76" s="74"/>
      <c r="L76" s="74"/>
    </row>
    <row r="77" spans="1:12" ht="13.05" customHeight="1">
      <c r="A77" s="37"/>
      <c r="B77" s="38"/>
      <c r="C77" s="13"/>
      <c r="D77" s="13"/>
      <c r="E77" s="39"/>
      <c r="F77" s="40"/>
      <c r="G77" s="41"/>
      <c r="H77" s="42"/>
      <c r="J77" s="74"/>
      <c r="K77" s="74"/>
      <c r="L77" s="74"/>
    </row>
    <row r="78" spans="1:12" ht="13.05" customHeight="1">
      <c r="A78" s="44"/>
      <c r="B78" s="13"/>
      <c r="C78" s="13"/>
      <c r="D78" s="13"/>
      <c r="E78" s="39"/>
      <c r="F78" s="40"/>
      <c r="G78" s="41"/>
      <c r="H78" s="42"/>
      <c r="J78" s="69"/>
      <c r="K78" s="69"/>
      <c r="L78" s="69"/>
    </row>
    <row r="79" spans="1:12" ht="13.05" customHeight="1">
      <c r="A79" s="44" t="s">
        <v>381</v>
      </c>
      <c r="B79" s="13" t="s">
        <v>382</v>
      </c>
      <c r="C79" s="13"/>
      <c r="D79" s="13"/>
      <c r="E79" s="39"/>
      <c r="F79" s="40"/>
      <c r="G79" s="41"/>
      <c r="H79" s="42"/>
      <c r="J79" s="69"/>
      <c r="K79" s="69"/>
      <c r="L79" s="69"/>
    </row>
    <row r="80" spans="1:12" ht="13.05" customHeight="1">
      <c r="A80" s="44"/>
      <c r="B80" s="13"/>
      <c r="C80" s="13"/>
      <c r="D80" s="13"/>
      <c r="E80" s="39"/>
      <c r="F80" s="40"/>
      <c r="G80" s="41"/>
      <c r="H80" s="42"/>
      <c r="J80" s="69"/>
      <c r="K80" s="69"/>
      <c r="L80" s="69"/>
    </row>
    <row r="81" spans="1:12" ht="13.05" customHeight="1">
      <c r="A81" s="44" t="s">
        <v>383</v>
      </c>
      <c r="B81" s="13" t="s">
        <v>384</v>
      </c>
      <c r="C81" s="13"/>
      <c r="D81" s="13"/>
      <c r="E81" s="39" t="s">
        <v>93</v>
      </c>
      <c r="F81" s="40"/>
      <c r="G81" s="41"/>
      <c r="H81" s="42"/>
      <c r="J81" s="74"/>
      <c r="K81" s="74"/>
      <c r="L81" s="74"/>
    </row>
    <row r="82" spans="1:12" ht="13.05" customHeight="1">
      <c r="A82" s="44"/>
      <c r="B82" s="13"/>
      <c r="C82" s="13"/>
      <c r="D82" s="13"/>
      <c r="E82" s="39"/>
      <c r="F82" s="40"/>
      <c r="G82" s="41"/>
      <c r="H82" s="42"/>
      <c r="J82" s="74"/>
      <c r="K82" s="74"/>
      <c r="L82" s="74"/>
    </row>
    <row r="83" spans="1:12" ht="13.05" customHeight="1">
      <c r="A83" s="44" t="s">
        <v>385</v>
      </c>
      <c r="B83" s="13" t="s">
        <v>386</v>
      </c>
      <c r="C83" s="13"/>
      <c r="D83" s="13"/>
      <c r="E83" s="39" t="s">
        <v>123</v>
      </c>
      <c r="F83" s="40"/>
      <c r="G83" s="41"/>
      <c r="H83" s="42"/>
      <c r="J83" s="74"/>
      <c r="K83" s="74"/>
      <c r="L83" s="74"/>
    </row>
    <row r="84" spans="1:12" ht="13.05" customHeight="1">
      <c r="A84" s="44"/>
      <c r="B84" s="13"/>
      <c r="C84" s="13"/>
      <c r="D84" s="13"/>
      <c r="E84" s="39"/>
      <c r="F84" s="40"/>
      <c r="G84" s="41"/>
      <c r="H84" s="42"/>
      <c r="J84" s="74"/>
      <c r="K84" s="74"/>
      <c r="L84" s="74"/>
    </row>
    <row r="85" spans="1:12" ht="13.05" customHeight="1">
      <c r="A85" s="44" t="s">
        <v>387</v>
      </c>
      <c r="B85" s="13" t="s">
        <v>388</v>
      </c>
      <c r="C85" s="13"/>
      <c r="D85" s="13"/>
      <c r="E85" s="39" t="s">
        <v>123</v>
      </c>
      <c r="F85" s="40"/>
      <c r="G85" s="41"/>
      <c r="H85" s="42"/>
      <c r="J85" s="74"/>
      <c r="K85" s="74"/>
      <c r="L85" s="74"/>
    </row>
    <row r="86" spans="1:12" ht="13.05" customHeight="1">
      <c r="A86" s="44"/>
      <c r="B86" s="13"/>
      <c r="C86" s="13"/>
      <c r="D86" s="13"/>
      <c r="E86" s="39"/>
      <c r="F86" s="40"/>
      <c r="G86" s="41"/>
      <c r="H86" s="42"/>
      <c r="J86" s="74"/>
      <c r="K86" s="74"/>
      <c r="L86" s="74"/>
    </row>
    <row r="87" spans="1:12" ht="13.05" customHeight="1">
      <c r="A87" s="44" t="s">
        <v>389</v>
      </c>
      <c r="B87" s="13" t="s">
        <v>390</v>
      </c>
      <c r="C87" s="13"/>
      <c r="D87" s="13"/>
      <c r="E87" s="39" t="s">
        <v>93</v>
      </c>
      <c r="F87" s="40"/>
      <c r="G87" s="41"/>
      <c r="H87" s="42"/>
      <c r="J87" s="69"/>
      <c r="K87" s="69"/>
      <c r="L87" s="69"/>
    </row>
    <row r="88" spans="1:12" ht="13.05" customHeight="1">
      <c r="A88" s="44"/>
      <c r="B88" s="13"/>
      <c r="C88" s="13"/>
      <c r="D88" s="13"/>
      <c r="E88" s="39"/>
      <c r="F88" s="40"/>
      <c r="G88" s="41"/>
      <c r="H88" s="42"/>
      <c r="J88" s="69"/>
      <c r="K88" s="69"/>
      <c r="L88" s="69"/>
    </row>
    <row r="89" spans="1:12" ht="13.05" customHeight="1">
      <c r="A89" s="44" t="s">
        <v>391</v>
      </c>
      <c r="B89" s="13" t="s">
        <v>392</v>
      </c>
      <c r="C89" s="13"/>
      <c r="D89" s="13"/>
      <c r="E89" s="39" t="s">
        <v>106</v>
      </c>
      <c r="F89" s="40"/>
      <c r="G89" s="41"/>
      <c r="H89" s="42"/>
      <c r="J89" s="69"/>
      <c r="K89" s="69"/>
      <c r="L89" s="69"/>
    </row>
    <row r="90" spans="1:12" ht="13.05" customHeight="1">
      <c r="A90" s="44"/>
      <c r="B90" s="13"/>
      <c r="C90" s="13"/>
      <c r="D90" s="13"/>
      <c r="E90" s="39"/>
      <c r="F90" s="40"/>
      <c r="G90" s="41"/>
      <c r="H90" s="42"/>
      <c r="J90" s="69"/>
      <c r="K90" s="69"/>
      <c r="L90" s="69"/>
    </row>
    <row r="91" spans="1:12" ht="13.05" customHeight="1">
      <c r="A91" s="44" t="s">
        <v>393</v>
      </c>
      <c r="B91" s="13" t="s">
        <v>394</v>
      </c>
      <c r="C91" s="13"/>
      <c r="D91" s="13"/>
      <c r="E91" s="39" t="s">
        <v>46</v>
      </c>
      <c r="F91" s="40"/>
      <c r="G91" s="41"/>
      <c r="H91" s="42"/>
      <c r="J91" s="69"/>
      <c r="K91" s="69"/>
      <c r="L91" s="69"/>
    </row>
    <row r="92" spans="1:12" ht="13.05" customHeight="1">
      <c r="A92" s="44"/>
      <c r="B92" s="13"/>
      <c r="C92" s="13"/>
      <c r="D92" s="13"/>
      <c r="E92" s="39"/>
      <c r="F92" s="40"/>
      <c r="G92" s="41"/>
      <c r="H92" s="42"/>
      <c r="J92" s="69"/>
      <c r="K92" s="69"/>
      <c r="L92" s="69"/>
    </row>
    <row r="93" spans="1:12" ht="13.05" customHeight="1">
      <c r="A93" s="37" t="s">
        <v>81</v>
      </c>
      <c r="B93" s="38" t="s">
        <v>395</v>
      </c>
      <c r="C93" s="13"/>
      <c r="D93" s="13"/>
      <c r="E93" s="39"/>
      <c r="F93" s="40"/>
      <c r="G93" s="41"/>
      <c r="H93" s="42"/>
      <c r="J93" s="36"/>
      <c r="K93" s="36"/>
      <c r="L93" s="36"/>
    </row>
    <row r="94" spans="1:12" ht="13.05" customHeight="1">
      <c r="A94" s="37"/>
      <c r="B94" s="38"/>
      <c r="C94" s="13"/>
      <c r="D94" s="13"/>
      <c r="E94" s="39"/>
      <c r="F94" s="40"/>
      <c r="G94" s="41"/>
      <c r="H94" s="42"/>
      <c r="J94" s="36"/>
      <c r="K94" s="36"/>
      <c r="L94" s="36"/>
    </row>
    <row r="95" spans="1:12" ht="13.05" customHeight="1">
      <c r="A95" s="44" t="s">
        <v>396</v>
      </c>
      <c r="B95" s="13" t="s">
        <v>397</v>
      </c>
      <c r="C95" s="13"/>
      <c r="D95" s="13"/>
      <c r="E95" s="39" t="s">
        <v>363</v>
      </c>
      <c r="F95" s="40"/>
      <c r="G95" s="41"/>
      <c r="H95" s="42"/>
      <c r="J95" s="69"/>
      <c r="K95" s="69"/>
      <c r="L95" s="69"/>
    </row>
    <row r="96" spans="1:12" ht="13.05" customHeight="1">
      <c r="A96" s="44"/>
      <c r="B96" s="13"/>
      <c r="C96" s="13"/>
      <c r="D96" s="13"/>
      <c r="E96" s="39"/>
      <c r="F96" s="40"/>
      <c r="G96" s="41"/>
      <c r="H96" s="42"/>
      <c r="J96" s="69"/>
      <c r="K96" s="69"/>
      <c r="L96" s="69"/>
    </row>
    <row r="97" spans="1:12" ht="13.05" customHeight="1">
      <c r="A97" s="44" t="s">
        <v>398</v>
      </c>
      <c r="B97" s="13" t="s">
        <v>399</v>
      </c>
      <c r="C97" s="13"/>
      <c r="D97" s="13"/>
      <c r="E97" s="39" t="s">
        <v>363</v>
      </c>
      <c r="F97" s="40"/>
      <c r="G97" s="41"/>
      <c r="H97" s="42"/>
      <c r="J97" s="69"/>
      <c r="K97" s="69"/>
      <c r="L97" s="69"/>
    </row>
    <row r="98" spans="1:12" ht="13.05" customHeight="1">
      <c r="A98" s="44"/>
      <c r="B98" s="13"/>
      <c r="C98" s="13"/>
      <c r="D98" s="13"/>
      <c r="E98" s="39"/>
      <c r="F98" s="40"/>
      <c r="G98" s="41"/>
      <c r="H98" s="42"/>
      <c r="J98" s="69"/>
      <c r="K98" s="69"/>
      <c r="L98" s="69"/>
    </row>
    <row r="99" spans="1:12" ht="13.05" customHeight="1">
      <c r="A99" s="44" t="s">
        <v>400</v>
      </c>
      <c r="B99" s="13" t="s">
        <v>358</v>
      </c>
      <c r="C99" s="13"/>
      <c r="D99" s="13"/>
      <c r="E99" s="39" t="s">
        <v>52</v>
      </c>
      <c r="F99" s="40"/>
      <c r="G99" s="41"/>
      <c r="H99" s="42"/>
      <c r="J99" s="69"/>
      <c r="K99" s="69"/>
      <c r="L99" s="69"/>
    </row>
    <row r="100" spans="1:12" ht="13.05" customHeight="1">
      <c r="A100" s="44"/>
      <c r="B100" s="13"/>
      <c r="C100" s="13"/>
      <c r="D100" s="13"/>
      <c r="E100" s="39"/>
      <c r="F100" s="40"/>
      <c r="G100" s="41"/>
      <c r="H100" s="42"/>
      <c r="J100" s="69"/>
      <c r="K100" s="69"/>
      <c r="L100" s="69"/>
    </row>
    <row r="101" spans="1:12" ht="13.05" customHeight="1">
      <c r="A101" s="44" t="s">
        <v>401</v>
      </c>
      <c r="B101" s="13" t="s">
        <v>402</v>
      </c>
      <c r="C101" s="13"/>
      <c r="D101" s="13"/>
      <c r="E101" s="39" t="s">
        <v>52</v>
      </c>
      <c r="F101" s="40"/>
      <c r="G101" s="41"/>
      <c r="H101" s="42"/>
      <c r="J101" s="69"/>
      <c r="K101" s="69"/>
      <c r="L101" s="69"/>
    </row>
    <row r="102" spans="1:12" ht="13.05" customHeight="1">
      <c r="A102" s="44"/>
      <c r="B102" s="13"/>
      <c r="C102" s="13"/>
      <c r="D102" s="13"/>
      <c r="E102" s="39"/>
      <c r="F102" s="40"/>
      <c r="G102" s="41"/>
      <c r="H102" s="42"/>
      <c r="J102" s="69"/>
      <c r="K102" s="69"/>
      <c r="L102" s="69"/>
    </row>
    <row r="103" spans="1:12" ht="13.05" customHeight="1">
      <c r="A103" s="44" t="s">
        <v>403</v>
      </c>
      <c r="B103" s="13" t="s">
        <v>404</v>
      </c>
      <c r="C103" s="13"/>
      <c r="D103" s="13"/>
      <c r="E103" s="39" t="s">
        <v>106</v>
      </c>
      <c r="F103" s="40"/>
      <c r="G103" s="41"/>
      <c r="H103" s="42"/>
      <c r="J103" s="69"/>
      <c r="K103" s="69"/>
      <c r="L103" s="69"/>
    </row>
    <row r="104" spans="1:12" ht="13.05" customHeight="1">
      <c r="A104" s="44"/>
      <c r="B104" s="13"/>
      <c r="C104" s="13"/>
      <c r="D104" s="13"/>
      <c r="E104" s="39"/>
      <c r="F104" s="40"/>
      <c r="G104" s="41"/>
      <c r="H104" s="42"/>
      <c r="J104" s="69"/>
      <c r="K104" s="69"/>
      <c r="L104" s="69"/>
    </row>
    <row r="105" spans="1:12" ht="13.05" customHeight="1">
      <c r="A105" s="44" t="s">
        <v>405</v>
      </c>
      <c r="B105" s="13" t="s">
        <v>406</v>
      </c>
      <c r="C105" s="13"/>
      <c r="D105" s="13"/>
      <c r="E105" s="39" t="s">
        <v>52</v>
      </c>
      <c r="F105" s="40"/>
      <c r="G105" s="41"/>
      <c r="H105" s="42"/>
      <c r="J105" s="69"/>
      <c r="K105" s="69"/>
      <c r="L105" s="69"/>
    </row>
    <row r="106" spans="1:12" ht="13.05" customHeight="1">
      <c r="A106" s="44"/>
      <c r="B106" s="13"/>
      <c r="C106" s="13"/>
      <c r="D106" s="13"/>
      <c r="E106" s="39"/>
      <c r="F106" s="40"/>
      <c r="G106" s="41"/>
      <c r="H106" s="42"/>
      <c r="J106" s="69"/>
      <c r="K106" s="69"/>
      <c r="L106" s="69"/>
    </row>
    <row r="107" spans="1:12" ht="13.05" customHeight="1">
      <c r="A107" s="44" t="s">
        <v>407</v>
      </c>
      <c r="B107" s="13" t="s">
        <v>408</v>
      </c>
      <c r="C107" s="13"/>
      <c r="D107" s="13"/>
      <c r="E107" s="39"/>
      <c r="F107" s="40"/>
      <c r="G107" s="41"/>
      <c r="H107" s="42"/>
      <c r="J107" s="69"/>
      <c r="K107" s="69"/>
      <c r="L107" s="69"/>
    </row>
    <row r="108" spans="1:12" ht="13.05" customHeight="1">
      <c r="A108" s="44"/>
      <c r="B108" s="13"/>
      <c r="C108" s="13"/>
      <c r="D108" s="13"/>
      <c r="E108" s="39"/>
      <c r="F108" s="40"/>
      <c r="G108" s="41"/>
      <c r="H108" s="42"/>
      <c r="J108" s="69"/>
      <c r="K108" s="69"/>
      <c r="L108" s="69"/>
    </row>
    <row r="109" spans="1:12" ht="13.05" customHeight="1">
      <c r="A109" s="44" t="s">
        <v>409</v>
      </c>
      <c r="B109" s="13" t="s">
        <v>410</v>
      </c>
      <c r="C109" s="13"/>
      <c r="D109" s="13"/>
      <c r="E109" s="39"/>
      <c r="F109" s="40"/>
      <c r="G109" s="41"/>
      <c r="H109" s="42"/>
      <c r="J109" s="69"/>
      <c r="K109" s="69"/>
      <c r="L109" s="69"/>
    </row>
    <row r="110" spans="1:12" ht="13.05" customHeight="1">
      <c r="A110" s="44"/>
      <c r="B110" s="13"/>
      <c r="C110" s="13"/>
      <c r="D110" s="13"/>
      <c r="E110" s="39"/>
      <c r="F110" s="40"/>
      <c r="G110" s="41"/>
      <c r="H110" s="42"/>
      <c r="J110" s="69"/>
      <c r="K110" s="69"/>
      <c r="L110" s="69"/>
    </row>
    <row r="111" spans="1:12" ht="13.05" customHeight="1">
      <c r="A111" s="44" t="s">
        <v>411</v>
      </c>
      <c r="B111" s="13" t="s">
        <v>412</v>
      </c>
      <c r="C111" s="13"/>
      <c r="D111" s="13"/>
      <c r="E111" s="39" t="s">
        <v>123</v>
      </c>
      <c r="F111" s="40"/>
      <c r="G111" s="41"/>
      <c r="H111" s="42"/>
      <c r="J111" s="74"/>
      <c r="K111" s="74"/>
      <c r="L111" s="74"/>
    </row>
    <row r="112" spans="1:12" ht="13.05" customHeight="1">
      <c r="A112" s="44"/>
      <c r="B112" s="13"/>
      <c r="C112" s="13"/>
      <c r="D112" s="13"/>
      <c r="E112" s="39"/>
      <c r="F112" s="40"/>
      <c r="G112" s="41"/>
      <c r="H112" s="42"/>
      <c r="J112" s="74"/>
      <c r="K112" s="74"/>
      <c r="L112" s="74"/>
    </row>
    <row r="113" spans="1:12" ht="13.05" customHeight="1">
      <c r="A113" s="44" t="s">
        <v>413</v>
      </c>
      <c r="B113" s="13" t="s">
        <v>414</v>
      </c>
      <c r="C113" s="13"/>
      <c r="D113" s="13"/>
      <c r="E113" s="39" t="s">
        <v>93</v>
      </c>
      <c r="F113" s="40"/>
      <c r="G113" s="41"/>
      <c r="H113" s="42"/>
      <c r="J113" s="74"/>
      <c r="K113" s="74"/>
      <c r="L113" s="74"/>
    </row>
    <row r="114" spans="1:12" ht="13.05" customHeight="1">
      <c r="A114" s="44"/>
      <c r="B114" s="13"/>
      <c r="C114" s="13"/>
      <c r="D114" s="13"/>
      <c r="E114" s="39"/>
      <c r="F114" s="40"/>
      <c r="G114" s="41"/>
      <c r="H114" s="42"/>
      <c r="J114" s="74"/>
      <c r="K114" s="74"/>
      <c r="L114" s="74"/>
    </row>
    <row r="115" spans="1:12" ht="13.05" customHeight="1">
      <c r="A115" s="44" t="s">
        <v>415</v>
      </c>
      <c r="B115" s="13" t="s">
        <v>416</v>
      </c>
      <c r="C115" s="13"/>
      <c r="D115" s="13"/>
      <c r="E115" s="39" t="s">
        <v>93</v>
      </c>
      <c r="F115" s="40"/>
      <c r="G115" s="41"/>
      <c r="H115" s="42"/>
      <c r="J115" s="69"/>
      <c r="K115" s="69"/>
      <c r="L115" s="69"/>
    </row>
    <row r="116" spans="1:12" ht="13.05" customHeight="1">
      <c r="A116" s="37"/>
      <c r="B116" s="72" t="s">
        <v>75</v>
      </c>
      <c r="C116" s="13"/>
      <c r="D116" s="13"/>
      <c r="E116" s="39"/>
      <c r="F116" s="40"/>
      <c r="G116" s="41"/>
      <c r="H116" s="42"/>
      <c r="J116" s="36"/>
      <c r="K116" s="36"/>
      <c r="L116" s="36"/>
    </row>
    <row r="117" spans="1:12" ht="13.05" customHeight="1">
      <c r="A117" s="37"/>
      <c r="B117" s="38"/>
      <c r="C117" s="13"/>
      <c r="D117" s="13"/>
      <c r="E117" s="39"/>
      <c r="F117" s="40"/>
      <c r="G117" s="41"/>
      <c r="H117" s="42"/>
      <c r="J117" s="36"/>
      <c r="K117" s="36"/>
      <c r="L117" s="36"/>
    </row>
    <row r="118" spans="1:12" ht="13.05" customHeight="1">
      <c r="A118" s="37"/>
      <c r="B118" s="38"/>
      <c r="C118" s="13"/>
      <c r="D118" s="13"/>
      <c r="E118" s="39"/>
      <c r="F118" s="40"/>
      <c r="G118" s="41"/>
      <c r="H118" s="42"/>
      <c r="J118" s="36"/>
      <c r="K118" s="36"/>
      <c r="L118" s="36"/>
    </row>
    <row r="119" spans="1:12" ht="13.05" customHeight="1">
      <c r="A119" s="37"/>
      <c r="B119" s="38"/>
      <c r="C119" s="13"/>
      <c r="D119" s="13"/>
      <c r="E119" s="39"/>
      <c r="F119" s="40"/>
      <c r="G119" s="41"/>
      <c r="H119" s="42"/>
      <c r="J119" s="36"/>
      <c r="K119" s="36"/>
      <c r="L119" s="36"/>
    </row>
    <row r="120" spans="1:12" ht="13.05" customHeight="1">
      <c r="A120" s="37"/>
      <c r="B120" s="38"/>
      <c r="C120" s="13"/>
      <c r="D120" s="13"/>
      <c r="E120" s="39"/>
      <c r="F120" s="40"/>
      <c r="G120" s="41"/>
      <c r="H120" s="42"/>
      <c r="J120" s="69"/>
      <c r="K120" s="69"/>
      <c r="L120" s="69"/>
    </row>
    <row r="121" spans="1:12" ht="13.05" customHeight="1">
      <c r="A121" s="37"/>
      <c r="B121" s="38"/>
      <c r="C121" s="13"/>
      <c r="D121" s="13"/>
      <c r="E121" s="39"/>
      <c r="F121" s="40"/>
      <c r="G121" s="41"/>
      <c r="H121" s="42"/>
      <c r="J121" s="69"/>
      <c r="K121" s="69"/>
      <c r="L121" s="69"/>
    </row>
    <row r="122" spans="1:12" ht="13.05" customHeight="1">
      <c r="A122" s="37"/>
      <c r="B122" s="38"/>
      <c r="C122" s="13"/>
      <c r="D122" s="13"/>
      <c r="E122" s="39"/>
      <c r="F122" s="40"/>
      <c r="G122" s="41"/>
      <c r="H122" s="42"/>
      <c r="J122" s="69"/>
      <c r="K122" s="69"/>
      <c r="L122" s="69"/>
    </row>
    <row r="123" spans="1:12" ht="13.05" customHeight="1">
      <c r="A123" s="37"/>
      <c r="B123" s="38"/>
      <c r="C123" s="13"/>
      <c r="D123" s="13"/>
      <c r="E123" s="39"/>
      <c r="F123" s="40"/>
      <c r="G123" s="41"/>
      <c r="H123" s="42"/>
      <c r="J123" s="69"/>
      <c r="K123" s="69"/>
      <c r="L123" s="69"/>
    </row>
    <row r="124" spans="1:12" ht="13.05" customHeight="1">
      <c r="A124" s="37"/>
      <c r="B124" s="38"/>
      <c r="C124" s="13"/>
      <c r="D124" s="13"/>
      <c r="E124" s="39"/>
      <c r="F124" s="40"/>
      <c r="G124" s="41"/>
      <c r="H124" s="42"/>
      <c r="J124" s="69"/>
      <c r="K124" s="69"/>
      <c r="L124" s="69"/>
    </row>
    <row r="125" spans="1:12" ht="13.05" customHeight="1">
      <c r="A125" s="37"/>
      <c r="B125" s="38"/>
      <c r="C125" s="13"/>
      <c r="D125" s="13"/>
      <c r="E125" s="39"/>
      <c r="F125" s="40"/>
      <c r="G125" s="41"/>
      <c r="H125" s="42"/>
      <c r="J125" s="74"/>
      <c r="K125" s="74"/>
      <c r="L125" s="74"/>
    </row>
    <row r="126" spans="1:12" ht="13.05" customHeight="1">
      <c r="A126" s="37"/>
      <c r="B126" s="38"/>
      <c r="C126" s="13"/>
      <c r="D126" s="13"/>
      <c r="E126" s="39"/>
      <c r="F126" s="40"/>
      <c r="G126" s="41"/>
      <c r="H126" s="42"/>
      <c r="J126" s="74"/>
      <c r="K126" s="74"/>
      <c r="L126" s="74"/>
    </row>
    <row r="127" spans="1:12" ht="13.05" customHeight="1">
      <c r="A127" s="44"/>
      <c r="B127" s="13"/>
      <c r="C127" s="13"/>
      <c r="D127" s="13"/>
      <c r="E127" s="39"/>
      <c r="F127" s="40"/>
      <c r="G127" s="41"/>
      <c r="H127" s="42"/>
      <c r="J127" s="69"/>
      <c r="K127" s="69"/>
      <c r="L127" s="69"/>
    </row>
    <row r="128" spans="1:12" ht="13.05" customHeight="1">
      <c r="A128" s="44" t="s">
        <v>417</v>
      </c>
      <c r="B128" s="13" t="s">
        <v>380</v>
      </c>
      <c r="C128" s="13"/>
      <c r="D128" s="13"/>
      <c r="E128" s="39" t="s">
        <v>123</v>
      </c>
      <c r="F128" s="40"/>
      <c r="G128" s="41"/>
      <c r="H128" s="42"/>
      <c r="J128" s="69"/>
      <c r="K128" s="69"/>
      <c r="L128" s="69"/>
    </row>
    <row r="129" spans="1:12" ht="13.05" customHeight="1">
      <c r="A129" s="37"/>
      <c r="B129" s="72" t="s">
        <v>75</v>
      </c>
      <c r="C129" s="13"/>
      <c r="D129" s="13"/>
      <c r="E129" s="39"/>
      <c r="F129" s="40"/>
      <c r="G129" s="41"/>
      <c r="H129" s="42"/>
      <c r="J129" s="36"/>
      <c r="K129" s="36"/>
      <c r="L129" s="36"/>
    </row>
    <row r="130" spans="1:12" ht="13.05" customHeight="1">
      <c r="A130" s="37"/>
      <c r="B130" s="38"/>
      <c r="C130" s="13"/>
      <c r="D130" s="13"/>
      <c r="E130" s="39"/>
      <c r="F130" s="40"/>
      <c r="G130" s="41"/>
      <c r="H130" s="42"/>
      <c r="J130" s="36"/>
      <c r="K130" s="36"/>
      <c r="L130" s="36"/>
    </row>
    <row r="131" spans="1:12" ht="13.05" customHeight="1">
      <c r="A131" s="37"/>
      <c r="B131" s="38"/>
      <c r="C131" s="13"/>
      <c r="D131" s="13"/>
      <c r="E131" s="39"/>
      <c r="F131" s="40"/>
      <c r="G131" s="41"/>
      <c r="H131" s="42"/>
      <c r="J131" s="36"/>
      <c r="K131" s="36"/>
      <c r="L131" s="36"/>
    </row>
    <row r="132" spans="1:12" ht="13.05" customHeight="1">
      <c r="A132" s="37"/>
      <c r="B132" s="38"/>
      <c r="C132" s="13"/>
      <c r="D132" s="13"/>
      <c r="E132" s="39"/>
      <c r="F132" s="40"/>
      <c r="G132" s="41"/>
      <c r="H132" s="42"/>
      <c r="J132" s="36"/>
      <c r="K132" s="36"/>
      <c r="L132" s="36"/>
    </row>
    <row r="133" spans="1:12" ht="13.05" customHeight="1">
      <c r="A133" s="37"/>
      <c r="B133" s="38"/>
      <c r="C133" s="13"/>
      <c r="D133" s="13"/>
      <c r="E133" s="39"/>
      <c r="F133" s="40"/>
      <c r="G133" s="41"/>
      <c r="H133" s="42"/>
      <c r="J133" s="69"/>
      <c r="K133" s="69"/>
      <c r="L133" s="69"/>
    </row>
    <row r="134" spans="1:12" ht="13.05" customHeight="1">
      <c r="A134" s="37"/>
      <c r="B134" s="38"/>
      <c r="C134" s="13"/>
      <c r="D134" s="13"/>
      <c r="E134" s="39"/>
      <c r="F134" s="40"/>
      <c r="G134" s="41"/>
      <c r="H134" s="42"/>
      <c r="J134" s="69"/>
      <c r="K134" s="69"/>
      <c r="L134" s="69"/>
    </row>
    <row r="135" spans="1:12" ht="13.05" customHeight="1">
      <c r="A135" s="37"/>
      <c r="B135" s="38"/>
      <c r="C135" s="13"/>
      <c r="D135" s="13"/>
      <c r="E135" s="39"/>
      <c r="F135" s="40"/>
      <c r="G135" s="41"/>
      <c r="H135" s="42"/>
      <c r="J135" s="69"/>
      <c r="K135" s="69"/>
      <c r="L135" s="69"/>
    </row>
    <row r="136" spans="1:12" ht="13.05" customHeight="1">
      <c r="A136" s="37"/>
      <c r="B136" s="38"/>
      <c r="C136" s="13"/>
      <c r="D136" s="13"/>
      <c r="E136" s="39"/>
      <c r="F136" s="40"/>
      <c r="G136" s="41"/>
      <c r="H136" s="42"/>
      <c r="J136" s="69"/>
      <c r="K136" s="69"/>
      <c r="L136" s="69"/>
    </row>
    <row r="137" spans="1:12" ht="13.05" customHeight="1">
      <c r="A137" s="37"/>
      <c r="B137" s="38"/>
      <c r="C137" s="13"/>
      <c r="D137" s="13"/>
      <c r="E137" s="39"/>
      <c r="F137" s="40"/>
      <c r="G137" s="41"/>
      <c r="H137" s="42"/>
      <c r="J137" s="69"/>
      <c r="K137" s="69"/>
      <c r="L137" s="69"/>
    </row>
    <row r="138" spans="1:12" ht="13.05" customHeight="1">
      <c r="A138" s="37"/>
      <c r="B138" s="38"/>
      <c r="C138" s="13"/>
      <c r="D138" s="13"/>
      <c r="E138" s="39"/>
      <c r="F138" s="40"/>
      <c r="G138" s="41"/>
      <c r="H138" s="42"/>
      <c r="J138" s="74"/>
      <c r="K138" s="74"/>
      <c r="L138" s="74"/>
    </row>
    <row r="139" spans="1:12" ht="13.05" customHeight="1">
      <c r="A139" s="37"/>
      <c r="B139" s="38"/>
      <c r="C139" s="13"/>
      <c r="D139" s="13"/>
      <c r="E139" s="39"/>
      <c r="F139" s="40"/>
      <c r="G139" s="41"/>
      <c r="H139" s="42"/>
      <c r="J139" s="74"/>
      <c r="K139" s="74"/>
      <c r="L139" s="74"/>
    </row>
    <row r="140" spans="1:12" ht="13.05" customHeight="1">
      <c r="A140" s="44"/>
      <c r="B140" s="13"/>
      <c r="C140" s="13"/>
      <c r="D140" s="13"/>
      <c r="E140" s="39"/>
      <c r="F140" s="40"/>
      <c r="G140" s="41"/>
      <c r="H140" s="42"/>
      <c r="J140" s="69"/>
      <c r="K140" s="69"/>
      <c r="L140" s="69"/>
    </row>
    <row r="141" spans="1:12" ht="13.05" customHeight="1">
      <c r="A141" s="44" t="s">
        <v>418</v>
      </c>
      <c r="B141" s="13" t="s">
        <v>367</v>
      </c>
      <c r="C141" s="13"/>
      <c r="D141" s="13"/>
      <c r="E141" s="39"/>
      <c r="F141" s="40"/>
      <c r="G141" s="41"/>
      <c r="H141" s="42"/>
      <c r="J141" s="69"/>
      <c r="K141" s="69"/>
      <c r="L141" s="69"/>
    </row>
    <row r="142" spans="1:12" ht="13.05" customHeight="1">
      <c r="A142" s="44"/>
      <c r="B142" s="13"/>
      <c r="C142" s="13"/>
      <c r="D142" s="13"/>
      <c r="E142" s="39"/>
      <c r="F142" s="40"/>
      <c r="G142" s="41"/>
      <c r="H142" s="42"/>
      <c r="J142" s="69"/>
      <c r="K142" s="69"/>
      <c r="L142" s="69"/>
    </row>
    <row r="143" spans="1:12" ht="13.05" customHeight="1">
      <c r="A143" s="44" t="s">
        <v>419</v>
      </c>
      <c r="B143" s="13" t="s">
        <v>420</v>
      </c>
      <c r="C143" s="13"/>
      <c r="D143" s="13"/>
      <c r="E143" s="39" t="s">
        <v>123</v>
      </c>
      <c r="F143" s="40"/>
      <c r="G143" s="41"/>
      <c r="H143" s="42"/>
      <c r="J143" s="74"/>
      <c r="K143" s="74"/>
      <c r="L143" s="74"/>
    </row>
    <row r="144" spans="1:12" ht="13.05" customHeight="1">
      <c r="A144" s="44"/>
      <c r="B144" s="13"/>
      <c r="C144" s="13"/>
      <c r="D144" s="13"/>
      <c r="E144" s="39"/>
      <c r="F144" s="40"/>
      <c r="G144" s="41"/>
      <c r="H144" s="42"/>
      <c r="J144" s="74"/>
      <c r="K144" s="74"/>
      <c r="L144" s="74"/>
    </row>
    <row r="145" spans="1:12" ht="13.05" customHeight="1">
      <c r="A145" s="44" t="s">
        <v>421</v>
      </c>
      <c r="B145" s="13" t="s">
        <v>422</v>
      </c>
      <c r="C145" s="13"/>
      <c r="D145" s="13"/>
      <c r="E145" s="39" t="s">
        <v>123</v>
      </c>
      <c r="F145" s="40"/>
      <c r="G145" s="41"/>
      <c r="H145" s="42"/>
      <c r="J145" s="74"/>
      <c r="K145" s="74"/>
      <c r="L145" s="74"/>
    </row>
    <row r="146" spans="1:12" ht="13.05" customHeight="1">
      <c r="A146" s="44"/>
      <c r="B146" s="13"/>
      <c r="C146" s="13"/>
      <c r="D146" s="13"/>
      <c r="E146" s="39"/>
      <c r="F146" s="40"/>
      <c r="G146" s="41"/>
      <c r="H146" s="42"/>
      <c r="J146" s="74"/>
      <c r="K146" s="74"/>
      <c r="L146" s="74"/>
    </row>
    <row r="147" spans="1:12" ht="13.05" customHeight="1">
      <c r="A147" s="44" t="s">
        <v>423</v>
      </c>
      <c r="B147" s="13" t="s">
        <v>374</v>
      </c>
      <c r="C147" s="13"/>
      <c r="D147" s="13"/>
      <c r="E147" s="39"/>
      <c r="F147" s="40"/>
      <c r="G147" s="41"/>
      <c r="H147" s="42"/>
      <c r="J147" s="74"/>
      <c r="K147" s="74"/>
      <c r="L147" s="74"/>
    </row>
    <row r="148" spans="1:12" ht="13.05" customHeight="1">
      <c r="A148" s="44"/>
      <c r="B148" s="13"/>
      <c r="C148" s="13" t="s">
        <v>375</v>
      </c>
      <c r="D148" s="13"/>
      <c r="E148" s="39" t="s">
        <v>123</v>
      </c>
      <c r="F148" s="40"/>
      <c r="G148" s="41"/>
      <c r="H148" s="42"/>
      <c r="J148" s="74"/>
      <c r="K148" s="74"/>
      <c r="L148" s="74"/>
    </row>
    <row r="149" spans="1:12" ht="13.05" customHeight="1">
      <c r="A149" s="44"/>
      <c r="B149" s="13"/>
      <c r="C149" s="13" t="s">
        <v>376</v>
      </c>
      <c r="D149" s="13"/>
      <c r="E149" s="39" t="s">
        <v>93</v>
      </c>
      <c r="F149" s="40"/>
      <c r="G149" s="41"/>
      <c r="H149" s="42"/>
      <c r="J149" s="74"/>
      <c r="K149" s="74"/>
      <c r="L149" s="74"/>
    </row>
    <row r="150" spans="1:12" ht="13.05" customHeight="1">
      <c r="A150" s="44"/>
      <c r="B150" s="13"/>
      <c r="C150" s="13"/>
      <c r="D150" s="13"/>
      <c r="E150" s="39"/>
      <c r="F150" s="40"/>
      <c r="G150" s="41"/>
      <c r="H150" s="42"/>
      <c r="J150" s="74"/>
      <c r="K150" s="74"/>
      <c r="L150" s="74"/>
    </row>
    <row r="151" spans="1:12" ht="13.05" customHeight="1">
      <c r="A151" s="44" t="s">
        <v>424</v>
      </c>
      <c r="B151" s="13" t="s">
        <v>382</v>
      </c>
      <c r="C151" s="13"/>
      <c r="D151" s="13"/>
      <c r="E151" s="39"/>
      <c r="F151" s="40"/>
      <c r="G151" s="41"/>
      <c r="H151" s="42"/>
      <c r="J151" s="69"/>
      <c r="K151" s="69"/>
      <c r="L151" s="69"/>
    </row>
    <row r="152" spans="1:12" ht="13.05" customHeight="1">
      <c r="A152" s="44"/>
      <c r="B152" s="13"/>
      <c r="C152" s="13"/>
      <c r="D152" s="13"/>
      <c r="E152" s="39"/>
      <c r="F152" s="40"/>
      <c r="G152" s="41"/>
      <c r="H152" s="42"/>
      <c r="J152" s="69"/>
      <c r="K152" s="69"/>
      <c r="L152" s="69"/>
    </row>
    <row r="153" spans="1:12" ht="13.05" customHeight="1">
      <c r="A153" s="44" t="s">
        <v>425</v>
      </c>
      <c r="B153" s="13" t="s">
        <v>384</v>
      </c>
      <c r="C153" s="13"/>
      <c r="D153" s="13"/>
      <c r="E153" s="39" t="s">
        <v>93</v>
      </c>
      <c r="F153" s="40"/>
      <c r="G153" s="41"/>
      <c r="H153" s="42"/>
      <c r="J153" s="74"/>
      <c r="K153" s="74"/>
      <c r="L153" s="74"/>
    </row>
    <row r="154" spans="1:12" ht="13.05" customHeight="1">
      <c r="A154" s="44"/>
      <c r="B154" s="13"/>
      <c r="C154" s="13"/>
      <c r="D154" s="13"/>
      <c r="E154" s="39"/>
      <c r="F154" s="40"/>
      <c r="G154" s="41"/>
      <c r="H154" s="42"/>
      <c r="J154" s="74"/>
      <c r="K154" s="74"/>
      <c r="L154" s="74"/>
    </row>
    <row r="155" spans="1:12" ht="13.05" customHeight="1">
      <c r="A155" s="44" t="s">
        <v>426</v>
      </c>
      <c r="B155" s="13" t="s">
        <v>388</v>
      </c>
      <c r="C155" s="13"/>
      <c r="D155" s="13"/>
      <c r="E155" s="39" t="s">
        <v>123</v>
      </c>
      <c r="F155" s="40"/>
      <c r="G155" s="41"/>
      <c r="H155" s="42"/>
      <c r="J155" s="74"/>
      <c r="K155" s="74"/>
      <c r="L155" s="74"/>
    </row>
    <row r="156" spans="1:12" ht="13.05" customHeight="1">
      <c r="A156" s="44"/>
      <c r="B156" s="13"/>
      <c r="C156" s="13"/>
      <c r="D156" s="13"/>
      <c r="E156" s="39"/>
      <c r="F156" s="40"/>
      <c r="G156" s="41"/>
      <c r="H156" s="42"/>
      <c r="J156" s="74"/>
      <c r="K156" s="74"/>
      <c r="L156" s="74"/>
    </row>
    <row r="157" spans="1:12" ht="13.05" customHeight="1">
      <c r="A157" s="44" t="s">
        <v>427</v>
      </c>
      <c r="B157" s="13" t="s">
        <v>390</v>
      </c>
      <c r="C157" s="13"/>
      <c r="D157" s="13"/>
      <c r="E157" s="39" t="s">
        <v>93</v>
      </c>
      <c r="F157" s="40"/>
      <c r="G157" s="41"/>
      <c r="H157" s="42"/>
      <c r="J157" s="69"/>
      <c r="K157" s="69"/>
      <c r="L157" s="69"/>
    </row>
    <row r="158" spans="1:12" ht="13.05" customHeight="1">
      <c r="A158" s="44"/>
      <c r="B158" s="13"/>
      <c r="C158" s="13"/>
      <c r="D158" s="13"/>
      <c r="E158" s="39"/>
      <c r="F158" s="40"/>
      <c r="G158" s="41"/>
      <c r="H158" s="42"/>
      <c r="J158" s="69"/>
      <c r="K158" s="69"/>
      <c r="L158" s="69"/>
    </row>
    <row r="159" spans="1:12" ht="13.05" customHeight="1">
      <c r="A159" s="44" t="s">
        <v>428</v>
      </c>
      <c r="B159" s="13" t="s">
        <v>429</v>
      </c>
      <c r="C159" s="13"/>
      <c r="D159" s="13"/>
      <c r="E159" s="39" t="s">
        <v>93</v>
      </c>
      <c r="F159" s="40"/>
      <c r="G159" s="41"/>
      <c r="H159" s="42"/>
      <c r="J159" s="69"/>
      <c r="K159" s="69"/>
      <c r="L159" s="69"/>
    </row>
    <row r="160" spans="1:12" ht="13.05" customHeight="1">
      <c r="A160" s="44"/>
      <c r="B160" s="13"/>
      <c r="C160" s="13"/>
      <c r="D160" s="13"/>
      <c r="E160" s="39"/>
      <c r="F160" s="40"/>
      <c r="G160" s="41"/>
      <c r="H160" s="42"/>
      <c r="J160" s="69"/>
      <c r="K160" s="69"/>
      <c r="L160" s="69"/>
    </row>
    <row r="161" spans="1:12" ht="13.05" customHeight="1">
      <c r="A161" s="44" t="s">
        <v>430</v>
      </c>
      <c r="B161" s="13" t="s">
        <v>392</v>
      </c>
      <c r="C161" s="13"/>
      <c r="D161" s="13"/>
      <c r="E161" s="39" t="s">
        <v>106</v>
      </c>
      <c r="F161" s="40"/>
      <c r="G161" s="41"/>
      <c r="H161" s="42"/>
      <c r="J161" s="69"/>
      <c r="K161" s="69"/>
      <c r="L161" s="69"/>
    </row>
    <row r="162" spans="1:12" ht="13.05" customHeight="1">
      <c r="A162" s="44"/>
      <c r="B162" s="13"/>
      <c r="C162" s="13"/>
      <c r="D162" s="13"/>
      <c r="E162" s="39"/>
      <c r="F162" s="40"/>
      <c r="G162" s="41"/>
      <c r="H162" s="42"/>
      <c r="J162" s="69"/>
      <c r="K162" s="69"/>
      <c r="L162" s="69"/>
    </row>
    <row r="163" spans="1:12" ht="13.05" customHeight="1">
      <c r="A163" s="44" t="s">
        <v>431</v>
      </c>
      <c r="B163" s="13" t="s">
        <v>394</v>
      </c>
      <c r="C163" s="13"/>
      <c r="D163" s="13"/>
      <c r="E163" s="39" t="s">
        <v>46</v>
      </c>
      <c r="F163" s="40"/>
      <c r="G163" s="41"/>
      <c r="H163" s="42"/>
      <c r="J163" s="69"/>
      <c r="K163" s="69"/>
      <c r="L163" s="69"/>
    </row>
    <row r="164" spans="1:12" ht="13.05" customHeight="1">
      <c r="A164" s="44"/>
      <c r="B164" s="13"/>
      <c r="C164" s="13"/>
      <c r="D164" s="13"/>
      <c r="E164" s="39"/>
      <c r="F164" s="40"/>
      <c r="G164" s="41"/>
      <c r="H164" s="42"/>
      <c r="J164" s="69"/>
      <c r="K164" s="69"/>
      <c r="L164" s="69"/>
    </row>
    <row r="165" spans="1:12" ht="13.05" customHeight="1">
      <c r="A165" s="37" t="s">
        <v>83</v>
      </c>
      <c r="B165" s="38" t="s">
        <v>432</v>
      </c>
      <c r="C165" s="13"/>
      <c r="D165" s="13"/>
      <c r="E165" s="39"/>
      <c r="F165" s="40"/>
      <c r="G165" s="41"/>
      <c r="H165" s="42"/>
      <c r="J165" s="36"/>
      <c r="K165" s="36"/>
      <c r="L165" s="36"/>
    </row>
    <row r="166" spans="1:12" ht="13.05" customHeight="1">
      <c r="A166" s="37"/>
      <c r="B166" s="38"/>
      <c r="C166" s="13"/>
      <c r="D166" s="13"/>
      <c r="E166" s="39"/>
      <c r="F166" s="40"/>
      <c r="G166" s="41"/>
      <c r="H166" s="42"/>
      <c r="J166" s="36"/>
      <c r="K166" s="36"/>
      <c r="L166" s="36"/>
    </row>
    <row r="167" spans="1:12" ht="13.05" customHeight="1">
      <c r="A167" s="44" t="s">
        <v>85</v>
      </c>
      <c r="B167" s="13" t="s">
        <v>433</v>
      </c>
      <c r="C167" s="13"/>
      <c r="D167" s="13"/>
      <c r="E167" s="39" t="s">
        <v>52</v>
      </c>
      <c r="F167" s="40"/>
      <c r="G167" s="41"/>
      <c r="H167" s="42"/>
      <c r="J167" s="69"/>
      <c r="K167" s="69"/>
      <c r="L167" s="69"/>
    </row>
    <row r="168" spans="1:12" ht="13.05" customHeight="1">
      <c r="A168" s="44"/>
      <c r="B168" s="13"/>
      <c r="C168" s="13"/>
      <c r="D168" s="13"/>
      <c r="E168" s="39"/>
      <c r="F168" s="40"/>
      <c r="G168" s="41"/>
      <c r="H168" s="42"/>
      <c r="J168" s="69"/>
      <c r="K168" s="69"/>
      <c r="L168" s="69"/>
    </row>
    <row r="169" spans="1:12" ht="13.05" customHeight="1">
      <c r="A169" s="44" t="s">
        <v>87</v>
      </c>
      <c r="B169" s="13" t="s">
        <v>434</v>
      </c>
      <c r="C169" s="13"/>
      <c r="D169" s="13"/>
      <c r="E169" s="39" t="s">
        <v>52</v>
      </c>
      <c r="F169" s="40"/>
      <c r="G169" s="41"/>
      <c r="H169" s="42"/>
      <c r="J169" s="69"/>
      <c r="K169" s="69"/>
      <c r="L169" s="69"/>
    </row>
    <row r="170" spans="1:12" ht="13.05" customHeight="1">
      <c r="A170" s="44"/>
      <c r="B170" s="13"/>
      <c r="C170" s="13"/>
      <c r="D170" s="13"/>
      <c r="E170" s="39"/>
      <c r="F170" s="40"/>
      <c r="G170" s="41"/>
      <c r="H170" s="42"/>
      <c r="J170" s="69"/>
      <c r="K170" s="69"/>
      <c r="L170" s="69"/>
    </row>
    <row r="171" spans="1:12" ht="13.05" customHeight="1">
      <c r="A171" s="44" t="s">
        <v>98</v>
      </c>
      <c r="B171" s="13" t="s">
        <v>435</v>
      </c>
      <c r="C171" s="13"/>
      <c r="D171" s="13"/>
      <c r="E171" s="39" t="s">
        <v>93</v>
      </c>
      <c r="F171" s="40"/>
      <c r="G171" s="41"/>
      <c r="H171" s="42"/>
      <c r="J171" s="69"/>
      <c r="K171" s="69"/>
      <c r="L171" s="69"/>
    </row>
    <row r="172" spans="1:12" ht="13.05" customHeight="1">
      <c r="A172" s="37"/>
      <c r="B172" s="38"/>
      <c r="C172" s="13"/>
      <c r="D172" s="13"/>
      <c r="E172" s="39"/>
      <c r="F172" s="40"/>
      <c r="G172" s="41"/>
      <c r="H172" s="42"/>
      <c r="J172" s="69"/>
      <c r="K172" s="69"/>
      <c r="L172" s="69"/>
    </row>
    <row r="173" spans="1:12" ht="13.05" customHeight="1" thickBot="1">
      <c r="A173" s="49"/>
      <c r="B173" s="50"/>
      <c r="C173" s="50"/>
      <c r="D173" s="50"/>
      <c r="E173" s="51"/>
      <c r="F173" s="52"/>
      <c r="G173" s="53"/>
      <c r="H173" s="54"/>
      <c r="J173" s="81"/>
      <c r="K173" s="81"/>
      <c r="L173" s="81"/>
    </row>
    <row r="174" spans="1:12" ht="20.100000000000001" customHeight="1" thickTop="1">
      <c r="A174" s="366" t="s">
        <v>62</v>
      </c>
      <c r="B174" s="367"/>
      <c r="C174" s="367"/>
      <c r="D174" s="368"/>
      <c r="E174" s="55"/>
      <c r="F174" s="56"/>
      <c r="G174" s="57"/>
      <c r="H174" s="58"/>
      <c r="J174" s="81"/>
      <c r="K174" s="81"/>
      <c r="L174" s="81"/>
    </row>
    <row r="175" spans="1:12" ht="20.100000000000001" customHeight="1">
      <c r="A175" s="369" t="s">
        <v>63</v>
      </c>
      <c r="B175" s="370"/>
      <c r="C175" s="370"/>
      <c r="D175" s="371"/>
      <c r="E175" s="59"/>
      <c r="F175" s="60"/>
      <c r="G175" s="61"/>
      <c r="H175" s="62"/>
      <c r="J175" s="81"/>
      <c r="K175" s="81"/>
      <c r="L175" s="81"/>
    </row>
    <row r="176" spans="1:12" ht="20.100000000000001" customHeight="1" thickBot="1">
      <c r="A176" s="352" t="s">
        <v>64</v>
      </c>
      <c r="B176" s="353"/>
      <c r="C176" s="353"/>
      <c r="D176" s="354"/>
      <c r="E176" s="63"/>
      <c r="F176" s="64"/>
      <c r="G176" s="65"/>
      <c r="H176" s="66"/>
      <c r="J176" s="81"/>
      <c r="K176" s="81"/>
      <c r="L176" s="81"/>
    </row>
    <row r="177" spans="10:12" ht="15.6" thickTop="1">
      <c r="J177" s="81"/>
      <c r="K177" s="81"/>
      <c r="L177" s="81"/>
    </row>
    <row r="178" spans="10:12">
      <c r="J178" s="81"/>
      <c r="K178" s="81"/>
      <c r="L178" s="81"/>
    </row>
    <row r="179" spans="10:12">
      <c r="J179" s="81"/>
      <c r="K179" s="81"/>
      <c r="L179" s="81"/>
    </row>
    <row r="180" spans="10:12">
      <c r="L180" s="81"/>
    </row>
    <row r="181" spans="10:12">
      <c r="L181" s="81"/>
    </row>
    <row r="182" spans="10:12">
      <c r="L182" s="81"/>
    </row>
    <row r="183" spans="10:12">
      <c r="L183" s="81"/>
    </row>
    <row r="184" spans="10:12">
      <c r="L184" s="81"/>
    </row>
    <row r="185" spans="10:12">
      <c r="L185" s="81"/>
    </row>
    <row r="186" spans="10:12">
      <c r="L186" s="81"/>
    </row>
    <row r="187" spans="10:12">
      <c r="L187" s="81"/>
    </row>
    <row r="188" spans="10:12">
      <c r="L188" s="81"/>
    </row>
    <row r="189" spans="10:12">
      <c r="L189" s="81"/>
    </row>
    <row r="190" spans="10:12">
      <c r="L190" s="81"/>
    </row>
    <row r="191" spans="10:12">
      <c r="L191" s="81"/>
    </row>
    <row r="192" spans="10:12">
      <c r="L192" s="81"/>
    </row>
    <row r="193" spans="10:12">
      <c r="L193" s="81"/>
    </row>
    <row r="194" spans="10:12">
      <c r="L194" s="81"/>
    </row>
    <row r="195" spans="10:12">
      <c r="L195" s="81"/>
    </row>
    <row r="196" spans="10:12">
      <c r="L196" s="81"/>
    </row>
    <row r="197" spans="10:12">
      <c r="L197" s="81"/>
    </row>
    <row r="198" spans="10:12">
      <c r="L198" s="81"/>
    </row>
    <row r="199" spans="10:12">
      <c r="L199" s="81"/>
    </row>
    <row r="200" spans="10:12">
      <c r="L200" s="81"/>
    </row>
    <row r="201" spans="10:12">
      <c r="J201" s="75"/>
      <c r="K201" s="81"/>
      <c r="L201" s="81"/>
    </row>
  </sheetData>
  <mergeCells count="7">
    <mergeCell ref="A176:D176"/>
    <mergeCell ref="A1:H1"/>
    <mergeCell ref="A2:H2"/>
    <mergeCell ref="B3:D3"/>
    <mergeCell ref="A174:D174"/>
    <mergeCell ref="A175:D175"/>
    <mergeCell ref="A6:H6"/>
  </mergeCells>
  <phoneticPr fontId="15" type="noConversion"/>
  <pageMargins left="0.70866141732283472" right="0.70866141732283472" top="0.74803149606299213" bottom="0.74803149606299213" header="0.31496062992125984" footer="0.31496062992125984"/>
  <pageSetup paperSize="8"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F91DA9-6126-45A7-9AA4-618F63CCE31C}">
  <dimension ref="A1:L151"/>
  <sheetViews>
    <sheetView workbookViewId="0">
      <selection activeCell="K12" sqref="K12"/>
    </sheetView>
  </sheetViews>
  <sheetFormatPr baseColWidth="10" defaultColWidth="11.44140625" defaultRowHeight="15"/>
  <cols>
    <col min="1" max="3" width="9.77734375" style="1" customWidth="1"/>
    <col min="4" max="4" width="34.21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436</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t="s">
        <v>43</v>
      </c>
      <c r="C5" s="28"/>
      <c r="D5" s="28"/>
      <c r="E5" s="29"/>
      <c r="F5" s="30"/>
      <c r="G5" s="31"/>
      <c r="H5" s="32"/>
    </row>
    <row r="6" spans="1:12" ht="31.95" customHeight="1">
      <c r="A6" s="372" t="s">
        <v>1525</v>
      </c>
      <c r="B6" s="373"/>
      <c r="C6" s="373"/>
      <c r="D6" s="373"/>
      <c r="E6" s="373"/>
      <c r="F6" s="373"/>
      <c r="G6" s="373"/>
      <c r="H6" s="374"/>
    </row>
    <row r="7" spans="1:12" ht="13.05" customHeight="1">
      <c r="A7" s="26"/>
      <c r="B7" s="28"/>
      <c r="C7" s="28"/>
      <c r="D7" s="28"/>
      <c r="E7" s="29"/>
      <c r="F7" s="33"/>
      <c r="G7" s="34"/>
      <c r="H7" s="35"/>
      <c r="J7" s="36"/>
      <c r="K7" s="36"/>
      <c r="L7" s="36"/>
    </row>
    <row r="8" spans="1:12" ht="13.05" customHeight="1">
      <c r="A8" s="37" t="s">
        <v>66</v>
      </c>
      <c r="B8" s="38" t="s">
        <v>352</v>
      </c>
      <c r="C8" s="13"/>
      <c r="D8" s="13"/>
      <c r="E8" s="39" t="s">
        <v>70</v>
      </c>
      <c r="F8" s="40"/>
      <c r="G8" s="41"/>
      <c r="H8" s="42"/>
      <c r="J8" s="69"/>
      <c r="K8" s="69"/>
      <c r="L8" s="69"/>
    </row>
    <row r="9" spans="1:12" ht="13.05" customHeight="1">
      <c r="A9" s="37"/>
      <c r="B9" s="38"/>
      <c r="C9" s="13"/>
      <c r="D9" s="13"/>
      <c r="E9" s="39"/>
      <c r="F9" s="40"/>
      <c r="G9" s="41"/>
      <c r="H9" s="42"/>
      <c r="J9" s="69"/>
      <c r="K9" s="69"/>
      <c r="L9" s="69"/>
    </row>
    <row r="10" spans="1:12" ht="13.05" customHeight="1">
      <c r="A10" s="37" t="s">
        <v>68</v>
      </c>
      <c r="B10" s="38" t="s">
        <v>67</v>
      </c>
      <c r="C10" s="13"/>
      <c r="D10" s="13"/>
      <c r="E10" s="39" t="s">
        <v>70</v>
      </c>
      <c r="F10" s="40"/>
      <c r="G10" s="41"/>
      <c r="H10" s="42"/>
      <c r="J10" s="36"/>
      <c r="K10" s="36"/>
      <c r="L10" s="36"/>
    </row>
    <row r="11" spans="1:12" ht="13.05" customHeight="1">
      <c r="A11" s="37"/>
      <c r="B11" s="38"/>
      <c r="C11" s="13"/>
      <c r="D11" s="13"/>
      <c r="E11" s="39"/>
      <c r="F11" s="40"/>
      <c r="G11" s="41"/>
      <c r="H11" s="42"/>
      <c r="J11" s="36"/>
      <c r="K11" s="36"/>
      <c r="L11" s="36"/>
    </row>
    <row r="12" spans="1:12" ht="13.05" customHeight="1">
      <c r="A12" s="37" t="s">
        <v>71</v>
      </c>
      <c r="B12" s="38" t="s">
        <v>353</v>
      </c>
      <c r="C12" s="13"/>
      <c r="D12" s="13"/>
      <c r="E12" s="39" t="s">
        <v>70</v>
      </c>
      <c r="F12" s="40"/>
      <c r="G12" s="41"/>
      <c r="H12" s="42"/>
      <c r="J12" s="36"/>
      <c r="K12" s="36"/>
      <c r="L12" s="36"/>
    </row>
    <row r="13" spans="1:12" ht="13.05" customHeight="1">
      <c r="A13" s="37"/>
      <c r="B13" s="38"/>
      <c r="C13" s="13"/>
      <c r="D13" s="13"/>
      <c r="E13" s="39"/>
      <c r="F13" s="40"/>
      <c r="G13" s="41"/>
      <c r="H13" s="42"/>
      <c r="J13" s="36"/>
      <c r="K13" s="36"/>
      <c r="L13" s="36"/>
    </row>
    <row r="14" spans="1:12" ht="13.05" customHeight="1">
      <c r="A14" s="37" t="s">
        <v>73</v>
      </c>
      <c r="B14" s="38" t="s">
        <v>437</v>
      </c>
      <c r="C14" s="13"/>
      <c r="D14" s="13"/>
      <c r="E14" s="39" t="s">
        <v>52</v>
      </c>
      <c r="F14" s="40"/>
      <c r="G14" s="41"/>
      <c r="H14" s="42"/>
      <c r="J14" s="36"/>
      <c r="K14" s="36"/>
      <c r="L14" s="36"/>
    </row>
    <row r="15" spans="1:12" ht="13.05" customHeight="1">
      <c r="A15" s="37"/>
      <c r="B15" s="38"/>
      <c r="C15" s="13"/>
      <c r="D15" s="13"/>
      <c r="E15" s="39"/>
      <c r="F15" s="40"/>
      <c r="G15" s="41"/>
      <c r="H15" s="42"/>
      <c r="J15" s="36"/>
      <c r="K15" s="36"/>
      <c r="L15" s="36"/>
    </row>
    <row r="16" spans="1:12" ht="13.05" customHeight="1">
      <c r="A16" s="37" t="s">
        <v>76</v>
      </c>
      <c r="B16" s="38" t="s">
        <v>438</v>
      </c>
      <c r="C16" s="13"/>
      <c r="D16" s="13"/>
      <c r="E16" s="39" t="s">
        <v>52</v>
      </c>
      <c r="F16" s="40"/>
      <c r="G16" s="41"/>
      <c r="H16" s="42"/>
      <c r="J16" s="36"/>
      <c r="K16" s="36"/>
      <c r="L16" s="36"/>
    </row>
    <row r="17" spans="1:12" ht="13.05" customHeight="1">
      <c r="A17" s="37"/>
      <c r="B17" s="38"/>
      <c r="C17" s="13"/>
      <c r="D17" s="13"/>
      <c r="E17" s="39"/>
      <c r="F17" s="40"/>
      <c r="G17" s="41"/>
      <c r="H17" s="42"/>
      <c r="J17" s="36"/>
      <c r="K17" s="36"/>
      <c r="L17" s="36"/>
    </row>
    <row r="18" spans="1:12" ht="13.05" customHeight="1">
      <c r="A18" s="37" t="s">
        <v>78</v>
      </c>
      <c r="B18" s="38" t="s">
        <v>439</v>
      </c>
      <c r="C18" s="13"/>
      <c r="D18" s="13"/>
      <c r="E18" s="39"/>
      <c r="F18" s="40"/>
      <c r="G18" s="41"/>
      <c r="H18" s="42"/>
      <c r="J18" s="36"/>
      <c r="K18" s="36"/>
      <c r="L18" s="36"/>
    </row>
    <row r="19" spans="1:12" ht="13.05" customHeight="1">
      <c r="A19" s="37"/>
      <c r="B19" s="38"/>
      <c r="C19" s="13"/>
      <c r="D19" s="13"/>
      <c r="E19" s="39"/>
      <c r="F19" s="40"/>
      <c r="G19" s="41"/>
      <c r="H19" s="42"/>
      <c r="J19" s="36"/>
      <c r="K19" s="36"/>
      <c r="L19" s="36"/>
    </row>
    <row r="20" spans="1:12" ht="13.05" customHeight="1">
      <c r="A20" s="44" t="s">
        <v>357</v>
      </c>
      <c r="B20" s="13" t="s">
        <v>440</v>
      </c>
      <c r="C20" s="13"/>
      <c r="D20" s="13"/>
      <c r="E20" s="39"/>
      <c r="F20" s="40"/>
      <c r="G20" s="41"/>
      <c r="H20" s="42"/>
      <c r="J20" s="36"/>
      <c r="K20" s="36"/>
      <c r="L20" s="36"/>
    </row>
    <row r="21" spans="1:12" ht="13.05" customHeight="1">
      <c r="A21" s="44"/>
      <c r="B21" s="13"/>
      <c r="C21" s="13" t="s">
        <v>441</v>
      </c>
      <c r="D21" s="13"/>
      <c r="E21" s="39" t="s">
        <v>52</v>
      </c>
      <c r="F21" s="40"/>
      <c r="G21" s="41"/>
      <c r="H21" s="42"/>
      <c r="J21" s="36"/>
      <c r="K21" s="36"/>
      <c r="L21" s="36"/>
    </row>
    <row r="22" spans="1:12" ht="13.05" customHeight="1">
      <c r="A22" s="44"/>
      <c r="B22" s="13"/>
      <c r="C22" s="13" t="s">
        <v>442</v>
      </c>
      <c r="D22" s="13"/>
      <c r="E22" s="39" t="s">
        <v>123</v>
      </c>
      <c r="F22" s="40"/>
      <c r="G22" s="41"/>
      <c r="H22" s="42"/>
      <c r="J22" s="36"/>
      <c r="K22" s="36"/>
      <c r="L22" s="36"/>
    </row>
    <row r="23" spans="1:12" ht="13.05" customHeight="1">
      <c r="A23" s="44"/>
      <c r="B23" s="13"/>
      <c r="C23" s="13"/>
      <c r="D23" s="13"/>
      <c r="E23" s="39"/>
      <c r="F23" s="40"/>
      <c r="G23" s="41"/>
      <c r="H23" s="42"/>
      <c r="J23" s="36"/>
      <c r="K23" s="36"/>
      <c r="L23" s="36"/>
    </row>
    <row r="24" spans="1:12" ht="13.05" customHeight="1">
      <c r="A24" s="44" t="s">
        <v>359</v>
      </c>
      <c r="B24" s="13" t="s">
        <v>443</v>
      </c>
      <c r="C24" s="13"/>
      <c r="D24" s="13"/>
      <c r="E24" s="39" t="s">
        <v>52</v>
      </c>
      <c r="F24" s="40"/>
      <c r="G24" s="41"/>
      <c r="H24" s="42"/>
      <c r="J24" s="69"/>
      <c r="K24" s="69"/>
      <c r="L24" s="69"/>
    </row>
    <row r="25" spans="1:12" ht="13.05" customHeight="1">
      <c r="A25" s="44"/>
      <c r="B25" s="13"/>
      <c r="C25" s="13"/>
      <c r="D25" s="13"/>
      <c r="E25" s="39"/>
      <c r="F25" s="40"/>
      <c r="G25" s="41"/>
      <c r="H25" s="42"/>
      <c r="J25" s="69"/>
      <c r="K25" s="69"/>
      <c r="L25" s="69"/>
    </row>
    <row r="26" spans="1:12" ht="13.05" customHeight="1">
      <c r="A26" s="44" t="s">
        <v>361</v>
      </c>
      <c r="B26" s="13" t="s">
        <v>444</v>
      </c>
      <c r="C26" s="13"/>
      <c r="D26" s="13"/>
      <c r="E26" s="39" t="s">
        <v>123</v>
      </c>
      <c r="F26" s="40"/>
      <c r="G26" s="41"/>
      <c r="H26" s="42"/>
      <c r="J26" s="69"/>
      <c r="K26" s="69"/>
      <c r="L26" s="69"/>
    </row>
    <row r="27" spans="1:12" ht="13.05" customHeight="1">
      <c r="A27" s="44"/>
      <c r="B27" s="13"/>
      <c r="C27" s="13"/>
      <c r="D27" s="13"/>
      <c r="E27" s="39"/>
      <c r="F27" s="40"/>
      <c r="G27" s="41"/>
      <c r="H27" s="42"/>
      <c r="J27" s="69"/>
      <c r="K27" s="69"/>
      <c r="L27" s="69"/>
    </row>
    <row r="28" spans="1:12" ht="13.05" customHeight="1">
      <c r="A28" s="44" t="s">
        <v>364</v>
      </c>
      <c r="B28" s="13" t="s">
        <v>445</v>
      </c>
      <c r="C28" s="13"/>
      <c r="D28" s="13"/>
      <c r="E28" s="39" t="s">
        <v>123</v>
      </c>
      <c r="F28" s="40"/>
      <c r="G28" s="41"/>
      <c r="H28" s="42"/>
      <c r="J28" s="69"/>
      <c r="K28" s="69"/>
      <c r="L28" s="69"/>
    </row>
    <row r="29" spans="1:12" ht="13.05" customHeight="1">
      <c r="A29" s="44"/>
      <c r="B29" s="13"/>
      <c r="C29" s="13"/>
      <c r="D29" s="13"/>
      <c r="E29" s="39"/>
      <c r="F29" s="40"/>
      <c r="G29" s="41"/>
      <c r="H29" s="42"/>
      <c r="J29" s="69"/>
      <c r="K29" s="69"/>
      <c r="L29" s="69"/>
    </row>
    <row r="30" spans="1:12" ht="13.05" customHeight="1">
      <c r="A30" s="44" t="s">
        <v>366</v>
      </c>
      <c r="B30" s="13" t="s">
        <v>446</v>
      </c>
      <c r="C30" s="13"/>
      <c r="D30" s="13"/>
      <c r="E30" s="39" t="s">
        <v>123</v>
      </c>
      <c r="F30" s="40"/>
      <c r="G30" s="41"/>
      <c r="H30" s="42"/>
      <c r="J30" s="69"/>
      <c r="K30" s="69"/>
      <c r="L30" s="69"/>
    </row>
    <row r="31" spans="1:12" ht="13.05" customHeight="1">
      <c r="A31" s="37"/>
      <c r="B31" s="38"/>
      <c r="C31" s="13"/>
      <c r="D31" s="13"/>
      <c r="E31" s="39"/>
      <c r="F31" s="40"/>
      <c r="G31" s="41"/>
      <c r="H31" s="42"/>
      <c r="J31" s="69"/>
      <c r="K31" s="69"/>
      <c r="L31" s="69"/>
    </row>
    <row r="32" spans="1:12" ht="30" customHeight="1">
      <c r="A32" s="37" t="s">
        <v>81</v>
      </c>
      <c r="B32" s="403" t="s">
        <v>447</v>
      </c>
      <c r="C32" s="403"/>
      <c r="D32" s="404"/>
      <c r="E32" s="39"/>
      <c r="F32" s="40"/>
      <c r="G32" s="41"/>
      <c r="H32" s="42"/>
      <c r="J32" s="69"/>
      <c r="K32" s="69"/>
      <c r="L32" s="69"/>
    </row>
    <row r="33" spans="1:12" ht="13.05" customHeight="1">
      <c r="A33" s="37"/>
      <c r="B33" s="38"/>
      <c r="C33" s="13"/>
      <c r="D33" s="13"/>
      <c r="E33" s="39"/>
      <c r="F33" s="40"/>
      <c r="G33" s="41"/>
      <c r="H33" s="42"/>
      <c r="J33" s="69"/>
      <c r="K33" s="69"/>
      <c r="L33" s="69"/>
    </row>
    <row r="34" spans="1:12" ht="13.05" customHeight="1">
      <c r="A34" s="44" t="s">
        <v>396</v>
      </c>
      <c r="B34" s="13" t="s">
        <v>448</v>
      </c>
      <c r="C34" s="13"/>
      <c r="D34" s="13"/>
      <c r="E34" s="39" t="s">
        <v>52</v>
      </c>
      <c r="F34" s="40"/>
      <c r="G34" s="41"/>
      <c r="H34" s="42"/>
      <c r="J34" s="108"/>
      <c r="K34" s="109"/>
      <c r="L34" s="36"/>
    </row>
    <row r="35" spans="1:12" ht="13.05" customHeight="1">
      <c r="A35" s="44"/>
      <c r="B35" s="13" t="s">
        <v>449</v>
      </c>
      <c r="C35" s="13"/>
      <c r="D35" s="13" t="s">
        <v>450</v>
      </c>
      <c r="E35" s="39"/>
      <c r="F35" s="40"/>
      <c r="G35" s="41"/>
      <c r="H35" s="42"/>
      <c r="J35" s="36"/>
      <c r="K35" s="36"/>
      <c r="L35" s="36"/>
    </row>
    <row r="36" spans="1:12" ht="13.05" customHeight="1">
      <c r="A36" s="44"/>
      <c r="B36" s="13"/>
      <c r="C36" s="13"/>
      <c r="D36" s="13"/>
      <c r="E36" s="39"/>
      <c r="F36" s="40"/>
      <c r="G36" s="41"/>
      <c r="H36" s="42"/>
      <c r="J36" s="36"/>
      <c r="K36" s="36"/>
      <c r="L36" s="36"/>
    </row>
    <row r="37" spans="1:12" ht="13.05" customHeight="1">
      <c r="A37" s="44" t="s">
        <v>398</v>
      </c>
      <c r="B37" s="13" t="s">
        <v>451</v>
      </c>
      <c r="C37" s="13"/>
      <c r="D37" s="13"/>
      <c r="E37" s="39"/>
      <c r="F37" s="40"/>
      <c r="G37" s="41"/>
      <c r="H37" s="42"/>
      <c r="J37" s="69"/>
      <c r="K37" s="69"/>
      <c r="L37" s="69"/>
    </row>
    <row r="38" spans="1:12" ht="13.05" customHeight="1">
      <c r="A38" s="37"/>
      <c r="B38" s="38"/>
      <c r="C38" s="13" t="s">
        <v>441</v>
      </c>
      <c r="D38" s="13"/>
      <c r="E38" s="39" t="s">
        <v>52</v>
      </c>
      <c r="F38" s="40"/>
      <c r="G38" s="41"/>
      <c r="H38" s="42"/>
      <c r="J38" s="36"/>
      <c r="K38" s="36"/>
      <c r="L38" s="36"/>
    </row>
    <row r="39" spans="1:12" ht="13.05" customHeight="1">
      <c r="A39" s="37"/>
      <c r="B39" s="38"/>
      <c r="C39" s="13" t="s">
        <v>442</v>
      </c>
      <c r="D39" s="13"/>
      <c r="E39" s="39" t="s">
        <v>123</v>
      </c>
      <c r="F39" s="40"/>
      <c r="G39" s="41"/>
      <c r="H39" s="42"/>
      <c r="J39" s="36"/>
      <c r="K39" s="36"/>
      <c r="L39" s="36"/>
    </row>
    <row r="40" spans="1:12" ht="13.05" customHeight="1">
      <c r="A40" s="37"/>
      <c r="B40" s="38"/>
      <c r="C40" s="13" t="s">
        <v>452</v>
      </c>
      <c r="D40" s="13"/>
      <c r="E40" s="39" t="s">
        <v>123</v>
      </c>
      <c r="F40" s="40"/>
      <c r="G40" s="41"/>
      <c r="H40" s="42"/>
      <c r="J40" s="69"/>
      <c r="K40" s="69"/>
      <c r="L40" s="69"/>
    </row>
    <row r="41" spans="1:12" ht="13.05" customHeight="1">
      <c r="A41" s="37"/>
      <c r="B41" s="38"/>
      <c r="C41" s="13" t="s">
        <v>446</v>
      </c>
      <c r="D41" s="13"/>
      <c r="E41" s="39" t="s">
        <v>123</v>
      </c>
      <c r="F41" s="40"/>
      <c r="G41" s="41"/>
      <c r="H41" s="42"/>
      <c r="J41" s="69"/>
      <c r="K41" s="69"/>
      <c r="L41" s="69"/>
    </row>
    <row r="42" spans="1:12" ht="13.05" customHeight="1">
      <c r="A42" s="37"/>
      <c r="B42" s="38"/>
      <c r="C42" s="13"/>
      <c r="D42" s="13"/>
      <c r="E42" s="39"/>
      <c r="F42" s="40"/>
      <c r="G42" s="41"/>
      <c r="H42" s="42"/>
      <c r="J42" s="69"/>
      <c r="K42" s="69"/>
      <c r="L42" s="69"/>
    </row>
    <row r="43" spans="1:12" ht="13.05" customHeight="1">
      <c r="A43" s="37" t="s">
        <v>83</v>
      </c>
      <c r="B43" s="38" t="s">
        <v>453</v>
      </c>
      <c r="C43" s="13"/>
      <c r="D43" s="13"/>
      <c r="E43" s="39"/>
      <c r="F43" s="40"/>
      <c r="G43" s="41"/>
      <c r="H43" s="42"/>
      <c r="J43" s="69"/>
      <c r="K43" s="69"/>
      <c r="L43" s="69"/>
    </row>
    <row r="44" spans="1:12" ht="13.05" customHeight="1">
      <c r="A44" s="37"/>
      <c r="B44" s="38"/>
      <c r="C44" s="13" t="s">
        <v>441</v>
      </c>
      <c r="D44" s="13"/>
      <c r="E44" s="39" t="s">
        <v>52</v>
      </c>
      <c r="F44" s="40"/>
      <c r="G44" s="41"/>
      <c r="H44" s="42"/>
      <c r="J44" s="36"/>
      <c r="K44" s="36"/>
      <c r="L44" s="36"/>
    </row>
    <row r="45" spans="1:12" ht="13.05" customHeight="1">
      <c r="A45" s="37"/>
      <c r="B45" s="38"/>
      <c r="C45" s="13" t="s">
        <v>442</v>
      </c>
      <c r="D45" s="13"/>
      <c r="E45" s="39" t="s">
        <v>123</v>
      </c>
      <c r="F45" s="40"/>
      <c r="G45" s="41"/>
      <c r="H45" s="42"/>
      <c r="J45" s="36"/>
      <c r="K45" s="36"/>
      <c r="L45" s="36"/>
    </row>
    <row r="46" spans="1:12" ht="13.05" customHeight="1">
      <c r="A46" s="37"/>
      <c r="B46" s="38"/>
      <c r="C46" s="13" t="s">
        <v>452</v>
      </c>
      <c r="D46" s="13"/>
      <c r="E46" s="39" t="s">
        <v>123</v>
      </c>
      <c r="F46" s="40"/>
      <c r="G46" s="41"/>
      <c r="H46" s="42"/>
      <c r="J46" s="69"/>
      <c r="K46" s="69"/>
      <c r="L46" s="69"/>
    </row>
    <row r="47" spans="1:12" ht="13.05" customHeight="1">
      <c r="A47" s="37"/>
      <c r="B47" s="38"/>
      <c r="C47" s="13" t="s">
        <v>446</v>
      </c>
      <c r="D47" s="13"/>
      <c r="E47" s="39" t="s">
        <v>123</v>
      </c>
      <c r="F47" s="40"/>
      <c r="G47" s="41"/>
      <c r="H47" s="42"/>
      <c r="J47" s="69"/>
      <c r="K47" s="69"/>
      <c r="L47" s="69"/>
    </row>
    <row r="48" spans="1:12" ht="13.05" customHeight="1">
      <c r="A48" s="37"/>
      <c r="B48" s="38"/>
      <c r="C48" s="13"/>
      <c r="D48" s="13"/>
      <c r="E48" s="39"/>
      <c r="F48" s="40"/>
      <c r="G48" s="41"/>
      <c r="H48" s="42"/>
      <c r="J48" s="69"/>
      <c r="K48" s="69"/>
      <c r="L48" s="69"/>
    </row>
    <row r="49" spans="1:12" ht="13.05" customHeight="1">
      <c r="A49" s="37" t="s">
        <v>136</v>
      </c>
      <c r="B49" s="38" t="s">
        <v>454</v>
      </c>
      <c r="C49" s="13"/>
      <c r="D49" s="13"/>
      <c r="E49" s="39"/>
      <c r="F49" s="40"/>
      <c r="G49" s="41"/>
      <c r="H49" s="42"/>
      <c r="J49" s="36"/>
      <c r="K49" s="36"/>
      <c r="L49" s="36"/>
    </row>
    <row r="50" spans="1:12" ht="13.05" customHeight="1">
      <c r="A50" s="37"/>
      <c r="B50" s="38"/>
      <c r="C50" s="13"/>
      <c r="D50" s="13"/>
      <c r="E50" s="39"/>
      <c r="F50" s="40"/>
      <c r="G50" s="41"/>
      <c r="H50" s="42"/>
      <c r="J50" s="36"/>
      <c r="K50" s="36"/>
      <c r="L50" s="36"/>
    </row>
    <row r="51" spans="1:12" ht="13.05" customHeight="1">
      <c r="A51" s="44" t="s">
        <v>455</v>
      </c>
      <c r="B51" s="13" t="s">
        <v>456</v>
      </c>
      <c r="C51" s="13"/>
      <c r="D51" s="13"/>
      <c r="E51" s="39" t="s">
        <v>70</v>
      </c>
      <c r="F51" s="40"/>
      <c r="G51" s="41"/>
      <c r="H51" s="42"/>
      <c r="J51" s="36"/>
      <c r="K51" s="36"/>
      <c r="L51" s="36"/>
    </row>
    <row r="52" spans="1:12" ht="13.05" customHeight="1">
      <c r="A52" s="44"/>
      <c r="B52" s="13"/>
      <c r="C52" s="13"/>
      <c r="D52" s="13"/>
      <c r="E52" s="39"/>
      <c r="F52" s="40"/>
      <c r="G52" s="41"/>
      <c r="H52" s="42"/>
      <c r="J52" s="36"/>
      <c r="K52" s="36"/>
      <c r="L52" s="36"/>
    </row>
    <row r="53" spans="1:12" ht="13.05" customHeight="1">
      <c r="A53" s="44" t="s">
        <v>457</v>
      </c>
      <c r="B53" s="13" t="s">
        <v>458</v>
      </c>
      <c r="C53" s="13"/>
      <c r="D53" s="13"/>
      <c r="E53" s="39" t="s">
        <v>52</v>
      </c>
      <c r="F53" s="40"/>
      <c r="G53" s="41"/>
      <c r="H53" s="42"/>
      <c r="J53" s="69"/>
      <c r="K53" s="69"/>
      <c r="L53" s="69"/>
    </row>
    <row r="54" spans="1:12" ht="13.05" customHeight="1">
      <c r="A54" s="44"/>
      <c r="B54" s="13"/>
      <c r="C54" s="13"/>
      <c r="D54" s="13"/>
      <c r="E54" s="39"/>
      <c r="F54" s="40"/>
      <c r="G54" s="41"/>
      <c r="H54" s="42"/>
      <c r="J54" s="69"/>
      <c r="K54" s="69"/>
      <c r="L54" s="69"/>
    </row>
    <row r="55" spans="1:12" ht="13.05" customHeight="1">
      <c r="A55" s="44" t="s">
        <v>459</v>
      </c>
      <c r="B55" s="13" t="s">
        <v>460</v>
      </c>
      <c r="C55" s="13"/>
      <c r="D55" s="13"/>
      <c r="E55" s="39"/>
      <c r="F55" s="40"/>
      <c r="G55" s="41"/>
      <c r="H55" s="42"/>
      <c r="J55" s="69"/>
      <c r="K55" s="69"/>
      <c r="L55" s="69"/>
    </row>
    <row r="56" spans="1:12" ht="13.05" customHeight="1">
      <c r="A56" s="44"/>
      <c r="B56" s="13"/>
      <c r="C56" s="13"/>
      <c r="D56" s="13"/>
      <c r="E56" s="39"/>
      <c r="F56" s="40"/>
      <c r="G56" s="41"/>
      <c r="H56" s="42"/>
      <c r="J56" s="69"/>
      <c r="K56" s="69"/>
      <c r="L56" s="69"/>
    </row>
    <row r="57" spans="1:12" ht="13.05" customHeight="1">
      <c r="A57" s="44" t="s">
        <v>461</v>
      </c>
      <c r="B57" s="13" t="s">
        <v>462</v>
      </c>
      <c r="C57" s="13"/>
      <c r="D57" s="13"/>
      <c r="E57" s="39" t="s">
        <v>52</v>
      </c>
      <c r="F57" s="40"/>
      <c r="G57" s="41"/>
      <c r="H57" s="42"/>
      <c r="J57" s="69"/>
      <c r="K57" s="69"/>
      <c r="L57" s="69"/>
    </row>
    <row r="58" spans="1:12" ht="13.05" customHeight="1">
      <c r="A58" s="44"/>
      <c r="B58" s="13"/>
      <c r="C58" s="13"/>
      <c r="D58" s="13"/>
      <c r="E58" s="39"/>
      <c r="F58" s="40"/>
      <c r="G58" s="41"/>
      <c r="H58" s="42"/>
      <c r="J58" s="69"/>
      <c r="K58" s="69"/>
      <c r="L58" s="69"/>
    </row>
    <row r="59" spans="1:12" ht="13.05" customHeight="1">
      <c r="A59" s="44" t="s">
        <v>463</v>
      </c>
      <c r="B59" s="13" t="s">
        <v>440</v>
      </c>
      <c r="C59" s="13"/>
      <c r="D59" s="13"/>
      <c r="E59" s="39" t="s">
        <v>52</v>
      </c>
      <c r="F59" s="40"/>
      <c r="G59" s="41"/>
      <c r="H59" s="42"/>
      <c r="J59" s="74"/>
      <c r="K59" s="74"/>
      <c r="L59" s="74"/>
    </row>
    <row r="60" spans="1:12" ht="13.05" customHeight="1">
      <c r="A60" s="37"/>
      <c r="B60" s="38"/>
      <c r="C60" s="13"/>
      <c r="D60" s="13"/>
      <c r="E60" s="39"/>
      <c r="F60" s="40"/>
      <c r="G60" s="41"/>
      <c r="H60" s="42"/>
      <c r="J60" s="74"/>
      <c r="K60" s="74"/>
      <c r="L60" s="74"/>
    </row>
    <row r="61" spans="1:12" ht="13.05" customHeight="1">
      <c r="A61" s="37" t="s">
        <v>464</v>
      </c>
      <c r="B61" s="38" t="s">
        <v>465</v>
      </c>
      <c r="C61" s="13"/>
      <c r="D61" s="13"/>
      <c r="E61" s="39"/>
      <c r="F61" s="40"/>
      <c r="G61" s="41"/>
      <c r="H61" s="42"/>
      <c r="J61" s="74"/>
      <c r="K61" s="74"/>
      <c r="L61" s="74"/>
    </row>
    <row r="62" spans="1:12" ht="13.05" customHeight="1">
      <c r="A62" s="37"/>
      <c r="B62" s="38"/>
      <c r="C62" s="13"/>
      <c r="D62" s="13"/>
      <c r="E62" s="39"/>
      <c r="F62" s="40"/>
      <c r="G62" s="41"/>
      <c r="H62" s="42"/>
      <c r="J62" s="74"/>
      <c r="K62" s="74"/>
      <c r="L62" s="74"/>
    </row>
    <row r="63" spans="1:12" ht="13.05" customHeight="1">
      <c r="A63" s="44" t="s">
        <v>466</v>
      </c>
      <c r="B63" s="13" t="s">
        <v>462</v>
      </c>
      <c r="C63" s="13"/>
      <c r="D63" s="13"/>
      <c r="E63" s="39" t="s">
        <v>52</v>
      </c>
      <c r="F63" s="40"/>
      <c r="G63" s="41"/>
      <c r="H63" s="42"/>
      <c r="J63" s="36"/>
      <c r="K63" s="36"/>
      <c r="L63" s="36"/>
    </row>
    <row r="64" spans="1:12" ht="13.05" customHeight="1">
      <c r="A64" s="44"/>
      <c r="B64" s="13"/>
      <c r="C64" s="13"/>
      <c r="D64" s="13"/>
      <c r="E64" s="39"/>
      <c r="F64" s="40"/>
      <c r="G64" s="41"/>
      <c r="H64" s="42"/>
      <c r="J64" s="36"/>
      <c r="K64" s="36"/>
      <c r="L64" s="36"/>
    </row>
    <row r="65" spans="1:12" ht="13.05" customHeight="1">
      <c r="A65" s="44" t="s">
        <v>467</v>
      </c>
      <c r="B65" s="13" t="s">
        <v>468</v>
      </c>
      <c r="C65" s="13"/>
      <c r="D65" s="13"/>
      <c r="E65" s="39" t="s">
        <v>52</v>
      </c>
      <c r="F65" s="40"/>
      <c r="G65" s="41"/>
      <c r="H65" s="42"/>
      <c r="J65" s="69"/>
      <c r="K65" s="69"/>
      <c r="L65" s="69"/>
    </row>
    <row r="66" spans="1:12" ht="13.05" customHeight="1">
      <c r="A66" s="44"/>
      <c r="B66" s="13"/>
      <c r="C66" s="13"/>
      <c r="D66" s="13"/>
      <c r="E66" s="39"/>
      <c r="F66" s="40"/>
      <c r="G66" s="41"/>
      <c r="H66" s="42"/>
      <c r="J66" s="69"/>
      <c r="K66" s="69"/>
      <c r="L66" s="69"/>
    </row>
    <row r="67" spans="1:12" ht="13.05" customHeight="1">
      <c r="A67" s="44" t="s">
        <v>469</v>
      </c>
      <c r="B67" s="13" t="s">
        <v>470</v>
      </c>
      <c r="C67" s="13"/>
      <c r="D67" s="13"/>
      <c r="E67" s="39" t="s">
        <v>52</v>
      </c>
      <c r="F67" s="40"/>
      <c r="G67" s="41"/>
      <c r="H67" s="42"/>
      <c r="J67" s="69"/>
      <c r="K67" s="69"/>
      <c r="L67" s="69"/>
    </row>
    <row r="68" spans="1:12" ht="13.05" customHeight="1">
      <c r="A68" s="37"/>
      <c r="B68" s="38"/>
      <c r="C68" s="13"/>
      <c r="D68" s="13"/>
      <c r="E68" s="39"/>
      <c r="F68" s="40"/>
      <c r="G68" s="41"/>
      <c r="H68" s="42"/>
      <c r="J68" s="69"/>
      <c r="K68" s="69"/>
      <c r="L68" s="69"/>
    </row>
    <row r="69" spans="1:12" ht="13.05" customHeight="1">
      <c r="A69" s="37" t="s">
        <v>471</v>
      </c>
      <c r="B69" s="38" t="s">
        <v>472</v>
      </c>
      <c r="C69" s="13"/>
      <c r="D69" s="13"/>
      <c r="E69" s="39" t="s">
        <v>52</v>
      </c>
      <c r="F69" s="40"/>
      <c r="G69" s="41"/>
      <c r="H69" s="42"/>
      <c r="J69" s="69"/>
      <c r="K69" s="69"/>
      <c r="L69" s="69"/>
    </row>
    <row r="70" spans="1:12" ht="13.05" customHeight="1">
      <c r="A70" s="37"/>
      <c r="B70" s="72" t="s">
        <v>75</v>
      </c>
      <c r="C70" s="13"/>
      <c r="D70" s="13"/>
      <c r="E70" s="39"/>
      <c r="F70" s="40"/>
      <c r="G70" s="41"/>
      <c r="H70" s="42"/>
      <c r="J70" s="36"/>
      <c r="K70" s="36"/>
      <c r="L70" s="36"/>
    </row>
    <row r="71" spans="1:12" ht="13.05" customHeight="1">
      <c r="A71" s="37"/>
      <c r="B71" s="38"/>
      <c r="C71" s="13"/>
      <c r="D71" s="13"/>
      <c r="E71" s="39"/>
      <c r="F71" s="40"/>
      <c r="G71" s="41"/>
      <c r="H71" s="42"/>
      <c r="J71" s="36"/>
      <c r="K71" s="36"/>
      <c r="L71" s="36"/>
    </row>
    <row r="72" spans="1:12" ht="13.05" customHeight="1">
      <c r="A72" s="37"/>
      <c r="B72" s="38"/>
      <c r="C72" s="13"/>
      <c r="D72" s="13"/>
      <c r="E72" s="39"/>
      <c r="F72" s="40"/>
      <c r="G72" s="41"/>
      <c r="H72" s="42"/>
      <c r="J72" s="36"/>
      <c r="K72" s="36"/>
      <c r="L72" s="36"/>
    </row>
    <row r="73" spans="1:12" ht="13.05" customHeight="1">
      <c r="A73" s="37"/>
      <c r="B73" s="38"/>
      <c r="C73" s="13"/>
      <c r="D73" s="13"/>
      <c r="E73" s="39"/>
      <c r="F73" s="40"/>
      <c r="G73" s="41"/>
      <c r="H73" s="42"/>
      <c r="J73" s="36"/>
      <c r="K73" s="36"/>
      <c r="L73" s="36"/>
    </row>
    <row r="74" spans="1:12" ht="13.05" customHeight="1">
      <c r="A74" s="37"/>
      <c r="B74" s="38"/>
      <c r="C74" s="13"/>
      <c r="D74" s="13"/>
      <c r="E74" s="39"/>
      <c r="F74" s="40"/>
      <c r="G74" s="41"/>
      <c r="H74" s="42"/>
      <c r="J74" s="69"/>
      <c r="K74" s="69"/>
      <c r="L74" s="69"/>
    </row>
    <row r="75" spans="1:12" ht="13.05" customHeight="1">
      <c r="A75" s="37"/>
      <c r="B75" s="38"/>
      <c r="C75" s="13"/>
      <c r="D75" s="13"/>
      <c r="E75" s="39"/>
      <c r="F75" s="40"/>
      <c r="G75" s="41"/>
      <c r="H75" s="42"/>
      <c r="J75" s="69"/>
      <c r="K75" s="69"/>
      <c r="L75" s="69"/>
    </row>
    <row r="76" spans="1:12" ht="13.05" customHeight="1">
      <c r="A76" s="37"/>
      <c r="B76" s="38"/>
      <c r="C76" s="13"/>
      <c r="D76" s="13"/>
      <c r="E76" s="39"/>
      <c r="F76" s="40"/>
      <c r="G76" s="41"/>
      <c r="H76" s="42"/>
      <c r="J76" s="69"/>
      <c r="K76" s="69"/>
      <c r="L76" s="69"/>
    </row>
    <row r="77" spans="1:12" ht="13.05" customHeight="1">
      <c r="A77" s="37"/>
      <c r="B77" s="38"/>
      <c r="C77" s="13"/>
      <c r="D77" s="13"/>
      <c r="E77" s="39"/>
      <c r="F77" s="40"/>
      <c r="G77" s="41"/>
      <c r="H77" s="42"/>
      <c r="J77" s="69"/>
      <c r="K77" s="69"/>
      <c r="L77" s="69"/>
    </row>
    <row r="78" spans="1:12" ht="13.05" customHeight="1">
      <c r="A78" s="37"/>
      <c r="B78" s="38"/>
      <c r="C78" s="13"/>
      <c r="D78" s="13"/>
      <c r="E78" s="39"/>
      <c r="F78" s="40"/>
      <c r="G78" s="41"/>
      <c r="H78" s="42"/>
      <c r="J78" s="69"/>
      <c r="K78" s="69"/>
      <c r="L78" s="69"/>
    </row>
    <row r="79" spans="1:12" ht="13.05" customHeight="1">
      <c r="A79" s="37"/>
      <c r="B79" s="38"/>
      <c r="C79" s="13"/>
      <c r="D79" s="13"/>
      <c r="E79" s="39"/>
      <c r="F79" s="40"/>
      <c r="G79" s="41"/>
      <c r="H79" s="42"/>
      <c r="J79" s="74"/>
      <c r="K79" s="74"/>
      <c r="L79" s="74"/>
    </row>
    <row r="80" spans="1:12" ht="13.05" customHeight="1">
      <c r="A80" s="37"/>
      <c r="B80" s="38"/>
      <c r="C80" s="13"/>
      <c r="D80" s="13"/>
      <c r="E80" s="39"/>
      <c r="F80" s="40"/>
      <c r="G80" s="41"/>
      <c r="H80" s="42"/>
      <c r="J80" s="74"/>
      <c r="K80" s="74"/>
      <c r="L80" s="74"/>
    </row>
    <row r="81" spans="1:12" ht="13.05" customHeight="1">
      <c r="A81" s="37"/>
      <c r="B81" s="38"/>
      <c r="C81" s="13"/>
      <c r="D81" s="13"/>
      <c r="E81" s="39"/>
      <c r="F81" s="40"/>
      <c r="G81" s="41"/>
      <c r="H81" s="42"/>
      <c r="J81" s="69"/>
      <c r="K81" s="69"/>
      <c r="L81" s="69"/>
    </row>
    <row r="82" spans="1:12" ht="13.05" customHeight="1">
      <c r="A82" s="37" t="s">
        <v>473</v>
      </c>
      <c r="B82" s="38" t="s">
        <v>474</v>
      </c>
      <c r="C82" s="13"/>
      <c r="D82" s="13"/>
      <c r="E82" s="39" t="s">
        <v>52</v>
      </c>
      <c r="F82" s="40"/>
      <c r="G82" s="41"/>
      <c r="H82" s="42"/>
      <c r="J82" s="36"/>
      <c r="K82" s="36"/>
      <c r="L82" s="36"/>
    </row>
    <row r="83" spans="1:12" ht="13.05" customHeight="1">
      <c r="A83" s="37"/>
      <c r="B83" s="72" t="s">
        <v>75</v>
      </c>
      <c r="C83" s="13"/>
      <c r="D83" s="13"/>
      <c r="E83" s="39"/>
      <c r="F83" s="40"/>
      <c r="G83" s="41"/>
      <c r="H83" s="42"/>
      <c r="J83" s="36"/>
      <c r="K83" s="36"/>
      <c r="L83" s="36"/>
    </row>
    <row r="84" spans="1:12" ht="13.05" customHeight="1">
      <c r="A84" s="37"/>
      <c r="B84" s="38"/>
      <c r="C84" s="13"/>
      <c r="D84" s="13"/>
      <c r="E84" s="39"/>
      <c r="F84" s="40"/>
      <c r="G84" s="41"/>
      <c r="H84" s="42"/>
      <c r="J84" s="36"/>
      <c r="K84" s="36"/>
      <c r="L84" s="36"/>
    </row>
    <row r="85" spans="1:12" ht="13.05" customHeight="1">
      <c r="A85" s="37"/>
      <c r="B85" s="38"/>
      <c r="C85" s="13"/>
      <c r="D85" s="13"/>
      <c r="E85" s="39"/>
      <c r="F85" s="40"/>
      <c r="G85" s="41"/>
      <c r="H85" s="42"/>
      <c r="J85" s="36"/>
      <c r="K85" s="36"/>
      <c r="L85" s="36"/>
    </row>
    <row r="86" spans="1:12" ht="13.05" customHeight="1">
      <c r="A86" s="37"/>
      <c r="B86" s="38"/>
      <c r="C86" s="13"/>
      <c r="D86" s="13"/>
      <c r="E86" s="39"/>
      <c r="F86" s="40"/>
      <c r="G86" s="41"/>
      <c r="H86" s="42"/>
      <c r="J86" s="36"/>
      <c r="K86" s="36"/>
      <c r="L86" s="36"/>
    </row>
    <row r="87" spans="1:12" ht="13.05" customHeight="1">
      <c r="A87" s="37"/>
      <c r="B87" s="38"/>
      <c r="C87" s="13"/>
      <c r="D87" s="13"/>
      <c r="E87" s="39"/>
      <c r="F87" s="40"/>
      <c r="G87" s="41"/>
      <c r="H87" s="42"/>
      <c r="J87" s="69"/>
      <c r="K87" s="69"/>
      <c r="L87" s="69"/>
    </row>
    <row r="88" spans="1:12" ht="13.05" customHeight="1">
      <c r="A88" s="37"/>
      <c r="B88" s="38"/>
      <c r="C88" s="13"/>
      <c r="D88" s="13"/>
      <c r="E88" s="39"/>
      <c r="F88" s="40"/>
      <c r="G88" s="41"/>
      <c r="H88" s="42"/>
      <c r="J88" s="69"/>
      <c r="K88" s="69"/>
      <c r="L88" s="69"/>
    </row>
    <row r="89" spans="1:12" ht="13.05" customHeight="1">
      <c r="A89" s="37"/>
      <c r="B89" s="38"/>
      <c r="C89" s="13"/>
      <c r="D89" s="13"/>
      <c r="E89" s="39"/>
      <c r="F89" s="40"/>
      <c r="G89" s="41"/>
      <c r="H89" s="42"/>
      <c r="J89" s="69"/>
      <c r="K89" s="69"/>
      <c r="L89" s="69"/>
    </row>
    <row r="90" spans="1:12" ht="13.05" customHeight="1">
      <c r="A90" s="37"/>
      <c r="B90" s="38"/>
      <c r="C90" s="13"/>
      <c r="D90" s="13"/>
      <c r="E90" s="39"/>
      <c r="F90" s="40"/>
      <c r="G90" s="41"/>
      <c r="H90" s="42"/>
      <c r="J90" s="69"/>
      <c r="K90" s="69"/>
      <c r="L90" s="69"/>
    </row>
    <row r="91" spans="1:12" ht="13.05" customHeight="1">
      <c r="A91" s="37"/>
      <c r="B91" s="38"/>
      <c r="C91" s="13"/>
      <c r="D91" s="13"/>
      <c r="E91" s="39"/>
      <c r="F91" s="40"/>
      <c r="G91" s="41"/>
      <c r="H91" s="42"/>
      <c r="J91" s="69"/>
      <c r="K91" s="69"/>
      <c r="L91" s="69"/>
    </row>
    <row r="92" spans="1:12" ht="13.05" customHeight="1">
      <c r="A92" s="37"/>
      <c r="B92" s="38"/>
      <c r="C92" s="13"/>
      <c r="D92" s="13"/>
      <c r="E92" s="39"/>
      <c r="F92" s="40"/>
      <c r="G92" s="41"/>
      <c r="H92" s="42"/>
      <c r="J92" s="74"/>
      <c r="K92" s="74"/>
      <c r="L92" s="74"/>
    </row>
    <row r="93" spans="1:12" ht="13.05" customHeight="1">
      <c r="A93" s="37"/>
      <c r="B93" s="38"/>
      <c r="C93" s="13"/>
      <c r="D93" s="13"/>
      <c r="E93" s="39"/>
      <c r="F93" s="40"/>
      <c r="G93" s="41"/>
      <c r="H93" s="42"/>
      <c r="J93" s="74"/>
      <c r="K93" s="74"/>
      <c r="L93" s="74"/>
    </row>
    <row r="94" spans="1:12" ht="13.05" customHeight="1">
      <c r="A94" s="37"/>
      <c r="B94" s="38"/>
      <c r="C94" s="13"/>
      <c r="D94" s="13"/>
      <c r="E94" s="39"/>
      <c r="F94" s="40"/>
      <c r="G94" s="41"/>
      <c r="H94" s="42"/>
      <c r="J94" s="36"/>
      <c r="K94" s="36"/>
      <c r="L94" s="36"/>
    </row>
    <row r="95" spans="1:12" ht="13.05" customHeight="1">
      <c r="A95" s="37" t="s">
        <v>475</v>
      </c>
      <c r="B95" s="38" t="s">
        <v>476</v>
      </c>
      <c r="C95" s="13"/>
      <c r="D95" s="13"/>
      <c r="E95" s="39" t="s">
        <v>52</v>
      </c>
      <c r="F95" s="40"/>
      <c r="G95" s="41"/>
      <c r="H95" s="42"/>
      <c r="J95" s="36"/>
      <c r="K95" s="36"/>
      <c r="L95" s="36"/>
    </row>
    <row r="96" spans="1:12" ht="13.05" customHeight="1">
      <c r="A96" s="37"/>
      <c r="B96" s="72" t="s">
        <v>75</v>
      </c>
      <c r="C96" s="13"/>
      <c r="D96" s="13"/>
      <c r="E96" s="39"/>
      <c r="F96" s="40"/>
      <c r="G96" s="41"/>
      <c r="H96" s="42"/>
      <c r="J96" s="36"/>
      <c r="K96" s="36"/>
      <c r="L96" s="36"/>
    </row>
    <row r="97" spans="1:12" ht="13.05" customHeight="1">
      <c r="A97" s="37"/>
      <c r="B97" s="38"/>
      <c r="C97" s="13"/>
      <c r="D97" s="13"/>
      <c r="E97" s="39"/>
      <c r="F97" s="40"/>
      <c r="G97" s="41"/>
      <c r="H97" s="42"/>
      <c r="J97" s="36"/>
      <c r="K97" s="36"/>
      <c r="L97" s="36"/>
    </row>
    <row r="98" spans="1:12" ht="13.05" customHeight="1">
      <c r="A98" s="37"/>
      <c r="B98" s="38"/>
      <c r="C98" s="13"/>
      <c r="D98" s="13"/>
      <c r="E98" s="39"/>
      <c r="F98" s="40"/>
      <c r="G98" s="41"/>
      <c r="H98" s="42"/>
      <c r="J98" s="36"/>
      <c r="K98" s="36"/>
      <c r="L98" s="36"/>
    </row>
    <row r="99" spans="1:12" ht="13.05" customHeight="1">
      <c r="A99" s="37"/>
      <c r="B99" s="38"/>
      <c r="C99" s="13"/>
      <c r="D99" s="13"/>
      <c r="E99" s="39"/>
      <c r="F99" s="40"/>
      <c r="G99" s="41"/>
      <c r="H99" s="42"/>
      <c r="J99" s="36"/>
      <c r="K99" s="36"/>
      <c r="L99" s="36"/>
    </row>
    <row r="100" spans="1:12" ht="13.05" customHeight="1">
      <c r="A100" s="37"/>
      <c r="B100" s="38"/>
      <c r="C100" s="13"/>
      <c r="D100" s="13"/>
      <c r="E100" s="39"/>
      <c r="F100" s="40"/>
      <c r="G100" s="41"/>
      <c r="H100" s="42"/>
      <c r="J100" s="69"/>
      <c r="K100" s="69"/>
      <c r="L100" s="69"/>
    </row>
    <row r="101" spans="1:12" ht="13.05" customHeight="1">
      <c r="A101" s="37"/>
      <c r="B101" s="38"/>
      <c r="C101" s="13"/>
      <c r="D101" s="13"/>
      <c r="E101" s="39"/>
      <c r="F101" s="40"/>
      <c r="G101" s="41"/>
      <c r="H101" s="42"/>
      <c r="J101" s="69"/>
      <c r="K101" s="69"/>
      <c r="L101" s="69"/>
    </row>
    <row r="102" spans="1:12" ht="13.05" customHeight="1">
      <c r="A102" s="37"/>
      <c r="B102" s="38"/>
      <c r="C102" s="13"/>
      <c r="D102" s="13"/>
      <c r="E102" s="39"/>
      <c r="F102" s="40"/>
      <c r="G102" s="41"/>
      <c r="H102" s="42"/>
      <c r="J102" s="69"/>
      <c r="K102" s="69"/>
      <c r="L102" s="69"/>
    </row>
    <row r="103" spans="1:12" ht="13.05" customHeight="1">
      <c r="A103" s="37"/>
      <c r="B103" s="38"/>
      <c r="C103" s="13"/>
      <c r="D103" s="13"/>
      <c r="E103" s="39"/>
      <c r="F103" s="40"/>
      <c r="G103" s="41"/>
      <c r="H103" s="42"/>
      <c r="J103" s="69"/>
      <c r="K103" s="69"/>
      <c r="L103" s="69"/>
    </row>
    <row r="104" spans="1:12" ht="13.05" customHeight="1">
      <c r="A104" s="37"/>
      <c r="B104" s="38"/>
      <c r="C104" s="13"/>
      <c r="D104" s="13"/>
      <c r="E104" s="39"/>
      <c r="F104" s="40"/>
      <c r="G104" s="41"/>
      <c r="H104" s="42"/>
      <c r="J104" s="69"/>
      <c r="K104" s="69"/>
      <c r="L104" s="69"/>
    </row>
    <row r="105" spans="1:12" ht="13.05" customHeight="1">
      <c r="A105" s="37"/>
      <c r="B105" s="38"/>
      <c r="C105" s="13"/>
      <c r="D105" s="13"/>
      <c r="E105" s="39"/>
      <c r="F105" s="40"/>
      <c r="G105" s="41"/>
      <c r="H105" s="42"/>
      <c r="J105" s="74"/>
      <c r="K105" s="74"/>
      <c r="L105" s="74"/>
    </row>
    <row r="106" spans="1:12" ht="13.05" customHeight="1">
      <c r="A106" s="37"/>
      <c r="B106" s="38"/>
      <c r="C106" s="13"/>
      <c r="D106" s="13"/>
      <c r="E106" s="39"/>
      <c r="F106" s="40"/>
      <c r="G106" s="41"/>
      <c r="H106" s="42"/>
      <c r="J106" s="74"/>
      <c r="K106" s="74"/>
      <c r="L106" s="74"/>
    </row>
    <row r="107" spans="1:12" ht="13.05" customHeight="1">
      <c r="A107" s="37"/>
      <c r="B107" s="38"/>
      <c r="C107" s="13"/>
      <c r="D107" s="13"/>
      <c r="E107" s="39"/>
      <c r="F107" s="40"/>
      <c r="G107" s="41"/>
      <c r="H107" s="42"/>
      <c r="J107" s="36"/>
      <c r="K107" s="36"/>
      <c r="L107" s="36"/>
    </row>
    <row r="108" spans="1:12" ht="13.05" customHeight="1">
      <c r="A108" s="37" t="s">
        <v>477</v>
      </c>
      <c r="B108" s="38" t="s">
        <v>478</v>
      </c>
      <c r="C108" s="13"/>
      <c r="D108" s="13"/>
      <c r="E108" s="39" t="s">
        <v>123</v>
      </c>
      <c r="F108" s="40"/>
      <c r="G108" s="41"/>
      <c r="H108" s="42"/>
      <c r="J108" s="36"/>
      <c r="K108" s="36"/>
      <c r="L108" s="36"/>
    </row>
    <row r="109" spans="1:12" ht="13.05" customHeight="1">
      <c r="A109" s="37"/>
      <c r="B109" s="72" t="s">
        <v>75</v>
      </c>
      <c r="C109" s="13"/>
      <c r="D109" s="13"/>
      <c r="E109" s="39"/>
      <c r="F109" s="40"/>
      <c r="G109" s="41"/>
      <c r="H109" s="42"/>
      <c r="J109" s="36"/>
      <c r="K109" s="36"/>
      <c r="L109" s="36"/>
    </row>
    <row r="110" spans="1:12" ht="13.05" customHeight="1">
      <c r="A110" s="37"/>
      <c r="B110" s="38"/>
      <c r="C110" s="13"/>
      <c r="D110" s="13"/>
      <c r="E110" s="39"/>
      <c r="F110" s="40"/>
      <c r="G110" s="41"/>
      <c r="H110" s="42"/>
      <c r="J110" s="36"/>
      <c r="K110" s="36"/>
      <c r="L110" s="36"/>
    </row>
    <row r="111" spans="1:12" ht="13.05" customHeight="1">
      <c r="A111" s="37"/>
      <c r="B111" s="38"/>
      <c r="C111" s="13"/>
      <c r="D111" s="13"/>
      <c r="E111" s="39"/>
      <c r="F111" s="40"/>
      <c r="G111" s="41"/>
      <c r="H111" s="42"/>
      <c r="J111" s="36"/>
      <c r="K111" s="36"/>
      <c r="L111" s="36"/>
    </row>
    <row r="112" spans="1:12" ht="13.05" customHeight="1">
      <c r="A112" s="37"/>
      <c r="B112" s="38"/>
      <c r="C112" s="13"/>
      <c r="D112" s="13"/>
      <c r="E112" s="39"/>
      <c r="F112" s="40"/>
      <c r="G112" s="41"/>
      <c r="H112" s="42"/>
      <c r="J112" s="36"/>
      <c r="K112" s="36"/>
      <c r="L112" s="36"/>
    </row>
    <row r="113" spans="1:12" ht="13.05" customHeight="1">
      <c r="A113" s="37"/>
      <c r="B113" s="38"/>
      <c r="C113" s="13"/>
      <c r="D113" s="13"/>
      <c r="E113" s="39"/>
      <c r="F113" s="40"/>
      <c r="G113" s="41"/>
      <c r="H113" s="42"/>
      <c r="J113" s="69"/>
      <c r="K113" s="69"/>
      <c r="L113" s="69"/>
    </row>
    <row r="114" spans="1:12" ht="13.05" customHeight="1">
      <c r="A114" s="37"/>
      <c r="B114" s="38"/>
      <c r="C114" s="13"/>
      <c r="D114" s="13"/>
      <c r="E114" s="39"/>
      <c r="F114" s="40"/>
      <c r="G114" s="41"/>
      <c r="H114" s="42"/>
      <c r="J114" s="69"/>
      <c r="K114" s="69"/>
      <c r="L114" s="69"/>
    </row>
    <row r="115" spans="1:12" ht="13.05" customHeight="1">
      <c r="A115" s="37"/>
      <c r="B115" s="38"/>
      <c r="C115" s="13"/>
      <c r="D115" s="13"/>
      <c r="E115" s="39"/>
      <c r="F115" s="40"/>
      <c r="G115" s="41"/>
      <c r="H115" s="42"/>
      <c r="J115" s="69"/>
      <c r="K115" s="69"/>
      <c r="L115" s="69"/>
    </row>
    <row r="116" spans="1:12" ht="13.05" customHeight="1">
      <c r="A116" s="37"/>
      <c r="B116" s="38"/>
      <c r="C116" s="13"/>
      <c r="D116" s="13"/>
      <c r="E116" s="39"/>
      <c r="F116" s="40"/>
      <c r="G116" s="41"/>
      <c r="H116" s="42"/>
      <c r="J116" s="69"/>
      <c r="K116" s="69"/>
      <c r="L116" s="69"/>
    </row>
    <row r="117" spans="1:12" ht="13.05" customHeight="1">
      <c r="A117" s="37"/>
      <c r="B117" s="38"/>
      <c r="C117" s="13"/>
      <c r="D117" s="13"/>
      <c r="E117" s="39"/>
      <c r="F117" s="40"/>
      <c r="G117" s="41"/>
      <c r="H117" s="42"/>
      <c r="J117" s="69"/>
      <c r="K117" s="69"/>
      <c r="L117" s="69"/>
    </row>
    <row r="118" spans="1:12" ht="13.05" customHeight="1">
      <c r="A118" s="37"/>
      <c r="B118" s="38"/>
      <c r="C118" s="13"/>
      <c r="D118" s="13"/>
      <c r="E118" s="39"/>
      <c r="F118" s="40"/>
      <c r="G118" s="41"/>
      <c r="H118" s="42"/>
      <c r="J118" s="74"/>
      <c r="K118" s="74"/>
      <c r="L118" s="74"/>
    </row>
    <row r="119" spans="1:12" ht="13.05" customHeight="1">
      <c r="A119" s="37"/>
      <c r="B119" s="38"/>
      <c r="C119" s="13"/>
      <c r="D119" s="13"/>
      <c r="E119" s="39"/>
      <c r="F119" s="40"/>
      <c r="G119" s="41"/>
      <c r="H119" s="42"/>
      <c r="J119" s="74"/>
      <c r="K119" s="74"/>
      <c r="L119" s="74"/>
    </row>
    <row r="120" spans="1:12" ht="13.05" customHeight="1">
      <c r="A120" s="37"/>
      <c r="B120" s="38"/>
      <c r="C120" s="13"/>
      <c r="D120" s="13"/>
      <c r="E120" s="39"/>
      <c r="F120" s="40"/>
      <c r="G120" s="41"/>
      <c r="H120" s="42"/>
      <c r="J120" s="36"/>
      <c r="K120" s="36"/>
      <c r="L120" s="36"/>
    </row>
    <row r="121" spans="1:12" ht="13.05" customHeight="1">
      <c r="A121" s="37" t="s">
        <v>479</v>
      </c>
      <c r="B121" s="38" t="s">
        <v>374</v>
      </c>
      <c r="C121" s="13"/>
      <c r="D121" s="13"/>
      <c r="E121" s="39" t="s">
        <v>480</v>
      </c>
      <c r="F121" s="40"/>
      <c r="G121" s="41"/>
      <c r="H121" s="42"/>
      <c r="J121" s="36"/>
      <c r="K121" s="36"/>
      <c r="L121" s="36"/>
    </row>
    <row r="122" spans="1:12" ht="13.05" customHeight="1">
      <c r="A122" s="37"/>
      <c r="B122" s="38"/>
      <c r="C122" s="13"/>
      <c r="D122" s="13"/>
      <c r="E122" s="39"/>
      <c r="F122" s="40"/>
      <c r="G122" s="41"/>
      <c r="H122" s="42"/>
      <c r="J122" s="36"/>
      <c r="K122" s="36"/>
      <c r="L122" s="36"/>
    </row>
    <row r="123" spans="1:12" ht="13.05" customHeight="1" thickBot="1">
      <c r="A123" s="49"/>
      <c r="B123" s="50"/>
      <c r="C123" s="50"/>
      <c r="D123" s="50"/>
      <c r="E123" s="51"/>
      <c r="F123" s="52"/>
      <c r="G123" s="53"/>
      <c r="H123" s="54"/>
      <c r="J123" s="81"/>
      <c r="K123" s="81"/>
      <c r="L123" s="81"/>
    </row>
    <row r="124" spans="1:12" ht="20.100000000000001" customHeight="1" thickTop="1">
      <c r="A124" s="366" t="s">
        <v>62</v>
      </c>
      <c r="B124" s="367"/>
      <c r="C124" s="367"/>
      <c r="D124" s="368"/>
      <c r="E124" s="55"/>
      <c r="F124" s="56"/>
      <c r="G124" s="57"/>
      <c r="H124" s="58"/>
      <c r="J124" s="81"/>
      <c r="K124" s="81"/>
      <c r="L124" s="81"/>
    </row>
    <row r="125" spans="1:12" ht="20.100000000000001" customHeight="1">
      <c r="A125" s="369" t="s">
        <v>63</v>
      </c>
      <c r="B125" s="370"/>
      <c r="C125" s="370"/>
      <c r="D125" s="371"/>
      <c r="E125" s="59"/>
      <c r="F125" s="60"/>
      <c r="G125" s="61"/>
      <c r="H125" s="62"/>
      <c r="J125" s="81"/>
      <c r="K125" s="81"/>
      <c r="L125" s="81"/>
    </row>
    <row r="126" spans="1:12" ht="20.100000000000001" customHeight="1" thickBot="1">
      <c r="A126" s="352" t="s">
        <v>64</v>
      </c>
      <c r="B126" s="353"/>
      <c r="C126" s="353"/>
      <c r="D126" s="354"/>
      <c r="E126" s="63"/>
      <c r="F126" s="64"/>
      <c r="G126" s="65"/>
      <c r="H126" s="66"/>
      <c r="J126" s="81"/>
      <c r="K126" s="81"/>
      <c r="L126" s="81"/>
    </row>
    <row r="127" spans="1:12" ht="15.6" thickTop="1">
      <c r="J127" s="81"/>
      <c r="K127" s="81"/>
      <c r="L127" s="81"/>
    </row>
    <row r="128" spans="1:12">
      <c r="J128" s="81"/>
      <c r="K128" s="81"/>
      <c r="L128" s="81"/>
    </row>
    <row r="129" spans="10:12">
      <c r="J129" s="81"/>
      <c r="K129" s="81"/>
      <c r="L129" s="81"/>
    </row>
    <row r="130" spans="10:12">
      <c r="L130" s="81"/>
    </row>
    <row r="131" spans="10:12">
      <c r="L131" s="81"/>
    </row>
    <row r="132" spans="10:12">
      <c r="L132" s="81"/>
    </row>
    <row r="133" spans="10:12">
      <c r="L133" s="81"/>
    </row>
    <row r="134" spans="10:12">
      <c r="L134" s="81"/>
    </row>
    <row r="135" spans="10:12">
      <c r="L135" s="81"/>
    </row>
    <row r="136" spans="10:12">
      <c r="L136" s="81"/>
    </row>
    <row r="137" spans="10:12">
      <c r="L137" s="81"/>
    </row>
    <row r="138" spans="10:12">
      <c r="L138" s="81"/>
    </row>
    <row r="139" spans="10:12">
      <c r="L139" s="81"/>
    </row>
    <row r="140" spans="10:12">
      <c r="L140" s="81"/>
    </row>
    <row r="141" spans="10:12">
      <c r="L141" s="81"/>
    </row>
    <row r="142" spans="10:12">
      <c r="L142" s="81"/>
    </row>
    <row r="143" spans="10:12">
      <c r="L143" s="81"/>
    </row>
    <row r="144" spans="10:12">
      <c r="L144" s="81"/>
    </row>
    <row r="145" spans="10:12">
      <c r="L145" s="81"/>
    </row>
    <row r="146" spans="10:12">
      <c r="L146" s="81"/>
    </row>
    <row r="147" spans="10:12">
      <c r="L147" s="81"/>
    </row>
    <row r="148" spans="10:12">
      <c r="L148" s="81"/>
    </row>
    <row r="149" spans="10:12">
      <c r="L149" s="81"/>
    </row>
    <row r="150" spans="10:12">
      <c r="L150" s="81"/>
    </row>
    <row r="151" spans="10:12">
      <c r="J151" s="75"/>
      <c r="K151" s="81"/>
      <c r="L151" s="81"/>
    </row>
  </sheetData>
  <mergeCells count="8">
    <mergeCell ref="A126:D126"/>
    <mergeCell ref="A1:H1"/>
    <mergeCell ref="A2:H2"/>
    <mergeCell ref="B3:D3"/>
    <mergeCell ref="A124:D124"/>
    <mergeCell ref="A125:D125"/>
    <mergeCell ref="B32:D32"/>
    <mergeCell ref="A6:H6"/>
  </mergeCells>
  <pageMargins left="0.70866141732283472" right="0.70866141732283472" top="0.74803149606299213" bottom="0.74803149606299213" header="0.31496062992125984" footer="0.31496062992125984"/>
  <pageSetup paperSize="8" orientation="portrait" horizontalDpi="0" verticalDpi="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1F48C8-BFF0-4F81-B2C4-5A4C47B81177}">
  <sheetPr codeName="Feuil9">
    <pageSetUpPr fitToPage="1"/>
  </sheetPr>
  <dimension ref="A1:O111"/>
  <sheetViews>
    <sheetView zoomScale="80" zoomScaleNormal="80" workbookViewId="0">
      <selection activeCell="K18" sqref="K18"/>
    </sheetView>
  </sheetViews>
  <sheetFormatPr baseColWidth="10" defaultColWidth="11.44140625" defaultRowHeight="15"/>
  <cols>
    <col min="1" max="2" width="9.77734375" style="1" customWidth="1"/>
    <col min="3" max="3" width="14.21875" style="1" customWidth="1"/>
    <col min="4" max="4" width="35.777343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90.44140625" style="1" customWidth="1"/>
    <col min="12" max="200" width="11.44140625" style="1"/>
    <col min="201" max="201" width="4.21875" style="1" customWidth="1"/>
    <col min="202" max="203" width="11.44140625" style="1"/>
    <col min="204" max="204" width="22" style="1" customWidth="1"/>
    <col min="205" max="205" width="6.77734375" style="1" customWidth="1"/>
    <col min="206" max="206" width="15.44140625" style="1" bestFit="1" customWidth="1"/>
    <col min="207" max="207" width="11.44140625" style="1"/>
    <col min="208" max="208" width="14.21875" style="1" bestFit="1" customWidth="1"/>
    <col min="209" max="209" width="11.77734375" style="1" bestFit="1" customWidth="1"/>
    <col min="210" max="210" width="13.21875" style="1" bestFit="1" customWidth="1"/>
    <col min="211" max="211" width="11.77734375" style="1" bestFit="1" customWidth="1"/>
    <col min="212" max="456" width="11.44140625" style="1"/>
    <col min="457" max="457" width="4.21875" style="1" customWidth="1"/>
    <col min="458" max="459" width="11.44140625" style="1"/>
    <col min="460" max="460" width="22" style="1" customWidth="1"/>
    <col min="461" max="461" width="6.77734375" style="1" customWidth="1"/>
    <col min="462" max="462" width="15.44140625" style="1" bestFit="1" customWidth="1"/>
    <col min="463" max="463" width="11.44140625" style="1"/>
    <col min="464" max="464" width="14.21875" style="1" bestFit="1" customWidth="1"/>
    <col min="465" max="465" width="11.77734375" style="1" bestFit="1" customWidth="1"/>
    <col min="466" max="466" width="13.21875" style="1" bestFit="1" customWidth="1"/>
    <col min="467" max="467" width="11.77734375" style="1" bestFit="1" customWidth="1"/>
    <col min="468" max="712" width="11.44140625" style="1"/>
    <col min="713" max="713" width="4.21875" style="1" customWidth="1"/>
    <col min="714" max="715" width="11.44140625" style="1"/>
    <col min="716" max="716" width="22" style="1" customWidth="1"/>
    <col min="717" max="717" width="6.77734375" style="1" customWidth="1"/>
    <col min="718" max="718" width="15.44140625" style="1" bestFit="1" customWidth="1"/>
    <col min="719" max="719" width="11.44140625" style="1"/>
    <col min="720" max="720" width="14.21875" style="1" bestFit="1" customWidth="1"/>
    <col min="721" max="721" width="11.77734375" style="1" bestFit="1" customWidth="1"/>
    <col min="722" max="722" width="13.21875" style="1" bestFit="1" customWidth="1"/>
    <col min="723" max="723" width="11.77734375" style="1" bestFit="1" customWidth="1"/>
    <col min="724" max="968" width="11.44140625" style="1"/>
    <col min="969" max="969" width="4.21875" style="1" customWidth="1"/>
    <col min="970" max="971" width="11.44140625" style="1"/>
    <col min="972" max="972" width="22" style="1" customWidth="1"/>
    <col min="973" max="973" width="6.77734375" style="1" customWidth="1"/>
    <col min="974" max="974" width="15.44140625" style="1" bestFit="1" customWidth="1"/>
    <col min="975" max="975" width="11.44140625" style="1"/>
    <col min="976" max="976" width="14.21875" style="1" bestFit="1" customWidth="1"/>
    <col min="977" max="977" width="11.77734375" style="1" bestFit="1" customWidth="1"/>
    <col min="978" max="978" width="13.21875" style="1" bestFit="1" customWidth="1"/>
    <col min="979" max="979" width="11.77734375" style="1" bestFit="1" customWidth="1"/>
    <col min="980" max="1224" width="11.44140625" style="1"/>
    <col min="1225" max="1225" width="4.21875" style="1" customWidth="1"/>
    <col min="1226" max="1227" width="11.44140625" style="1"/>
    <col min="1228" max="1228" width="22" style="1" customWidth="1"/>
    <col min="1229" max="1229" width="6.77734375" style="1" customWidth="1"/>
    <col min="1230" max="1230" width="15.44140625" style="1" bestFit="1" customWidth="1"/>
    <col min="1231" max="1231" width="11.44140625" style="1"/>
    <col min="1232" max="1232" width="14.21875" style="1" bestFit="1" customWidth="1"/>
    <col min="1233" max="1233" width="11.77734375" style="1" bestFit="1" customWidth="1"/>
    <col min="1234" max="1234" width="13.21875" style="1" bestFit="1" customWidth="1"/>
    <col min="1235" max="1235" width="11.77734375" style="1" bestFit="1" customWidth="1"/>
    <col min="1236" max="1480" width="11.44140625" style="1"/>
    <col min="1481" max="1481" width="4.21875" style="1" customWidth="1"/>
    <col min="1482" max="1483" width="11.44140625" style="1"/>
    <col min="1484" max="1484" width="22" style="1" customWidth="1"/>
    <col min="1485" max="1485" width="6.77734375" style="1" customWidth="1"/>
    <col min="1486" max="1486" width="15.44140625" style="1" bestFit="1" customWidth="1"/>
    <col min="1487" max="1487" width="11.44140625" style="1"/>
    <col min="1488" max="1488" width="14.21875" style="1" bestFit="1" customWidth="1"/>
    <col min="1489" max="1489" width="11.77734375" style="1" bestFit="1" customWidth="1"/>
    <col min="1490" max="1490" width="13.21875" style="1" bestFit="1" customWidth="1"/>
    <col min="1491" max="1491" width="11.77734375" style="1" bestFit="1" customWidth="1"/>
    <col min="1492" max="1736" width="11.44140625" style="1"/>
    <col min="1737" max="1737" width="4.21875" style="1" customWidth="1"/>
    <col min="1738" max="1739" width="11.44140625" style="1"/>
    <col min="1740" max="1740" width="22" style="1" customWidth="1"/>
    <col min="1741" max="1741" width="6.77734375" style="1" customWidth="1"/>
    <col min="1742" max="1742" width="15.44140625" style="1" bestFit="1" customWidth="1"/>
    <col min="1743" max="1743" width="11.44140625" style="1"/>
    <col min="1744" max="1744" width="14.21875" style="1" bestFit="1" customWidth="1"/>
    <col min="1745" max="1745" width="11.77734375" style="1" bestFit="1" customWidth="1"/>
    <col min="1746" max="1746" width="13.21875" style="1" bestFit="1" customWidth="1"/>
    <col min="1747" max="1747" width="11.77734375" style="1" bestFit="1" customWidth="1"/>
    <col min="1748" max="1992" width="11.44140625" style="1"/>
    <col min="1993" max="1993" width="4.21875" style="1" customWidth="1"/>
    <col min="1994" max="1995" width="11.44140625" style="1"/>
    <col min="1996" max="1996" width="22" style="1" customWidth="1"/>
    <col min="1997" max="1997" width="6.77734375" style="1" customWidth="1"/>
    <col min="1998" max="1998" width="15.44140625" style="1" bestFit="1" customWidth="1"/>
    <col min="1999" max="1999" width="11.44140625" style="1"/>
    <col min="2000" max="2000" width="14.21875" style="1" bestFit="1" customWidth="1"/>
    <col min="2001" max="2001" width="11.77734375" style="1" bestFit="1" customWidth="1"/>
    <col min="2002" max="2002" width="13.21875" style="1" bestFit="1" customWidth="1"/>
    <col min="2003" max="2003" width="11.77734375" style="1" bestFit="1" customWidth="1"/>
    <col min="2004" max="2248" width="11.44140625" style="1"/>
    <col min="2249" max="2249" width="4.21875" style="1" customWidth="1"/>
    <col min="2250" max="2251" width="11.44140625" style="1"/>
    <col min="2252" max="2252" width="22" style="1" customWidth="1"/>
    <col min="2253" max="2253" width="6.77734375" style="1" customWidth="1"/>
    <col min="2254" max="2254" width="15.44140625" style="1" bestFit="1" customWidth="1"/>
    <col min="2255" max="2255" width="11.44140625" style="1"/>
    <col min="2256" max="2256" width="14.21875" style="1" bestFit="1" customWidth="1"/>
    <col min="2257" max="2257" width="11.77734375" style="1" bestFit="1" customWidth="1"/>
    <col min="2258" max="2258" width="13.21875" style="1" bestFit="1" customWidth="1"/>
    <col min="2259" max="2259" width="11.77734375" style="1" bestFit="1" customWidth="1"/>
    <col min="2260" max="2504" width="11.44140625" style="1"/>
    <col min="2505" max="2505" width="4.21875" style="1" customWidth="1"/>
    <col min="2506" max="2507" width="11.44140625" style="1"/>
    <col min="2508" max="2508" width="22" style="1" customWidth="1"/>
    <col min="2509" max="2509" width="6.77734375" style="1" customWidth="1"/>
    <col min="2510" max="2510" width="15.44140625" style="1" bestFit="1" customWidth="1"/>
    <col min="2511" max="2511" width="11.44140625" style="1"/>
    <col min="2512" max="2512" width="14.21875" style="1" bestFit="1" customWidth="1"/>
    <col min="2513" max="2513" width="11.77734375" style="1" bestFit="1" customWidth="1"/>
    <col min="2514" max="2514" width="13.21875" style="1" bestFit="1" customWidth="1"/>
    <col min="2515" max="2515" width="11.77734375" style="1" bestFit="1" customWidth="1"/>
    <col min="2516" max="2760" width="11.44140625" style="1"/>
    <col min="2761" max="2761" width="4.21875" style="1" customWidth="1"/>
    <col min="2762" max="2763" width="11.44140625" style="1"/>
    <col min="2764" max="2764" width="22" style="1" customWidth="1"/>
    <col min="2765" max="2765" width="6.77734375" style="1" customWidth="1"/>
    <col min="2766" max="2766" width="15.44140625" style="1" bestFit="1" customWidth="1"/>
    <col min="2767" max="2767" width="11.44140625" style="1"/>
    <col min="2768" max="2768" width="14.21875" style="1" bestFit="1" customWidth="1"/>
    <col min="2769" max="2769" width="11.77734375" style="1" bestFit="1" customWidth="1"/>
    <col min="2770" max="2770" width="13.21875" style="1" bestFit="1" customWidth="1"/>
    <col min="2771" max="2771" width="11.77734375" style="1" bestFit="1" customWidth="1"/>
    <col min="2772" max="3016" width="11.44140625" style="1"/>
    <col min="3017" max="3017" width="4.21875" style="1" customWidth="1"/>
    <col min="3018" max="3019" width="11.44140625" style="1"/>
    <col min="3020" max="3020" width="22" style="1" customWidth="1"/>
    <col min="3021" max="3021" width="6.77734375" style="1" customWidth="1"/>
    <col min="3022" max="3022" width="15.44140625" style="1" bestFit="1" customWidth="1"/>
    <col min="3023" max="3023" width="11.44140625" style="1"/>
    <col min="3024" max="3024" width="14.21875" style="1" bestFit="1" customWidth="1"/>
    <col min="3025" max="3025" width="11.77734375" style="1" bestFit="1" customWidth="1"/>
    <col min="3026" max="3026" width="13.21875" style="1" bestFit="1" customWidth="1"/>
    <col min="3027" max="3027" width="11.77734375" style="1" bestFit="1" customWidth="1"/>
    <col min="3028" max="3272" width="11.44140625" style="1"/>
    <col min="3273" max="3273" width="4.21875" style="1" customWidth="1"/>
    <col min="3274" max="3275" width="11.44140625" style="1"/>
    <col min="3276" max="3276" width="22" style="1" customWidth="1"/>
    <col min="3277" max="3277" width="6.77734375" style="1" customWidth="1"/>
    <col min="3278" max="3278" width="15.44140625" style="1" bestFit="1" customWidth="1"/>
    <col min="3279" max="3279" width="11.44140625" style="1"/>
    <col min="3280" max="3280" width="14.21875" style="1" bestFit="1" customWidth="1"/>
    <col min="3281" max="3281" width="11.77734375" style="1" bestFit="1" customWidth="1"/>
    <col min="3282" max="3282" width="13.21875" style="1" bestFit="1" customWidth="1"/>
    <col min="3283" max="3283" width="11.77734375" style="1" bestFit="1" customWidth="1"/>
    <col min="3284" max="3528" width="11.44140625" style="1"/>
    <col min="3529" max="3529" width="4.21875" style="1" customWidth="1"/>
    <col min="3530" max="3531" width="11.44140625" style="1"/>
    <col min="3532" max="3532" width="22" style="1" customWidth="1"/>
    <col min="3533" max="3533" width="6.77734375" style="1" customWidth="1"/>
    <col min="3534" max="3534" width="15.44140625" style="1" bestFit="1" customWidth="1"/>
    <col min="3535" max="3535" width="11.44140625" style="1"/>
    <col min="3536" max="3536" width="14.21875" style="1" bestFit="1" customWidth="1"/>
    <col min="3537" max="3537" width="11.77734375" style="1" bestFit="1" customWidth="1"/>
    <col min="3538" max="3538" width="13.21875" style="1" bestFit="1" customWidth="1"/>
    <col min="3539" max="3539" width="11.77734375" style="1" bestFit="1" customWidth="1"/>
    <col min="3540" max="3784" width="11.44140625" style="1"/>
    <col min="3785" max="3785" width="4.21875" style="1" customWidth="1"/>
    <col min="3786" max="3787" width="11.44140625" style="1"/>
    <col min="3788" max="3788" width="22" style="1" customWidth="1"/>
    <col min="3789" max="3789" width="6.77734375" style="1" customWidth="1"/>
    <col min="3790" max="3790" width="15.44140625" style="1" bestFit="1" customWidth="1"/>
    <col min="3791" max="3791" width="11.44140625" style="1"/>
    <col min="3792" max="3792" width="14.21875" style="1" bestFit="1" customWidth="1"/>
    <col min="3793" max="3793" width="11.77734375" style="1" bestFit="1" customWidth="1"/>
    <col min="3794" max="3794" width="13.21875" style="1" bestFit="1" customWidth="1"/>
    <col min="3795" max="3795" width="11.77734375" style="1" bestFit="1" customWidth="1"/>
    <col min="3796" max="4040" width="11.44140625" style="1"/>
    <col min="4041" max="4041" width="4.21875" style="1" customWidth="1"/>
    <col min="4042" max="4043" width="11.44140625" style="1"/>
    <col min="4044" max="4044" width="22" style="1" customWidth="1"/>
    <col min="4045" max="4045" width="6.77734375" style="1" customWidth="1"/>
    <col min="4046" max="4046" width="15.44140625" style="1" bestFit="1" customWidth="1"/>
    <col min="4047" max="4047" width="11.44140625" style="1"/>
    <col min="4048" max="4048" width="14.21875" style="1" bestFit="1" customWidth="1"/>
    <col min="4049" max="4049" width="11.77734375" style="1" bestFit="1" customWidth="1"/>
    <col min="4050" max="4050" width="13.21875" style="1" bestFit="1" customWidth="1"/>
    <col min="4051" max="4051" width="11.77734375" style="1" bestFit="1" customWidth="1"/>
    <col min="4052" max="4296" width="11.44140625" style="1"/>
    <col min="4297" max="4297" width="4.21875" style="1" customWidth="1"/>
    <col min="4298" max="4299" width="11.44140625" style="1"/>
    <col min="4300" max="4300" width="22" style="1" customWidth="1"/>
    <col min="4301" max="4301" width="6.77734375" style="1" customWidth="1"/>
    <col min="4302" max="4302" width="15.44140625" style="1" bestFit="1" customWidth="1"/>
    <col min="4303" max="4303" width="11.44140625" style="1"/>
    <col min="4304" max="4304" width="14.21875" style="1" bestFit="1" customWidth="1"/>
    <col min="4305" max="4305" width="11.77734375" style="1" bestFit="1" customWidth="1"/>
    <col min="4306" max="4306" width="13.21875" style="1" bestFit="1" customWidth="1"/>
    <col min="4307" max="4307" width="11.77734375" style="1" bestFit="1" customWidth="1"/>
    <col min="4308" max="4552" width="11.44140625" style="1"/>
    <col min="4553" max="4553" width="4.21875" style="1" customWidth="1"/>
    <col min="4554" max="4555" width="11.44140625" style="1"/>
    <col min="4556" max="4556" width="22" style="1" customWidth="1"/>
    <col min="4557" max="4557" width="6.77734375" style="1" customWidth="1"/>
    <col min="4558" max="4558" width="15.44140625" style="1" bestFit="1" customWidth="1"/>
    <col min="4559" max="4559" width="11.44140625" style="1"/>
    <col min="4560" max="4560" width="14.21875" style="1" bestFit="1" customWidth="1"/>
    <col min="4561" max="4561" width="11.77734375" style="1" bestFit="1" customWidth="1"/>
    <col min="4562" max="4562" width="13.21875" style="1" bestFit="1" customWidth="1"/>
    <col min="4563" max="4563" width="11.77734375" style="1" bestFit="1" customWidth="1"/>
    <col min="4564" max="4808" width="11.44140625" style="1"/>
    <col min="4809" max="4809" width="4.21875" style="1" customWidth="1"/>
    <col min="4810" max="4811" width="11.44140625" style="1"/>
    <col min="4812" max="4812" width="22" style="1" customWidth="1"/>
    <col min="4813" max="4813" width="6.77734375" style="1" customWidth="1"/>
    <col min="4814" max="4814" width="15.44140625" style="1" bestFit="1" customWidth="1"/>
    <col min="4815" max="4815" width="11.44140625" style="1"/>
    <col min="4816" max="4816" width="14.21875" style="1" bestFit="1" customWidth="1"/>
    <col min="4817" max="4817" width="11.77734375" style="1" bestFit="1" customWidth="1"/>
    <col min="4818" max="4818" width="13.21875" style="1" bestFit="1" customWidth="1"/>
    <col min="4819" max="4819" width="11.77734375" style="1" bestFit="1" customWidth="1"/>
    <col min="4820" max="5064" width="11.44140625" style="1"/>
    <col min="5065" max="5065" width="4.21875" style="1" customWidth="1"/>
    <col min="5066" max="5067" width="11.44140625" style="1"/>
    <col min="5068" max="5068" width="22" style="1" customWidth="1"/>
    <col min="5069" max="5069" width="6.77734375" style="1" customWidth="1"/>
    <col min="5070" max="5070" width="15.44140625" style="1" bestFit="1" customWidth="1"/>
    <col min="5071" max="5071" width="11.44140625" style="1"/>
    <col min="5072" max="5072" width="14.21875" style="1" bestFit="1" customWidth="1"/>
    <col min="5073" max="5073" width="11.77734375" style="1" bestFit="1" customWidth="1"/>
    <col min="5074" max="5074" width="13.21875" style="1" bestFit="1" customWidth="1"/>
    <col min="5075" max="5075" width="11.77734375" style="1" bestFit="1" customWidth="1"/>
    <col min="5076" max="5320" width="11.44140625" style="1"/>
    <col min="5321" max="5321" width="4.21875" style="1" customWidth="1"/>
    <col min="5322" max="5323" width="11.44140625" style="1"/>
    <col min="5324" max="5324" width="22" style="1" customWidth="1"/>
    <col min="5325" max="5325" width="6.77734375" style="1" customWidth="1"/>
    <col min="5326" max="5326" width="15.44140625" style="1" bestFit="1" customWidth="1"/>
    <col min="5327" max="5327" width="11.44140625" style="1"/>
    <col min="5328" max="5328" width="14.21875" style="1" bestFit="1" customWidth="1"/>
    <col min="5329" max="5329" width="11.77734375" style="1" bestFit="1" customWidth="1"/>
    <col min="5330" max="5330" width="13.21875" style="1" bestFit="1" customWidth="1"/>
    <col min="5331" max="5331" width="11.77734375" style="1" bestFit="1" customWidth="1"/>
    <col min="5332" max="5576" width="11.44140625" style="1"/>
    <col min="5577" max="5577" width="4.21875" style="1" customWidth="1"/>
    <col min="5578" max="5579" width="11.44140625" style="1"/>
    <col min="5580" max="5580" width="22" style="1" customWidth="1"/>
    <col min="5581" max="5581" width="6.77734375" style="1" customWidth="1"/>
    <col min="5582" max="5582" width="15.44140625" style="1" bestFit="1" customWidth="1"/>
    <col min="5583" max="5583" width="11.44140625" style="1"/>
    <col min="5584" max="5584" width="14.21875" style="1" bestFit="1" customWidth="1"/>
    <col min="5585" max="5585" width="11.77734375" style="1" bestFit="1" customWidth="1"/>
    <col min="5586" max="5586" width="13.21875" style="1" bestFit="1" customWidth="1"/>
    <col min="5587" max="5587" width="11.77734375" style="1" bestFit="1" customWidth="1"/>
    <col min="5588" max="5832" width="11.44140625" style="1"/>
    <col min="5833" max="5833" width="4.21875" style="1" customWidth="1"/>
    <col min="5834" max="5835" width="11.44140625" style="1"/>
    <col min="5836" max="5836" width="22" style="1" customWidth="1"/>
    <col min="5837" max="5837" width="6.77734375" style="1" customWidth="1"/>
    <col min="5838" max="5838" width="15.44140625" style="1" bestFit="1" customWidth="1"/>
    <col min="5839" max="5839" width="11.44140625" style="1"/>
    <col min="5840" max="5840" width="14.21875" style="1" bestFit="1" customWidth="1"/>
    <col min="5841" max="5841" width="11.77734375" style="1" bestFit="1" customWidth="1"/>
    <col min="5842" max="5842" width="13.21875" style="1" bestFit="1" customWidth="1"/>
    <col min="5843" max="5843" width="11.77734375" style="1" bestFit="1" customWidth="1"/>
    <col min="5844" max="6088" width="11.44140625" style="1"/>
    <col min="6089" max="6089" width="4.21875" style="1" customWidth="1"/>
    <col min="6090" max="6091" width="11.44140625" style="1"/>
    <col min="6092" max="6092" width="22" style="1" customWidth="1"/>
    <col min="6093" max="6093" width="6.77734375" style="1" customWidth="1"/>
    <col min="6094" max="6094" width="15.44140625" style="1" bestFit="1" customWidth="1"/>
    <col min="6095" max="6095" width="11.44140625" style="1"/>
    <col min="6096" max="6096" width="14.21875" style="1" bestFit="1" customWidth="1"/>
    <col min="6097" max="6097" width="11.77734375" style="1" bestFit="1" customWidth="1"/>
    <col min="6098" max="6098" width="13.21875" style="1" bestFit="1" customWidth="1"/>
    <col min="6099" max="6099" width="11.77734375" style="1" bestFit="1" customWidth="1"/>
    <col min="6100" max="6344" width="11.44140625" style="1"/>
    <col min="6345" max="6345" width="4.21875" style="1" customWidth="1"/>
    <col min="6346" max="6347" width="11.44140625" style="1"/>
    <col min="6348" max="6348" width="22" style="1" customWidth="1"/>
    <col min="6349" max="6349" width="6.77734375" style="1" customWidth="1"/>
    <col min="6350" max="6350" width="15.44140625" style="1" bestFit="1" customWidth="1"/>
    <col min="6351" max="6351" width="11.44140625" style="1"/>
    <col min="6352" max="6352" width="14.21875" style="1" bestFit="1" customWidth="1"/>
    <col min="6353" max="6353" width="11.77734375" style="1" bestFit="1" customWidth="1"/>
    <col min="6354" max="6354" width="13.21875" style="1" bestFit="1" customWidth="1"/>
    <col min="6355" max="6355" width="11.77734375" style="1" bestFit="1" customWidth="1"/>
    <col min="6356" max="6600" width="11.44140625" style="1"/>
    <col min="6601" max="6601" width="4.21875" style="1" customWidth="1"/>
    <col min="6602" max="6603" width="11.44140625" style="1"/>
    <col min="6604" max="6604" width="22" style="1" customWidth="1"/>
    <col min="6605" max="6605" width="6.77734375" style="1" customWidth="1"/>
    <col min="6606" max="6606" width="15.44140625" style="1" bestFit="1" customWidth="1"/>
    <col min="6607" max="6607" width="11.44140625" style="1"/>
    <col min="6608" max="6608" width="14.21875" style="1" bestFit="1" customWidth="1"/>
    <col min="6609" max="6609" width="11.77734375" style="1" bestFit="1" customWidth="1"/>
    <col min="6610" max="6610" width="13.21875" style="1" bestFit="1" customWidth="1"/>
    <col min="6611" max="6611" width="11.77734375" style="1" bestFit="1" customWidth="1"/>
    <col min="6612" max="6856" width="11.44140625" style="1"/>
    <col min="6857" max="6857" width="4.21875" style="1" customWidth="1"/>
    <col min="6858" max="6859" width="11.44140625" style="1"/>
    <col min="6860" max="6860" width="22" style="1" customWidth="1"/>
    <col min="6861" max="6861" width="6.77734375" style="1" customWidth="1"/>
    <col min="6862" max="6862" width="15.44140625" style="1" bestFit="1" customWidth="1"/>
    <col min="6863" max="6863" width="11.44140625" style="1"/>
    <col min="6864" max="6864" width="14.21875" style="1" bestFit="1" customWidth="1"/>
    <col min="6865" max="6865" width="11.77734375" style="1" bestFit="1" customWidth="1"/>
    <col min="6866" max="6866" width="13.21875" style="1" bestFit="1" customWidth="1"/>
    <col min="6867" max="6867" width="11.77734375" style="1" bestFit="1" customWidth="1"/>
    <col min="6868" max="7112" width="11.44140625" style="1"/>
    <col min="7113" max="7113" width="4.21875" style="1" customWidth="1"/>
    <col min="7114" max="7115" width="11.44140625" style="1"/>
    <col min="7116" max="7116" width="22" style="1" customWidth="1"/>
    <col min="7117" max="7117" width="6.77734375" style="1" customWidth="1"/>
    <col min="7118" max="7118" width="15.44140625" style="1" bestFit="1" customWidth="1"/>
    <col min="7119" max="7119" width="11.44140625" style="1"/>
    <col min="7120" max="7120" width="14.21875" style="1" bestFit="1" customWidth="1"/>
    <col min="7121" max="7121" width="11.77734375" style="1" bestFit="1" customWidth="1"/>
    <col min="7122" max="7122" width="13.21875" style="1" bestFit="1" customWidth="1"/>
    <col min="7123" max="7123" width="11.77734375" style="1" bestFit="1" customWidth="1"/>
    <col min="7124" max="7368" width="11.44140625" style="1"/>
    <col min="7369" max="7369" width="4.21875" style="1" customWidth="1"/>
    <col min="7370" max="7371" width="11.44140625" style="1"/>
    <col min="7372" max="7372" width="22" style="1" customWidth="1"/>
    <col min="7373" max="7373" width="6.77734375" style="1" customWidth="1"/>
    <col min="7374" max="7374" width="15.44140625" style="1" bestFit="1" customWidth="1"/>
    <col min="7375" max="7375" width="11.44140625" style="1"/>
    <col min="7376" max="7376" width="14.21875" style="1" bestFit="1" customWidth="1"/>
    <col min="7377" max="7377" width="11.77734375" style="1" bestFit="1" customWidth="1"/>
    <col min="7378" max="7378" width="13.21875" style="1" bestFit="1" customWidth="1"/>
    <col min="7379" max="7379" width="11.77734375" style="1" bestFit="1" customWidth="1"/>
    <col min="7380" max="7624" width="11.44140625" style="1"/>
    <col min="7625" max="7625" width="4.21875" style="1" customWidth="1"/>
    <col min="7626" max="7627" width="11.44140625" style="1"/>
    <col min="7628" max="7628" width="22" style="1" customWidth="1"/>
    <col min="7629" max="7629" width="6.77734375" style="1" customWidth="1"/>
    <col min="7630" max="7630" width="15.44140625" style="1" bestFit="1" customWidth="1"/>
    <col min="7631" max="7631" width="11.44140625" style="1"/>
    <col min="7632" max="7632" width="14.21875" style="1" bestFit="1" customWidth="1"/>
    <col min="7633" max="7633" width="11.77734375" style="1" bestFit="1" customWidth="1"/>
    <col min="7634" max="7634" width="13.21875" style="1" bestFit="1" customWidth="1"/>
    <col min="7635" max="7635" width="11.77734375" style="1" bestFit="1" customWidth="1"/>
    <col min="7636" max="7880" width="11.44140625" style="1"/>
    <col min="7881" max="7881" width="4.21875" style="1" customWidth="1"/>
    <col min="7882" max="7883" width="11.44140625" style="1"/>
    <col min="7884" max="7884" width="22" style="1" customWidth="1"/>
    <col min="7885" max="7885" width="6.77734375" style="1" customWidth="1"/>
    <col min="7886" max="7886" width="15.44140625" style="1" bestFit="1" customWidth="1"/>
    <col min="7887" max="7887" width="11.44140625" style="1"/>
    <col min="7888" max="7888" width="14.21875" style="1" bestFit="1" customWidth="1"/>
    <col min="7889" max="7889" width="11.77734375" style="1" bestFit="1" customWidth="1"/>
    <col min="7890" max="7890" width="13.21875" style="1" bestFit="1" customWidth="1"/>
    <col min="7891" max="7891" width="11.77734375" style="1" bestFit="1" customWidth="1"/>
    <col min="7892" max="8136" width="11.44140625" style="1"/>
    <col min="8137" max="8137" width="4.21875" style="1" customWidth="1"/>
    <col min="8138" max="8139" width="11.44140625" style="1"/>
    <col min="8140" max="8140" width="22" style="1" customWidth="1"/>
    <col min="8141" max="8141" width="6.77734375" style="1" customWidth="1"/>
    <col min="8142" max="8142" width="15.44140625" style="1" bestFit="1" customWidth="1"/>
    <col min="8143" max="8143" width="11.44140625" style="1"/>
    <col min="8144" max="8144" width="14.21875" style="1" bestFit="1" customWidth="1"/>
    <col min="8145" max="8145" width="11.77734375" style="1" bestFit="1" customWidth="1"/>
    <col min="8146" max="8146" width="13.21875" style="1" bestFit="1" customWidth="1"/>
    <col min="8147" max="8147" width="11.77734375" style="1" bestFit="1" customWidth="1"/>
    <col min="8148" max="8392" width="11.44140625" style="1"/>
    <col min="8393" max="8393" width="4.21875" style="1" customWidth="1"/>
    <col min="8394" max="8395" width="11.44140625" style="1"/>
    <col min="8396" max="8396" width="22" style="1" customWidth="1"/>
    <col min="8397" max="8397" width="6.77734375" style="1" customWidth="1"/>
    <col min="8398" max="8398" width="15.44140625" style="1" bestFit="1" customWidth="1"/>
    <col min="8399" max="8399" width="11.44140625" style="1"/>
    <col min="8400" max="8400" width="14.21875" style="1" bestFit="1" customWidth="1"/>
    <col min="8401" max="8401" width="11.77734375" style="1" bestFit="1" customWidth="1"/>
    <col min="8402" max="8402" width="13.21875" style="1" bestFit="1" customWidth="1"/>
    <col min="8403" max="8403" width="11.77734375" style="1" bestFit="1" customWidth="1"/>
    <col min="8404" max="8648" width="11.44140625" style="1"/>
    <col min="8649" max="8649" width="4.21875" style="1" customWidth="1"/>
    <col min="8650" max="8651" width="11.44140625" style="1"/>
    <col min="8652" max="8652" width="22" style="1" customWidth="1"/>
    <col min="8653" max="8653" width="6.77734375" style="1" customWidth="1"/>
    <col min="8654" max="8654" width="15.44140625" style="1" bestFit="1" customWidth="1"/>
    <col min="8655" max="8655" width="11.44140625" style="1"/>
    <col min="8656" max="8656" width="14.21875" style="1" bestFit="1" customWidth="1"/>
    <col min="8657" max="8657" width="11.77734375" style="1" bestFit="1" customWidth="1"/>
    <col min="8658" max="8658" width="13.21875" style="1" bestFit="1" customWidth="1"/>
    <col min="8659" max="8659" width="11.77734375" style="1" bestFit="1" customWidth="1"/>
    <col min="8660" max="8904" width="11.44140625" style="1"/>
    <col min="8905" max="8905" width="4.21875" style="1" customWidth="1"/>
    <col min="8906" max="8907" width="11.44140625" style="1"/>
    <col min="8908" max="8908" width="22" style="1" customWidth="1"/>
    <col min="8909" max="8909" width="6.77734375" style="1" customWidth="1"/>
    <col min="8910" max="8910" width="15.44140625" style="1" bestFit="1" customWidth="1"/>
    <col min="8911" max="8911" width="11.44140625" style="1"/>
    <col min="8912" max="8912" width="14.21875" style="1" bestFit="1" customWidth="1"/>
    <col min="8913" max="8913" width="11.77734375" style="1" bestFit="1" customWidth="1"/>
    <col min="8914" max="8914" width="13.21875" style="1" bestFit="1" customWidth="1"/>
    <col min="8915" max="8915" width="11.77734375" style="1" bestFit="1" customWidth="1"/>
    <col min="8916" max="9160" width="11.44140625" style="1"/>
    <col min="9161" max="9161" width="4.21875" style="1" customWidth="1"/>
    <col min="9162" max="9163" width="11.44140625" style="1"/>
    <col min="9164" max="9164" width="22" style="1" customWidth="1"/>
    <col min="9165" max="9165" width="6.77734375" style="1" customWidth="1"/>
    <col min="9166" max="9166" width="15.44140625" style="1" bestFit="1" customWidth="1"/>
    <col min="9167" max="9167" width="11.44140625" style="1"/>
    <col min="9168" max="9168" width="14.21875" style="1" bestFit="1" customWidth="1"/>
    <col min="9169" max="9169" width="11.77734375" style="1" bestFit="1" customWidth="1"/>
    <col min="9170" max="9170" width="13.21875" style="1" bestFit="1" customWidth="1"/>
    <col min="9171" max="9171" width="11.77734375" style="1" bestFit="1" customWidth="1"/>
    <col min="9172" max="9416" width="11.44140625" style="1"/>
    <col min="9417" max="9417" width="4.21875" style="1" customWidth="1"/>
    <col min="9418" max="9419" width="11.44140625" style="1"/>
    <col min="9420" max="9420" width="22" style="1" customWidth="1"/>
    <col min="9421" max="9421" width="6.77734375" style="1" customWidth="1"/>
    <col min="9422" max="9422" width="15.44140625" style="1" bestFit="1" customWidth="1"/>
    <col min="9423" max="9423" width="11.44140625" style="1"/>
    <col min="9424" max="9424" width="14.21875" style="1" bestFit="1" customWidth="1"/>
    <col min="9425" max="9425" width="11.77734375" style="1" bestFit="1" customWidth="1"/>
    <col min="9426" max="9426" width="13.21875" style="1" bestFit="1" customWidth="1"/>
    <col min="9427" max="9427" width="11.77734375" style="1" bestFit="1" customWidth="1"/>
    <col min="9428" max="9672" width="11.44140625" style="1"/>
    <col min="9673" max="9673" width="4.21875" style="1" customWidth="1"/>
    <col min="9674" max="9675" width="11.44140625" style="1"/>
    <col min="9676" max="9676" width="22" style="1" customWidth="1"/>
    <col min="9677" max="9677" width="6.77734375" style="1" customWidth="1"/>
    <col min="9678" max="9678" width="15.44140625" style="1" bestFit="1" customWidth="1"/>
    <col min="9679" max="9679" width="11.44140625" style="1"/>
    <col min="9680" max="9680" width="14.21875" style="1" bestFit="1" customWidth="1"/>
    <col min="9681" max="9681" width="11.77734375" style="1" bestFit="1" customWidth="1"/>
    <col min="9682" max="9682" width="13.21875" style="1" bestFit="1" customWidth="1"/>
    <col min="9683" max="9683" width="11.77734375" style="1" bestFit="1" customWidth="1"/>
    <col min="9684" max="9928" width="11.44140625" style="1"/>
    <col min="9929" max="9929" width="4.21875" style="1" customWidth="1"/>
    <col min="9930" max="9931" width="11.44140625" style="1"/>
    <col min="9932" max="9932" width="22" style="1" customWidth="1"/>
    <col min="9933" max="9933" width="6.77734375" style="1" customWidth="1"/>
    <col min="9934" max="9934" width="15.44140625" style="1" bestFit="1" customWidth="1"/>
    <col min="9935" max="9935" width="11.44140625" style="1"/>
    <col min="9936" max="9936" width="14.21875" style="1" bestFit="1" customWidth="1"/>
    <col min="9937" max="9937" width="11.77734375" style="1" bestFit="1" customWidth="1"/>
    <col min="9938" max="9938" width="13.21875" style="1" bestFit="1" customWidth="1"/>
    <col min="9939" max="9939" width="11.77734375" style="1" bestFit="1" customWidth="1"/>
    <col min="9940" max="10184" width="11.44140625" style="1"/>
    <col min="10185" max="10185" width="4.21875" style="1" customWidth="1"/>
    <col min="10186" max="10187" width="11.44140625" style="1"/>
    <col min="10188" max="10188" width="22" style="1" customWidth="1"/>
    <col min="10189" max="10189" width="6.77734375" style="1" customWidth="1"/>
    <col min="10190" max="10190" width="15.44140625" style="1" bestFit="1" customWidth="1"/>
    <col min="10191" max="10191" width="11.44140625" style="1"/>
    <col min="10192" max="10192" width="14.21875" style="1" bestFit="1" customWidth="1"/>
    <col min="10193" max="10193" width="11.77734375" style="1" bestFit="1" customWidth="1"/>
    <col min="10194" max="10194" width="13.21875" style="1" bestFit="1" customWidth="1"/>
    <col min="10195" max="10195" width="11.77734375" style="1" bestFit="1" customWidth="1"/>
    <col min="10196" max="10440" width="11.44140625" style="1"/>
    <col min="10441" max="10441" width="4.21875" style="1" customWidth="1"/>
    <col min="10442" max="10443" width="11.44140625" style="1"/>
    <col min="10444" max="10444" width="22" style="1" customWidth="1"/>
    <col min="10445" max="10445" width="6.77734375" style="1" customWidth="1"/>
    <col min="10446" max="10446" width="15.44140625" style="1" bestFit="1" customWidth="1"/>
    <col min="10447" max="10447" width="11.44140625" style="1"/>
    <col min="10448" max="10448" width="14.21875" style="1" bestFit="1" customWidth="1"/>
    <col min="10449" max="10449" width="11.77734375" style="1" bestFit="1" customWidth="1"/>
    <col min="10450" max="10450" width="13.21875" style="1" bestFit="1" customWidth="1"/>
    <col min="10451" max="10451" width="11.77734375" style="1" bestFit="1" customWidth="1"/>
    <col min="10452" max="10696" width="11.44140625" style="1"/>
    <col min="10697" max="10697" width="4.21875" style="1" customWidth="1"/>
    <col min="10698" max="10699" width="11.44140625" style="1"/>
    <col min="10700" max="10700" width="22" style="1" customWidth="1"/>
    <col min="10701" max="10701" width="6.77734375" style="1" customWidth="1"/>
    <col min="10702" max="10702" width="15.44140625" style="1" bestFit="1" customWidth="1"/>
    <col min="10703" max="10703" width="11.44140625" style="1"/>
    <col min="10704" max="10704" width="14.21875" style="1" bestFit="1" customWidth="1"/>
    <col min="10705" max="10705" width="11.77734375" style="1" bestFit="1" customWidth="1"/>
    <col min="10706" max="10706" width="13.21875" style="1" bestFit="1" customWidth="1"/>
    <col min="10707" max="10707" width="11.77734375" style="1" bestFit="1" customWidth="1"/>
    <col min="10708" max="10952" width="11.44140625" style="1"/>
    <col min="10953" max="10953" width="4.21875" style="1" customWidth="1"/>
    <col min="10954" max="10955" width="11.44140625" style="1"/>
    <col min="10956" max="10956" width="22" style="1" customWidth="1"/>
    <col min="10957" max="10957" width="6.77734375" style="1" customWidth="1"/>
    <col min="10958" max="10958" width="15.44140625" style="1" bestFit="1" customWidth="1"/>
    <col min="10959" max="10959" width="11.44140625" style="1"/>
    <col min="10960" max="10960" width="14.21875" style="1" bestFit="1" customWidth="1"/>
    <col min="10961" max="10961" width="11.77734375" style="1" bestFit="1" customWidth="1"/>
    <col min="10962" max="10962" width="13.21875" style="1" bestFit="1" customWidth="1"/>
    <col min="10963" max="10963" width="11.77734375" style="1" bestFit="1" customWidth="1"/>
    <col min="10964" max="11208" width="11.44140625" style="1"/>
    <col min="11209" max="11209" width="4.21875" style="1" customWidth="1"/>
    <col min="11210" max="11211" width="11.44140625" style="1"/>
    <col min="11212" max="11212" width="22" style="1" customWidth="1"/>
    <col min="11213" max="11213" width="6.77734375" style="1" customWidth="1"/>
    <col min="11214" max="11214" width="15.44140625" style="1" bestFit="1" customWidth="1"/>
    <col min="11215" max="11215" width="11.44140625" style="1"/>
    <col min="11216" max="11216" width="14.21875" style="1" bestFit="1" customWidth="1"/>
    <col min="11217" max="11217" width="11.77734375" style="1" bestFit="1" customWidth="1"/>
    <col min="11218" max="11218" width="13.21875" style="1" bestFit="1" customWidth="1"/>
    <col min="11219" max="11219" width="11.77734375" style="1" bestFit="1" customWidth="1"/>
    <col min="11220" max="11464" width="11.44140625" style="1"/>
    <col min="11465" max="11465" width="4.21875" style="1" customWidth="1"/>
    <col min="11466" max="11467" width="11.44140625" style="1"/>
    <col min="11468" max="11468" width="22" style="1" customWidth="1"/>
    <col min="11469" max="11469" width="6.77734375" style="1" customWidth="1"/>
    <col min="11470" max="11470" width="15.44140625" style="1" bestFit="1" customWidth="1"/>
    <col min="11471" max="11471" width="11.44140625" style="1"/>
    <col min="11472" max="11472" width="14.21875" style="1" bestFit="1" customWidth="1"/>
    <col min="11473" max="11473" width="11.77734375" style="1" bestFit="1" customWidth="1"/>
    <col min="11474" max="11474" width="13.21875" style="1" bestFit="1" customWidth="1"/>
    <col min="11475" max="11475" width="11.77734375" style="1" bestFit="1" customWidth="1"/>
    <col min="11476" max="11720" width="11.44140625" style="1"/>
    <col min="11721" max="11721" width="4.21875" style="1" customWidth="1"/>
    <col min="11722" max="11723" width="11.44140625" style="1"/>
    <col min="11724" max="11724" width="22" style="1" customWidth="1"/>
    <col min="11725" max="11725" width="6.77734375" style="1" customWidth="1"/>
    <col min="11726" max="11726" width="15.44140625" style="1" bestFit="1" customWidth="1"/>
    <col min="11727" max="11727" width="11.44140625" style="1"/>
    <col min="11728" max="11728" width="14.21875" style="1" bestFit="1" customWidth="1"/>
    <col min="11729" max="11729" width="11.77734375" style="1" bestFit="1" customWidth="1"/>
    <col min="11730" max="11730" width="13.21875" style="1" bestFit="1" customWidth="1"/>
    <col min="11731" max="11731" width="11.77734375" style="1" bestFit="1" customWidth="1"/>
    <col min="11732" max="11976" width="11.44140625" style="1"/>
    <col min="11977" max="11977" width="4.21875" style="1" customWidth="1"/>
    <col min="11978" max="11979" width="11.44140625" style="1"/>
    <col min="11980" max="11980" width="22" style="1" customWidth="1"/>
    <col min="11981" max="11981" width="6.77734375" style="1" customWidth="1"/>
    <col min="11982" max="11982" width="15.44140625" style="1" bestFit="1" customWidth="1"/>
    <col min="11983" max="11983" width="11.44140625" style="1"/>
    <col min="11984" max="11984" width="14.21875" style="1" bestFit="1" customWidth="1"/>
    <col min="11985" max="11985" width="11.77734375" style="1" bestFit="1" customWidth="1"/>
    <col min="11986" max="11986" width="13.21875" style="1" bestFit="1" customWidth="1"/>
    <col min="11987" max="11987" width="11.77734375" style="1" bestFit="1" customWidth="1"/>
    <col min="11988" max="12232" width="11.44140625" style="1"/>
    <col min="12233" max="12233" width="4.21875" style="1" customWidth="1"/>
    <col min="12234" max="12235" width="11.44140625" style="1"/>
    <col min="12236" max="12236" width="22" style="1" customWidth="1"/>
    <col min="12237" max="12237" width="6.77734375" style="1" customWidth="1"/>
    <col min="12238" max="12238" width="15.44140625" style="1" bestFit="1" customWidth="1"/>
    <col min="12239" max="12239" width="11.44140625" style="1"/>
    <col min="12240" max="12240" width="14.21875" style="1" bestFit="1" customWidth="1"/>
    <col min="12241" max="12241" width="11.77734375" style="1" bestFit="1" customWidth="1"/>
    <col min="12242" max="12242" width="13.21875" style="1" bestFit="1" customWidth="1"/>
    <col min="12243" max="12243" width="11.77734375" style="1" bestFit="1" customWidth="1"/>
    <col min="12244" max="12488" width="11.44140625" style="1"/>
    <col min="12489" max="12489" width="4.21875" style="1" customWidth="1"/>
    <col min="12490" max="12491" width="11.44140625" style="1"/>
    <col min="12492" max="12492" width="22" style="1" customWidth="1"/>
    <col min="12493" max="12493" width="6.77734375" style="1" customWidth="1"/>
    <col min="12494" max="12494" width="15.44140625" style="1" bestFit="1" customWidth="1"/>
    <col min="12495" max="12495" width="11.44140625" style="1"/>
    <col min="12496" max="12496" width="14.21875" style="1" bestFit="1" customWidth="1"/>
    <col min="12497" max="12497" width="11.77734375" style="1" bestFit="1" customWidth="1"/>
    <col min="12498" max="12498" width="13.21875" style="1" bestFit="1" customWidth="1"/>
    <col min="12499" max="12499" width="11.77734375" style="1" bestFit="1" customWidth="1"/>
    <col min="12500" max="12744" width="11.44140625" style="1"/>
    <col min="12745" max="12745" width="4.21875" style="1" customWidth="1"/>
    <col min="12746" max="12747" width="11.44140625" style="1"/>
    <col min="12748" max="12748" width="22" style="1" customWidth="1"/>
    <col min="12749" max="12749" width="6.77734375" style="1" customWidth="1"/>
    <col min="12750" max="12750" width="15.44140625" style="1" bestFit="1" customWidth="1"/>
    <col min="12751" max="12751" width="11.44140625" style="1"/>
    <col min="12752" max="12752" width="14.21875" style="1" bestFit="1" customWidth="1"/>
    <col min="12753" max="12753" width="11.77734375" style="1" bestFit="1" customWidth="1"/>
    <col min="12754" max="12754" width="13.21875" style="1" bestFit="1" customWidth="1"/>
    <col min="12755" max="12755" width="11.77734375" style="1" bestFit="1" customWidth="1"/>
    <col min="12756" max="13000" width="11.44140625" style="1"/>
    <col min="13001" max="13001" width="4.21875" style="1" customWidth="1"/>
    <col min="13002" max="13003" width="11.44140625" style="1"/>
    <col min="13004" max="13004" width="22" style="1" customWidth="1"/>
    <col min="13005" max="13005" width="6.77734375" style="1" customWidth="1"/>
    <col min="13006" max="13006" width="15.44140625" style="1" bestFit="1" customWidth="1"/>
    <col min="13007" max="13007" width="11.44140625" style="1"/>
    <col min="13008" max="13008" width="14.21875" style="1" bestFit="1" customWidth="1"/>
    <col min="13009" max="13009" width="11.77734375" style="1" bestFit="1" customWidth="1"/>
    <col min="13010" max="13010" width="13.21875" style="1" bestFit="1" customWidth="1"/>
    <col min="13011" max="13011" width="11.77734375" style="1" bestFit="1" customWidth="1"/>
    <col min="13012" max="13256" width="11.44140625" style="1"/>
    <col min="13257" max="13257" width="4.21875" style="1" customWidth="1"/>
    <col min="13258" max="13259" width="11.44140625" style="1"/>
    <col min="13260" max="13260" width="22" style="1" customWidth="1"/>
    <col min="13261" max="13261" width="6.77734375" style="1" customWidth="1"/>
    <col min="13262" max="13262" width="15.44140625" style="1" bestFit="1" customWidth="1"/>
    <col min="13263" max="13263" width="11.44140625" style="1"/>
    <col min="13264" max="13264" width="14.21875" style="1" bestFit="1" customWidth="1"/>
    <col min="13265" max="13265" width="11.77734375" style="1" bestFit="1" customWidth="1"/>
    <col min="13266" max="13266" width="13.21875" style="1" bestFit="1" customWidth="1"/>
    <col min="13267" max="13267" width="11.77734375" style="1" bestFit="1" customWidth="1"/>
    <col min="13268" max="13512" width="11.44140625" style="1"/>
    <col min="13513" max="13513" width="4.21875" style="1" customWidth="1"/>
    <col min="13514" max="13515" width="11.44140625" style="1"/>
    <col min="13516" max="13516" width="22" style="1" customWidth="1"/>
    <col min="13517" max="13517" width="6.77734375" style="1" customWidth="1"/>
    <col min="13518" max="13518" width="15.44140625" style="1" bestFit="1" customWidth="1"/>
    <col min="13519" max="13519" width="11.44140625" style="1"/>
    <col min="13520" max="13520" width="14.21875" style="1" bestFit="1" customWidth="1"/>
    <col min="13521" max="13521" width="11.77734375" style="1" bestFit="1" customWidth="1"/>
    <col min="13522" max="13522" width="13.21875" style="1" bestFit="1" customWidth="1"/>
    <col min="13523" max="13523" width="11.77734375" style="1" bestFit="1" customWidth="1"/>
    <col min="13524" max="13768" width="11.44140625" style="1"/>
    <col min="13769" max="13769" width="4.21875" style="1" customWidth="1"/>
    <col min="13770" max="13771" width="11.44140625" style="1"/>
    <col min="13772" max="13772" width="22" style="1" customWidth="1"/>
    <col min="13773" max="13773" width="6.77734375" style="1" customWidth="1"/>
    <col min="13774" max="13774" width="15.44140625" style="1" bestFit="1" customWidth="1"/>
    <col min="13775" max="13775" width="11.44140625" style="1"/>
    <col min="13776" max="13776" width="14.21875" style="1" bestFit="1" customWidth="1"/>
    <col min="13777" max="13777" width="11.77734375" style="1" bestFit="1" customWidth="1"/>
    <col min="13778" max="13778" width="13.21875" style="1" bestFit="1" customWidth="1"/>
    <col min="13779" max="13779" width="11.77734375" style="1" bestFit="1" customWidth="1"/>
    <col min="13780" max="14024" width="11.44140625" style="1"/>
    <col min="14025" max="14025" width="4.21875" style="1" customWidth="1"/>
    <col min="14026" max="14027" width="11.44140625" style="1"/>
    <col min="14028" max="14028" width="22" style="1" customWidth="1"/>
    <col min="14029" max="14029" width="6.77734375" style="1" customWidth="1"/>
    <col min="14030" max="14030" width="15.44140625" style="1" bestFit="1" customWidth="1"/>
    <col min="14031" max="14031" width="11.44140625" style="1"/>
    <col min="14032" max="14032" width="14.21875" style="1" bestFit="1" customWidth="1"/>
    <col min="14033" max="14033" width="11.77734375" style="1" bestFit="1" customWidth="1"/>
    <col min="14034" max="14034" width="13.21875" style="1" bestFit="1" customWidth="1"/>
    <col min="14035" max="14035" width="11.77734375" style="1" bestFit="1" customWidth="1"/>
    <col min="14036" max="14280" width="11.44140625" style="1"/>
    <col min="14281" max="14281" width="4.21875" style="1" customWidth="1"/>
    <col min="14282" max="14283" width="11.44140625" style="1"/>
    <col min="14284" max="14284" width="22" style="1" customWidth="1"/>
    <col min="14285" max="14285" width="6.77734375" style="1" customWidth="1"/>
    <col min="14286" max="14286" width="15.44140625" style="1" bestFit="1" customWidth="1"/>
    <col min="14287" max="14287" width="11.44140625" style="1"/>
    <col min="14288" max="14288" width="14.21875" style="1" bestFit="1" customWidth="1"/>
    <col min="14289" max="14289" width="11.77734375" style="1" bestFit="1" customWidth="1"/>
    <col min="14290" max="14290" width="13.21875" style="1" bestFit="1" customWidth="1"/>
    <col min="14291" max="14291" width="11.77734375" style="1" bestFit="1" customWidth="1"/>
    <col min="14292" max="14536" width="11.44140625" style="1"/>
    <col min="14537" max="14537" width="4.21875" style="1" customWidth="1"/>
    <col min="14538" max="14539" width="11.44140625" style="1"/>
    <col min="14540" max="14540" width="22" style="1" customWidth="1"/>
    <col min="14541" max="14541" width="6.77734375" style="1" customWidth="1"/>
    <col min="14542" max="14542" width="15.44140625" style="1" bestFit="1" customWidth="1"/>
    <col min="14543" max="14543" width="11.44140625" style="1"/>
    <col min="14544" max="14544" width="14.21875" style="1" bestFit="1" customWidth="1"/>
    <col min="14545" max="14545" width="11.77734375" style="1" bestFit="1" customWidth="1"/>
    <col min="14546" max="14546" width="13.21875" style="1" bestFit="1" customWidth="1"/>
    <col min="14547" max="14547" width="11.77734375" style="1" bestFit="1" customWidth="1"/>
    <col min="14548" max="14792" width="11.44140625" style="1"/>
    <col min="14793" max="14793" width="4.21875" style="1" customWidth="1"/>
    <col min="14794" max="14795" width="11.44140625" style="1"/>
    <col min="14796" max="14796" width="22" style="1" customWidth="1"/>
    <col min="14797" max="14797" width="6.77734375" style="1" customWidth="1"/>
    <col min="14798" max="14798" width="15.44140625" style="1" bestFit="1" customWidth="1"/>
    <col min="14799" max="14799" width="11.44140625" style="1"/>
    <col min="14800" max="14800" width="14.21875" style="1" bestFit="1" customWidth="1"/>
    <col min="14801" max="14801" width="11.77734375" style="1" bestFit="1" customWidth="1"/>
    <col min="14802" max="14802" width="13.21875" style="1" bestFit="1" customWidth="1"/>
    <col min="14803" max="14803" width="11.77734375" style="1" bestFit="1" customWidth="1"/>
    <col min="14804" max="15048" width="11.44140625" style="1"/>
    <col min="15049" max="15049" width="4.21875" style="1" customWidth="1"/>
    <col min="15050" max="15051" width="11.44140625" style="1"/>
    <col min="15052" max="15052" width="22" style="1" customWidth="1"/>
    <col min="15053" max="15053" width="6.77734375" style="1" customWidth="1"/>
    <col min="15054" max="15054" width="15.44140625" style="1" bestFit="1" customWidth="1"/>
    <col min="15055" max="15055" width="11.44140625" style="1"/>
    <col min="15056" max="15056" width="14.21875" style="1" bestFit="1" customWidth="1"/>
    <col min="15057" max="15057" width="11.77734375" style="1" bestFit="1" customWidth="1"/>
    <col min="15058" max="15058" width="13.21875" style="1" bestFit="1" customWidth="1"/>
    <col min="15059" max="15059" width="11.77734375" style="1" bestFit="1" customWidth="1"/>
    <col min="15060" max="15304" width="11.44140625" style="1"/>
    <col min="15305" max="15305" width="4.21875" style="1" customWidth="1"/>
    <col min="15306" max="15307" width="11.44140625" style="1"/>
    <col min="15308" max="15308" width="22" style="1" customWidth="1"/>
    <col min="15309" max="15309" width="6.77734375" style="1" customWidth="1"/>
    <col min="15310" max="15310" width="15.44140625" style="1" bestFit="1" customWidth="1"/>
    <col min="15311" max="15311" width="11.44140625" style="1"/>
    <col min="15312" max="15312" width="14.21875" style="1" bestFit="1" customWidth="1"/>
    <col min="15313" max="15313" width="11.77734375" style="1" bestFit="1" customWidth="1"/>
    <col min="15314" max="15314" width="13.21875" style="1" bestFit="1" customWidth="1"/>
    <col min="15315" max="15315" width="11.77734375" style="1" bestFit="1" customWidth="1"/>
    <col min="15316" max="15560" width="11.44140625" style="1"/>
    <col min="15561" max="15561" width="4.21875" style="1" customWidth="1"/>
    <col min="15562" max="15563" width="11.44140625" style="1"/>
    <col min="15564" max="15564" width="22" style="1" customWidth="1"/>
    <col min="15565" max="15565" width="6.77734375" style="1" customWidth="1"/>
    <col min="15566" max="15566" width="15.44140625" style="1" bestFit="1" customWidth="1"/>
    <col min="15567" max="15567" width="11.44140625" style="1"/>
    <col min="15568" max="15568" width="14.21875" style="1" bestFit="1" customWidth="1"/>
    <col min="15569" max="15569" width="11.77734375" style="1" bestFit="1" customWidth="1"/>
    <col min="15570" max="15570" width="13.21875" style="1" bestFit="1" customWidth="1"/>
    <col min="15571" max="15571" width="11.77734375" style="1" bestFit="1" customWidth="1"/>
    <col min="15572" max="15816" width="11.44140625" style="1"/>
    <col min="15817" max="15817" width="4.21875" style="1" customWidth="1"/>
    <col min="15818" max="15819" width="11.44140625" style="1"/>
    <col min="15820" max="15820" width="22" style="1" customWidth="1"/>
    <col min="15821" max="15821" width="6.77734375" style="1" customWidth="1"/>
    <col min="15822" max="15822" width="15.44140625" style="1" bestFit="1" customWidth="1"/>
    <col min="15823" max="15823" width="11.44140625" style="1"/>
    <col min="15824" max="15824" width="14.21875" style="1" bestFit="1" customWidth="1"/>
    <col min="15825" max="15825" width="11.77734375" style="1" bestFit="1" customWidth="1"/>
    <col min="15826" max="15826" width="13.21875" style="1" bestFit="1" customWidth="1"/>
    <col min="15827" max="15827" width="11.77734375" style="1" bestFit="1" customWidth="1"/>
    <col min="15828" max="16072" width="11.44140625" style="1"/>
    <col min="16073" max="16073" width="4.21875" style="1" customWidth="1"/>
    <col min="16074" max="16075" width="11.44140625" style="1"/>
    <col min="16076" max="16076" width="22" style="1" customWidth="1"/>
    <col min="16077" max="16077" width="6.77734375" style="1" customWidth="1"/>
    <col min="16078" max="16078" width="15.44140625" style="1" bestFit="1" customWidth="1"/>
    <col min="16079" max="16079" width="11.44140625" style="1"/>
    <col min="16080" max="16080" width="14.21875" style="1" bestFit="1" customWidth="1"/>
    <col min="16081" max="16081" width="11.77734375" style="1" bestFit="1" customWidth="1"/>
    <col min="16082" max="16082" width="13.21875" style="1" bestFit="1" customWidth="1"/>
    <col min="16083" max="16083" width="11.77734375" style="1" bestFit="1" customWidth="1"/>
    <col min="16084" max="16384" width="11.44140625" style="1"/>
  </cols>
  <sheetData>
    <row r="1" spans="1:15" ht="122.1" customHeight="1" thickTop="1" thickBot="1">
      <c r="A1" s="355" t="s">
        <v>36</v>
      </c>
      <c r="B1" s="356"/>
      <c r="C1" s="356"/>
      <c r="D1" s="356"/>
      <c r="E1" s="356"/>
      <c r="F1" s="356"/>
      <c r="G1" s="356"/>
      <c r="H1" s="357"/>
    </row>
    <row r="2" spans="1:15" ht="57" customHeight="1" thickTop="1" thickBot="1">
      <c r="A2" s="358" t="s">
        <v>481</v>
      </c>
      <c r="B2" s="359"/>
      <c r="C2" s="359"/>
      <c r="D2" s="360"/>
      <c r="E2" s="360"/>
      <c r="F2" s="360"/>
      <c r="G2" s="360"/>
      <c r="H2" s="361"/>
    </row>
    <row r="3" spans="1:15" ht="44.25" customHeight="1" thickTop="1" thickBot="1">
      <c r="A3" s="15" t="s">
        <v>1</v>
      </c>
      <c r="B3" s="362" t="s">
        <v>38</v>
      </c>
      <c r="C3" s="362"/>
      <c r="D3" s="363"/>
      <c r="E3" s="16" t="s">
        <v>39</v>
      </c>
      <c r="F3" s="17" t="s">
        <v>40</v>
      </c>
      <c r="G3" s="18" t="s">
        <v>41</v>
      </c>
      <c r="H3" s="19" t="s">
        <v>42</v>
      </c>
    </row>
    <row r="4" spans="1:15" ht="13.05" customHeight="1" thickTop="1">
      <c r="A4" s="20"/>
      <c r="B4" s="21"/>
      <c r="C4" s="21"/>
      <c r="D4" s="21"/>
      <c r="E4" s="22"/>
      <c r="F4" s="23"/>
      <c r="G4" s="24"/>
      <c r="H4" s="25"/>
    </row>
    <row r="5" spans="1:15" ht="13.05" customHeight="1">
      <c r="A5" s="26"/>
      <c r="B5" s="27" t="s">
        <v>43</v>
      </c>
      <c r="C5" s="28"/>
      <c r="D5" s="28"/>
      <c r="E5" s="29"/>
      <c r="F5" s="30"/>
      <c r="G5" s="31"/>
      <c r="H5" s="32"/>
    </row>
    <row r="6" spans="1:15" ht="32.549999999999997" customHeight="1">
      <c r="A6" s="372" t="s">
        <v>1525</v>
      </c>
      <c r="B6" s="373"/>
      <c r="C6" s="373"/>
      <c r="D6" s="373"/>
      <c r="E6" s="373"/>
      <c r="F6" s="373"/>
      <c r="G6" s="373"/>
      <c r="H6" s="374"/>
    </row>
    <row r="7" spans="1:15" ht="13.05" customHeight="1">
      <c r="A7" s="26"/>
      <c r="B7" s="28"/>
      <c r="C7" s="28"/>
      <c r="D7" s="28"/>
      <c r="E7" s="29"/>
      <c r="F7" s="33"/>
      <c r="G7" s="34"/>
      <c r="H7" s="35"/>
      <c r="J7" s="36"/>
      <c r="K7" s="36"/>
      <c r="L7" s="36"/>
      <c r="M7" s="75"/>
      <c r="N7" s="75"/>
      <c r="O7" s="68"/>
    </row>
    <row r="8" spans="1:15" ht="13.05" customHeight="1">
      <c r="A8" s="37"/>
      <c r="B8" s="38"/>
      <c r="C8" s="13"/>
      <c r="D8" s="13"/>
      <c r="E8" s="39"/>
      <c r="F8" s="40"/>
      <c r="G8" s="41"/>
      <c r="H8" s="42"/>
      <c r="J8" s="36"/>
      <c r="K8" s="36"/>
      <c r="L8" s="36"/>
      <c r="M8" s="75"/>
      <c r="N8" s="75"/>
      <c r="O8" s="68"/>
    </row>
    <row r="9" spans="1:15" ht="13.05" customHeight="1">
      <c r="A9" s="37" t="s">
        <v>66</v>
      </c>
      <c r="B9" s="38" t="s">
        <v>352</v>
      </c>
      <c r="C9" s="47"/>
      <c r="D9" s="82"/>
      <c r="E9" s="39" t="s">
        <v>70</v>
      </c>
      <c r="F9" s="40"/>
      <c r="G9" s="41"/>
      <c r="H9" s="42"/>
      <c r="J9" s="36"/>
      <c r="K9" s="36"/>
      <c r="L9" s="36"/>
      <c r="M9" s="75"/>
      <c r="N9" s="75"/>
      <c r="O9" s="68"/>
    </row>
    <row r="10" spans="1:15" ht="13.05" customHeight="1">
      <c r="A10" s="37"/>
      <c r="B10" s="38"/>
      <c r="C10" s="47"/>
      <c r="D10" s="82"/>
      <c r="E10" s="39"/>
      <c r="F10" s="40"/>
      <c r="G10" s="41"/>
      <c r="H10" s="42"/>
      <c r="J10" s="36"/>
      <c r="K10" s="36"/>
      <c r="L10" s="36"/>
      <c r="M10" s="71"/>
      <c r="N10" s="71"/>
      <c r="O10"/>
    </row>
    <row r="11" spans="1:15" ht="13.05" customHeight="1">
      <c r="A11" s="37" t="s">
        <v>68</v>
      </c>
      <c r="B11" s="38" t="s">
        <v>67</v>
      </c>
      <c r="C11" s="47"/>
      <c r="D11" s="82"/>
      <c r="E11" s="39" t="s">
        <v>70</v>
      </c>
      <c r="F11" s="40"/>
      <c r="G11" s="41"/>
      <c r="H11" s="42"/>
      <c r="J11" s="36"/>
      <c r="K11" s="36"/>
      <c r="L11" s="36"/>
    </row>
    <row r="12" spans="1:15" ht="13.05" customHeight="1">
      <c r="A12" s="37"/>
      <c r="B12" s="38"/>
      <c r="C12" s="47"/>
      <c r="D12" s="82"/>
      <c r="E12" s="39"/>
      <c r="F12" s="40"/>
      <c r="G12" s="41"/>
      <c r="H12" s="42"/>
      <c r="J12" s="36"/>
      <c r="K12" s="36"/>
      <c r="L12" s="36"/>
    </row>
    <row r="13" spans="1:15" ht="13.05" customHeight="1">
      <c r="A13" s="37" t="s">
        <v>71</v>
      </c>
      <c r="B13" s="38" t="s">
        <v>353</v>
      </c>
      <c r="C13" s="47"/>
      <c r="D13" s="82"/>
      <c r="E13" s="39" t="s">
        <v>70</v>
      </c>
      <c r="F13" s="40"/>
      <c r="G13" s="41"/>
      <c r="H13" s="42"/>
      <c r="J13" s="69"/>
      <c r="K13" s="69"/>
      <c r="L13" s="69"/>
    </row>
    <row r="14" spans="1:15" ht="13.05" customHeight="1">
      <c r="A14" s="37"/>
      <c r="B14" s="38"/>
      <c r="C14" s="47"/>
      <c r="D14" s="82"/>
      <c r="E14" s="39"/>
      <c r="F14" s="40"/>
      <c r="G14" s="41"/>
      <c r="H14" s="42"/>
      <c r="J14" s="69"/>
      <c r="K14" s="69"/>
      <c r="L14" s="69"/>
    </row>
    <row r="15" spans="1:15" ht="13.05" customHeight="1">
      <c r="A15" s="37" t="s">
        <v>73</v>
      </c>
      <c r="B15" s="38" t="s">
        <v>482</v>
      </c>
      <c r="C15" s="47"/>
      <c r="D15" s="82"/>
      <c r="E15" s="39" t="s">
        <v>70</v>
      </c>
      <c r="F15" s="40"/>
      <c r="G15" s="41"/>
      <c r="H15" s="42"/>
      <c r="J15" s="69"/>
      <c r="K15" s="69"/>
      <c r="L15" s="69"/>
    </row>
    <row r="16" spans="1:15" ht="13.05" customHeight="1">
      <c r="A16" s="88"/>
      <c r="B16" s="86"/>
      <c r="C16" s="86"/>
      <c r="D16" s="86"/>
      <c r="E16" s="87"/>
      <c r="F16" s="33"/>
      <c r="G16" s="34"/>
      <c r="H16" s="35"/>
      <c r="J16" s="36"/>
      <c r="K16" s="36"/>
      <c r="L16" s="36"/>
    </row>
    <row r="17" spans="1:12" ht="13.05" customHeight="1">
      <c r="A17" s="84" t="s">
        <v>76</v>
      </c>
      <c r="B17" s="85" t="s">
        <v>483</v>
      </c>
      <c r="C17" s="86"/>
      <c r="D17" s="86"/>
      <c r="E17" s="87" t="s">
        <v>52</v>
      </c>
      <c r="F17" s="33"/>
      <c r="G17" s="34"/>
      <c r="H17" s="35"/>
      <c r="J17" s="69"/>
      <c r="K17" s="69"/>
      <c r="L17" s="69"/>
    </row>
    <row r="18" spans="1:12" ht="13.05" customHeight="1">
      <c r="A18" s="84"/>
      <c r="B18" s="85"/>
      <c r="C18" s="86"/>
      <c r="D18" s="86"/>
      <c r="E18" s="87"/>
      <c r="F18" s="33"/>
      <c r="G18" s="34"/>
      <c r="H18" s="35"/>
      <c r="J18" s="69"/>
      <c r="K18" s="69"/>
      <c r="L18" s="69"/>
    </row>
    <row r="19" spans="1:12" ht="13.05" customHeight="1">
      <c r="A19" s="84" t="s">
        <v>78</v>
      </c>
      <c r="B19" s="85" t="s">
        <v>484</v>
      </c>
      <c r="C19" s="86"/>
      <c r="D19" s="86"/>
      <c r="E19" s="87"/>
      <c r="F19" s="33"/>
      <c r="G19" s="34"/>
      <c r="H19" s="35"/>
      <c r="J19" s="69"/>
      <c r="K19" s="69"/>
      <c r="L19" s="69"/>
    </row>
    <row r="20" spans="1:12" ht="13.05" customHeight="1">
      <c r="A20" s="84"/>
      <c r="B20" s="85"/>
      <c r="C20" s="86"/>
      <c r="D20" s="86"/>
      <c r="E20" s="87"/>
      <c r="F20" s="33"/>
      <c r="G20" s="34"/>
      <c r="H20" s="35"/>
      <c r="J20" s="69"/>
      <c r="K20" s="69"/>
      <c r="L20" s="69"/>
    </row>
    <row r="21" spans="1:12" ht="13.05" customHeight="1">
      <c r="A21" s="88" t="s">
        <v>357</v>
      </c>
      <c r="B21" s="86" t="s">
        <v>485</v>
      </c>
      <c r="C21" s="86"/>
      <c r="D21" s="86"/>
      <c r="E21" s="87"/>
      <c r="F21" s="33"/>
      <c r="G21" s="34"/>
      <c r="H21" s="35"/>
      <c r="J21" s="69"/>
      <c r="K21" s="69"/>
      <c r="L21" s="69"/>
    </row>
    <row r="22" spans="1:12" ht="13.05" customHeight="1">
      <c r="A22" s="88"/>
      <c r="B22" s="86"/>
      <c r="C22" s="86" t="s">
        <v>486</v>
      </c>
      <c r="D22" s="86"/>
      <c r="E22" s="87" t="s">
        <v>52</v>
      </c>
      <c r="F22" s="33"/>
      <c r="G22" s="34"/>
      <c r="H22" s="35"/>
      <c r="J22" s="69"/>
      <c r="K22" s="69"/>
      <c r="L22" s="69"/>
    </row>
    <row r="23" spans="1:12" ht="13.05" customHeight="1">
      <c r="A23" s="88"/>
      <c r="B23" s="86"/>
      <c r="C23" s="86" t="s">
        <v>487</v>
      </c>
      <c r="D23" s="86"/>
      <c r="E23" s="87" t="s">
        <v>52</v>
      </c>
      <c r="F23" s="33"/>
      <c r="G23" s="34"/>
      <c r="H23" s="35"/>
      <c r="J23" s="69"/>
      <c r="K23" s="69"/>
      <c r="L23" s="69"/>
    </row>
    <row r="24" spans="1:12" ht="13.05" customHeight="1">
      <c r="A24" s="88"/>
      <c r="B24" s="86"/>
      <c r="C24" s="86" t="s">
        <v>488</v>
      </c>
      <c r="D24" s="86"/>
      <c r="E24" s="87" t="s">
        <v>93</v>
      </c>
      <c r="F24" s="33"/>
      <c r="G24" s="34"/>
      <c r="H24" s="35"/>
      <c r="J24" s="69"/>
      <c r="K24" s="69"/>
      <c r="L24" s="69"/>
    </row>
    <row r="25" spans="1:12" ht="13.05" customHeight="1">
      <c r="A25" s="88"/>
      <c r="B25" s="86"/>
      <c r="C25" s="86"/>
      <c r="D25" s="86"/>
      <c r="E25" s="87"/>
      <c r="F25" s="33"/>
      <c r="G25" s="34"/>
      <c r="H25" s="35"/>
      <c r="J25" s="69"/>
      <c r="K25" s="69"/>
      <c r="L25" s="69"/>
    </row>
    <row r="26" spans="1:12" ht="13.05" customHeight="1">
      <c r="A26" s="88" t="s">
        <v>359</v>
      </c>
      <c r="B26" s="86" t="s">
        <v>489</v>
      </c>
      <c r="C26" s="86"/>
      <c r="D26" s="86"/>
      <c r="E26" s="87" t="s">
        <v>52</v>
      </c>
      <c r="F26" s="33"/>
      <c r="G26" s="34"/>
      <c r="H26" s="35"/>
      <c r="J26" s="36"/>
      <c r="K26" s="36"/>
      <c r="L26" s="36"/>
    </row>
    <row r="27" spans="1:12" ht="13.05" customHeight="1">
      <c r="A27" s="88"/>
      <c r="B27" s="86"/>
      <c r="C27" s="86"/>
      <c r="D27" s="86"/>
      <c r="E27" s="87"/>
      <c r="F27" s="33"/>
      <c r="G27" s="34"/>
      <c r="H27" s="35"/>
      <c r="J27" s="36"/>
      <c r="K27" s="36"/>
      <c r="L27" s="36"/>
    </row>
    <row r="28" spans="1:12" ht="13.05" customHeight="1">
      <c r="A28" s="88" t="s">
        <v>361</v>
      </c>
      <c r="B28" s="86" t="s">
        <v>490</v>
      </c>
      <c r="C28" s="86"/>
      <c r="D28" s="86"/>
      <c r="E28" s="87" t="s">
        <v>93</v>
      </c>
      <c r="F28" s="33"/>
      <c r="G28" s="34"/>
      <c r="H28" s="35"/>
      <c r="J28" s="36"/>
      <c r="K28" s="36"/>
      <c r="L28" s="36"/>
    </row>
    <row r="29" spans="1:12" ht="13.05" customHeight="1">
      <c r="A29" s="88"/>
      <c r="B29" s="86"/>
      <c r="C29" s="86"/>
      <c r="D29" s="86"/>
      <c r="E29" s="87"/>
      <c r="F29" s="33"/>
      <c r="G29" s="34"/>
      <c r="H29" s="35"/>
      <c r="J29" s="36"/>
      <c r="K29" s="36"/>
      <c r="L29" s="36"/>
    </row>
    <row r="30" spans="1:12" ht="13.05" customHeight="1">
      <c r="A30" s="84" t="s">
        <v>81</v>
      </c>
      <c r="B30" s="85" t="s">
        <v>491</v>
      </c>
      <c r="C30" s="86"/>
      <c r="D30" s="86"/>
      <c r="E30" s="87"/>
      <c r="F30" s="33"/>
      <c r="G30" s="34"/>
      <c r="H30" s="35"/>
      <c r="J30" s="36"/>
      <c r="K30" s="36"/>
      <c r="L30" s="36"/>
    </row>
    <row r="31" spans="1:12" ht="13.05" customHeight="1">
      <c r="A31" s="84"/>
      <c r="B31" s="85"/>
      <c r="C31" s="86"/>
      <c r="D31" s="86"/>
      <c r="E31" s="87"/>
      <c r="F31" s="33"/>
      <c r="G31" s="34"/>
      <c r="H31" s="35"/>
      <c r="J31" s="36"/>
      <c r="K31" s="36"/>
      <c r="L31" s="36"/>
    </row>
    <row r="32" spans="1:12" ht="13.05" customHeight="1">
      <c r="A32" s="88" t="s">
        <v>396</v>
      </c>
      <c r="B32" s="86" t="s">
        <v>492</v>
      </c>
      <c r="C32" s="86"/>
      <c r="D32" s="86"/>
      <c r="E32" s="87" t="s">
        <v>52</v>
      </c>
      <c r="F32" s="33"/>
      <c r="G32" s="34"/>
      <c r="H32" s="35"/>
      <c r="J32" s="36"/>
      <c r="K32" s="36"/>
      <c r="L32" s="36"/>
    </row>
    <row r="33" spans="1:12" ht="13.05" customHeight="1">
      <c r="A33" s="88"/>
      <c r="B33" s="86"/>
      <c r="C33" s="86"/>
      <c r="D33" s="86"/>
      <c r="E33" s="87"/>
      <c r="F33" s="33"/>
      <c r="G33" s="34"/>
      <c r="H33" s="35"/>
      <c r="J33" s="36"/>
      <c r="K33" s="36"/>
      <c r="L33" s="36"/>
    </row>
    <row r="34" spans="1:12" ht="13.05" customHeight="1">
      <c r="A34" s="88" t="s">
        <v>398</v>
      </c>
      <c r="B34" s="86" t="s">
        <v>493</v>
      </c>
      <c r="C34" s="86"/>
      <c r="D34" s="86"/>
      <c r="E34" s="87" t="s">
        <v>93</v>
      </c>
      <c r="F34" s="33"/>
      <c r="G34" s="34"/>
      <c r="H34" s="35"/>
      <c r="J34" s="36"/>
      <c r="K34" s="36"/>
      <c r="L34" s="36"/>
    </row>
    <row r="35" spans="1:12" ht="13.05" customHeight="1">
      <c r="A35" s="88"/>
      <c r="B35" s="86"/>
      <c r="C35" s="86"/>
      <c r="D35" s="86"/>
      <c r="E35" s="87"/>
      <c r="F35" s="33"/>
      <c r="G35" s="34"/>
      <c r="H35" s="35"/>
      <c r="J35" s="36"/>
      <c r="K35" s="36"/>
      <c r="L35" s="36"/>
    </row>
    <row r="36" spans="1:12" ht="13.05" customHeight="1">
      <c r="A36" s="88" t="s">
        <v>400</v>
      </c>
      <c r="B36" s="86" t="s">
        <v>494</v>
      </c>
      <c r="C36" s="86"/>
      <c r="D36" s="86"/>
      <c r="E36" s="87" t="s">
        <v>93</v>
      </c>
      <c r="F36" s="33"/>
      <c r="G36" s="34"/>
      <c r="H36" s="35"/>
      <c r="J36" s="36"/>
      <c r="K36" s="36"/>
      <c r="L36" s="36"/>
    </row>
    <row r="37" spans="1:12" ht="13.05" customHeight="1">
      <c r="A37" s="88"/>
      <c r="B37" s="86"/>
      <c r="C37" s="86"/>
      <c r="D37" s="86"/>
      <c r="E37" s="87"/>
      <c r="F37" s="33"/>
      <c r="G37" s="34"/>
      <c r="H37" s="35"/>
      <c r="J37" s="36"/>
      <c r="K37" s="36"/>
      <c r="L37" s="36"/>
    </row>
    <row r="38" spans="1:12" ht="13.05" customHeight="1">
      <c r="A38" s="84" t="s">
        <v>83</v>
      </c>
      <c r="B38" s="85" t="s">
        <v>495</v>
      </c>
      <c r="C38" s="86"/>
      <c r="D38" s="86"/>
      <c r="E38" s="87"/>
      <c r="F38" s="33"/>
      <c r="G38" s="34"/>
      <c r="H38" s="35"/>
      <c r="J38" s="36"/>
      <c r="K38" s="36"/>
      <c r="L38" s="36"/>
    </row>
    <row r="39" spans="1:12" ht="13.05" customHeight="1">
      <c r="A39" s="84"/>
      <c r="B39" s="85"/>
      <c r="C39" s="86" t="s">
        <v>496</v>
      </c>
      <c r="D39" s="86"/>
      <c r="E39" s="87" t="s">
        <v>93</v>
      </c>
      <c r="F39" s="33"/>
      <c r="G39" s="34"/>
      <c r="H39" s="35"/>
      <c r="J39" s="36"/>
      <c r="K39" s="36"/>
      <c r="L39" s="36"/>
    </row>
    <row r="40" spans="1:12" ht="13.05" customHeight="1">
      <c r="A40" s="84"/>
      <c r="B40" s="85"/>
      <c r="C40" s="86" t="s">
        <v>497</v>
      </c>
      <c r="D40" s="86"/>
      <c r="E40" s="87" t="s">
        <v>93</v>
      </c>
      <c r="F40" s="33"/>
      <c r="G40" s="34"/>
      <c r="H40" s="35"/>
      <c r="J40" s="36"/>
      <c r="K40" s="36"/>
      <c r="L40" s="36"/>
    </row>
    <row r="41" spans="1:12" ht="13.05" customHeight="1">
      <c r="A41" s="84"/>
      <c r="B41" s="85"/>
      <c r="C41" s="86" t="s">
        <v>498</v>
      </c>
      <c r="D41" s="86"/>
      <c r="E41" s="87" t="s">
        <v>93</v>
      </c>
      <c r="F41" s="33"/>
      <c r="G41" s="34"/>
      <c r="H41" s="35"/>
      <c r="J41" s="36"/>
      <c r="K41" s="36"/>
      <c r="L41" s="36"/>
    </row>
    <row r="42" spans="1:12" ht="13.05" customHeight="1">
      <c r="A42" s="84"/>
      <c r="B42" s="85"/>
      <c r="C42" s="86" t="s">
        <v>499</v>
      </c>
      <c r="D42" s="86"/>
      <c r="E42" s="87" t="s">
        <v>93</v>
      </c>
      <c r="F42" s="33"/>
      <c r="G42" s="34"/>
      <c r="H42" s="35"/>
      <c r="J42" s="36"/>
      <c r="K42" s="36"/>
      <c r="L42" s="36"/>
    </row>
    <row r="43" spans="1:12" ht="13.05" customHeight="1">
      <c r="A43" s="84"/>
      <c r="B43" s="85"/>
      <c r="C43" s="86" t="s">
        <v>500</v>
      </c>
      <c r="D43" s="86"/>
      <c r="E43" s="87" t="s">
        <v>93</v>
      </c>
      <c r="F43" s="33"/>
      <c r="G43" s="34"/>
      <c r="H43" s="35"/>
      <c r="J43" s="36"/>
      <c r="K43" s="36"/>
      <c r="L43" s="36"/>
    </row>
    <row r="44" spans="1:12" ht="13.05" customHeight="1">
      <c r="A44" s="84"/>
      <c r="B44" s="85"/>
      <c r="C44" s="86" t="s">
        <v>501</v>
      </c>
      <c r="D44" s="86"/>
      <c r="E44" s="87" t="s">
        <v>93</v>
      </c>
      <c r="F44" s="33"/>
      <c r="G44" s="34"/>
      <c r="H44" s="35"/>
      <c r="J44" s="36"/>
      <c r="K44" s="36"/>
      <c r="L44" s="36"/>
    </row>
    <row r="45" spans="1:12" ht="13.05" customHeight="1">
      <c r="A45" s="84"/>
      <c r="B45" s="85"/>
      <c r="C45" s="86" t="s">
        <v>502</v>
      </c>
      <c r="D45" s="86"/>
      <c r="E45" s="87" t="s">
        <v>93</v>
      </c>
      <c r="F45" s="33"/>
      <c r="G45" s="34"/>
      <c r="H45" s="35"/>
      <c r="J45" s="36"/>
      <c r="K45" s="36"/>
      <c r="L45" s="36"/>
    </row>
    <row r="46" spans="1:12" ht="13.05" customHeight="1">
      <c r="A46" s="84"/>
      <c r="B46" s="85"/>
      <c r="C46" s="86" t="s">
        <v>503</v>
      </c>
      <c r="D46" s="86"/>
      <c r="E46" s="87" t="s">
        <v>93</v>
      </c>
      <c r="F46" s="33"/>
      <c r="G46" s="34"/>
      <c r="H46" s="35"/>
      <c r="J46" s="36"/>
      <c r="K46" s="36"/>
      <c r="L46" s="36"/>
    </row>
    <row r="47" spans="1:12" ht="13.05" customHeight="1">
      <c r="A47" s="84"/>
      <c r="B47" s="85"/>
      <c r="C47" s="86" t="s">
        <v>504</v>
      </c>
      <c r="D47" s="86"/>
      <c r="E47" s="87" t="s">
        <v>93</v>
      </c>
      <c r="F47" s="33"/>
      <c r="G47" s="34"/>
      <c r="H47" s="35"/>
      <c r="J47" s="36"/>
      <c r="K47" s="36"/>
      <c r="L47" s="36"/>
    </row>
    <row r="48" spans="1:12" ht="13.05" customHeight="1">
      <c r="A48" s="84"/>
      <c r="B48" s="85"/>
      <c r="C48" s="86" t="s">
        <v>505</v>
      </c>
      <c r="D48" s="86"/>
      <c r="E48" s="87" t="s">
        <v>93</v>
      </c>
      <c r="F48" s="33"/>
      <c r="G48" s="34"/>
      <c r="H48" s="35"/>
      <c r="J48" s="36"/>
      <c r="K48" s="36"/>
      <c r="L48" s="36"/>
    </row>
    <row r="49" spans="1:12" ht="13.05" customHeight="1">
      <c r="A49" s="84"/>
      <c r="B49" s="85"/>
      <c r="C49" s="86" t="s">
        <v>506</v>
      </c>
      <c r="D49" s="86"/>
      <c r="E49" s="87" t="s">
        <v>93</v>
      </c>
      <c r="F49" s="33"/>
      <c r="G49" s="34"/>
      <c r="H49" s="35"/>
      <c r="J49" s="36"/>
      <c r="K49" s="36"/>
      <c r="L49" s="36"/>
    </row>
    <row r="50" spans="1:12" ht="13.05" customHeight="1">
      <c r="A50" s="84"/>
      <c r="B50" s="85"/>
      <c r="C50" s="86" t="s">
        <v>507</v>
      </c>
      <c r="D50" s="86"/>
      <c r="E50" s="87" t="s">
        <v>93</v>
      </c>
      <c r="F50" s="33"/>
      <c r="G50" s="34"/>
      <c r="H50" s="35"/>
      <c r="J50" s="36"/>
      <c r="K50" s="36"/>
      <c r="L50" s="36"/>
    </row>
    <row r="51" spans="1:12" ht="13.05" customHeight="1">
      <c r="A51" s="84"/>
      <c r="B51" s="85"/>
      <c r="C51" s="86" t="s">
        <v>508</v>
      </c>
      <c r="D51" s="86"/>
      <c r="E51" s="87" t="s">
        <v>93</v>
      </c>
      <c r="F51" s="33"/>
      <c r="G51" s="34"/>
      <c r="H51" s="35"/>
      <c r="J51" s="36"/>
      <c r="K51" s="36"/>
      <c r="L51" s="36"/>
    </row>
    <row r="52" spans="1:12" ht="13.05" customHeight="1">
      <c r="A52" s="84"/>
      <c r="B52" s="85"/>
      <c r="C52" s="86" t="s">
        <v>509</v>
      </c>
      <c r="D52" s="86"/>
      <c r="E52" s="87" t="s">
        <v>93</v>
      </c>
      <c r="F52" s="33"/>
      <c r="G52" s="34"/>
      <c r="H52" s="35"/>
      <c r="J52" s="36"/>
      <c r="K52" s="36"/>
      <c r="L52" s="36"/>
    </row>
    <row r="53" spans="1:12" ht="13.05" customHeight="1">
      <c r="A53" s="84"/>
      <c r="B53" s="85"/>
      <c r="C53" s="86" t="s">
        <v>510</v>
      </c>
      <c r="D53" s="86"/>
      <c r="E53" s="87" t="s">
        <v>93</v>
      </c>
      <c r="F53" s="33"/>
      <c r="G53" s="34"/>
      <c r="H53" s="35"/>
      <c r="J53" s="36"/>
      <c r="K53" s="36"/>
      <c r="L53" s="36"/>
    </row>
    <row r="54" spans="1:12" ht="13.05" customHeight="1">
      <c r="A54" s="84"/>
      <c r="B54" s="85"/>
      <c r="C54" s="86" t="s">
        <v>511</v>
      </c>
      <c r="D54" s="86"/>
      <c r="E54" s="87" t="s">
        <v>93</v>
      </c>
      <c r="F54" s="33"/>
      <c r="G54" s="34"/>
      <c r="H54" s="35"/>
      <c r="J54" s="36"/>
      <c r="K54" s="36"/>
      <c r="L54" s="36"/>
    </row>
    <row r="55" spans="1:12" ht="13.05" customHeight="1">
      <c r="A55" s="84"/>
      <c r="B55" s="85"/>
      <c r="C55" s="86" t="s">
        <v>512</v>
      </c>
      <c r="D55" s="86"/>
      <c r="E55" s="87" t="s">
        <v>93</v>
      </c>
      <c r="F55" s="33"/>
      <c r="G55" s="34"/>
      <c r="H55" s="35"/>
      <c r="J55" s="36"/>
      <c r="K55" s="36"/>
      <c r="L55" s="36"/>
    </row>
    <row r="56" spans="1:12" ht="13.05" customHeight="1">
      <c r="A56" s="84"/>
      <c r="B56" s="85"/>
      <c r="C56" s="86" t="s">
        <v>513</v>
      </c>
      <c r="D56" s="86"/>
      <c r="E56" s="87" t="s">
        <v>93</v>
      </c>
      <c r="F56" s="33"/>
      <c r="G56" s="34"/>
      <c r="H56" s="35"/>
      <c r="J56" s="36"/>
      <c r="K56" s="36"/>
      <c r="L56" s="36"/>
    </row>
    <row r="57" spans="1:12" ht="13.05" customHeight="1">
      <c r="A57" s="84"/>
      <c r="B57" s="85"/>
      <c r="C57" s="86" t="s">
        <v>514</v>
      </c>
      <c r="D57" s="86"/>
      <c r="E57" s="87" t="s">
        <v>93</v>
      </c>
      <c r="F57" s="33"/>
      <c r="G57" s="34"/>
      <c r="H57" s="35"/>
      <c r="J57" s="36"/>
      <c r="K57" s="36"/>
      <c r="L57" s="36"/>
    </row>
    <row r="58" spans="1:12" ht="13.05" customHeight="1">
      <c r="A58" s="84"/>
      <c r="B58" s="85"/>
      <c r="C58" s="86" t="s">
        <v>515</v>
      </c>
      <c r="D58" s="86"/>
      <c r="E58" s="87" t="s">
        <v>93</v>
      </c>
      <c r="F58" s="33"/>
      <c r="G58" s="34"/>
      <c r="H58" s="35"/>
      <c r="J58" s="36"/>
      <c r="K58" s="36"/>
      <c r="L58" s="36"/>
    </row>
    <row r="59" spans="1:12" ht="13.05" customHeight="1">
      <c r="A59" s="84"/>
      <c r="B59" s="85"/>
      <c r="C59" s="86"/>
      <c r="D59" s="86"/>
      <c r="E59" s="87"/>
      <c r="F59" s="33"/>
      <c r="G59" s="34"/>
      <c r="H59" s="35"/>
      <c r="J59" s="36"/>
      <c r="K59" s="36"/>
      <c r="L59" s="36"/>
    </row>
    <row r="60" spans="1:12" ht="13.05" customHeight="1">
      <c r="A60" s="84" t="s">
        <v>136</v>
      </c>
      <c r="B60" s="85" t="s">
        <v>516</v>
      </c>
      <c r="C60" s="86"/>
      <c r="D60" s="86"/>
      <c r="E60" s="87"/>
      <c r="F60" s="33"/>
      <c r="G60" s="34"/>
      <c r="H60" s="35"/>
      <c r="J60" s="69"/>
      <c r="K60" s="69"/>
      <c r="L60" s="69"/>
    </row>
    <row r="61" spans="1:12" ht="13.05" customHeight="1">
      <c r="A61" s="84"/>
      <c r="B61" s="85"/>
      <c r="C61" s="86" t="s">
        <v>517</v>
      </c>
      <c r="D61" s="86"/>
      <c r="E61" s="87" t="s">
        <v>93</v>
      </c>
      <c r="F61" s="33"/>
      <c r="G61" s="34"/>
      <c r="H61" s="35"/>
      <c r="J61" s="69"/>
      <c r="K61" s="69"/>
      <c r="L61" s="69"/>
    </row>
    <row r="62" spans="1:12" ht="13.05" customHeight="1">
      <c r="A62" s="84"/>
      <c r="B62" s="85"/>
      <c r="C62" s="86" t="s">
        <v>518</v>
      </c>
      <c r="D62" s="86"/>
      <c r="E62" s="87" t="s">
        <v>93</v>
      </c>
      <c r="F62" s="33"/>
      <c r="G62" s="34"/>
      <c r="H62" s="35"/>
      <c r="J62" s="69"/>
      <c r="K62" s="69"/>
      <c r="L62" s="69"/>
    </row>
    <row r="63" spans="1:12" ht="13.05" customHeight="1">
      <c r="A63" s="84"/>
      <c r="B63" s="85"/>
      <c r="C63" s="86"/>
      <c r="D63" s="86"/>
      <c r="E63" s="87"/>
      <c r="F63" s="33"/>
      <c r="G63" s="34"/>
      <c r="H63" s="35"/>
      <c r="J63" s="69"/>
      <c r="K63" s="69"/>
      <c r="L63" s="69"/>
    </row>
    <row r="64" spans="1:12" ht="13.05" customHeight="1">
      <c r="A64" s="84" t="s">
        <v>464</v>
      </c>
      <c r="B64" s="85" t="s">
        <v>519</v>
      </c>
      <c r="C64" s="86"/>
      <c r="D64" s="86"/>
      <c r="E64" s="87" t="s">
        <v>70</v>
      </c>
      <c r="F64" s="33"/>
      <c r="G64" s="34"/>
      <c r="H64" s="35"/>
      <c r="J64" s="69"/>
      <c r="K64" s="69"/>
      <c r="L64" s="69"/>
    </row>
    <row r="65" spans="1:12" ht="13.05" customHeight="1">
      <c r="A65" s="84"/>
      <c r="B65" s="85"/>
      <c r="C65" s="86"/>
      <c r="D65" s="86"/>
      <c r="E65" s="87"/>
      <c r="F65" s="33"/>
      <c r="G65" s="34"/>
      <c r="H65" s="35"/>
      <c r="J65" s="69"/>
      <c r="K65" s="69"/>
      <c r="L65" s="69"/>
    </row>
    <row r="66" spans="1:12" ht="13.05" customHeight="1">
      <c r="A66" s="84" t="s">
        <v>471</v>
      </c>
      <c r="B66" s="85" t="s">
        <v>520</v>
      </c>
      <c r="C66" s="86"/>
      <c r="D66" s="86"/>
      <c r="E66" s="87" t="s">
        <v>123</v>
      </c>
      <c r="F66" s="33"/>
      <c r="G66" s="34"/>
      <c r="H66" s="35"/>
      <c r="J66" s="36"/>
      <c r="K66" s="36"/>
      <c r="L66" s="36"/>
    </row>
    <row r="67" spans="1:12" ht="13.05" customHeight="1">
      <c r="A67" s="84"/>
      <c r="B67" s="85"/>
      <c r="C67" s="86"/>
      <c r="D67" s="86"/>
      <c r="E67" s="87"/>
      <c r="F67" s="33"/>
      <c r="G67" s="34"/>
      <c r="H67" s="35"/>
      <c r="J67" s="36"/>
      <c r="K67" s="36"/>
      <c r="L67" s="36"/>
    </row>
    <row r="68" spans="1:12" ht="13.05" customHeight="1">
      <c r="A68" s="84" t="s">
        <v>473</v>
      </c>
      <c r="B68" s="85" t="s">
        <v>521</v>
      </c>
      <c r="C68" s="86"/>
      <c r="D68" s="86"/>
      <c r="E68" s="87" t="s">
        <v>522</v>
      </c>
      <c r="F68" s="33"/>
      <c r="G68" s="34"/>
      <c r="H68" s="35"/>
      <c r="J68" s="36"/>
      <c r="K68" s="94"/>
      <c r="L68"/>
    </row>
    <row r="69" spans="1:12" ht="13.05" customHeight="1">
      <c r="A69" s="84"/>
      <c r="B69" s="85"/>
      <c r="C69" s="86"/>
      <c r="D69" s="86"/>
      <c r="E69" s="87"/>
      <c r="F69" s="33"/>
      <c r="G69" s="34"/>
      <c r="H69" s="35"/>
      <c r="J69" s="36"/>
      <c r="K69" s="94"/>
      <c r="L69"/>
    </row>
    <row r="70" spans="1:12" ht="13.05" customHeight="1">
      <c r="A70" s="84" t="s">
        <v>475</v>
      </c>
      <c r="B70" s="85" t="s">
        <v>523</v>
      </c>
      <c r="C70" s="86"/>
      <c r="D70" s="86"/>
      <c r="E70" s="87"/>
      <c r="F70" s="33"/>
      <c r="G70" s="34"/>
      <c r="H70" s="35"/>
      <c r="J70" s="36"/>
      <c r="K70" s="94"/>
      <c r="L70"/>
    </row>
    <row r="71" spans="1:12" ht="13.05" customHeight="1">
      <c r="A71" s="84"/>
      <c r="B71" s="85"/>
      <c r="C71" s="86" t="s">
        <v>524</v>
      </c>
      <c r="D71" s="86"/>
      <c r="E71" s="87" t="s">
        <v>93</v>
      </c>
      <c r="F71" s="33"/>
      <c r="G71" s="34"/>
      <c r="H71" s="35"/>
      <c r="J71" s="69"/>
      <c r="K71" s="69"/>
      <c r="L71" s="69"/>
    </row>
    <row r="72" spans="1:12" ht="13.05" customHeight="1">
      <c r="A72" s="84"/>
      <c r="B72" s="85"/>
      <c r="C72" s="86" t="s">
        <v>525</v>
      </c>
      <c r="D72" s="86"/>
      <c r="E72" s="87" t="s">
        <v>93</v>
      </c>
      <c r="F72" s="33"/>
      <c r="G72" s="34"/>
      <c r="H72" s="35"/>
      <c r="J72" s="69"/>
      <c r="K72" s="69"/>
      <c r="L72" s="69"/>
    </row>
    <row r="73" spans="1:12" ht="13.05" customHeight="1">
      <c r="A73" s="84"/>
      <c r="B73" s="85"/>
      <c r="C73" s="86"/>
      <c r="D73" s="86"/>
      <c r="E73" s="87"/>
      <c r="F73" s="33"/>
      <c r="G73" s="34"/>
      <c r="H73" s="35"/>
      <c r="J73" s="36"/>
      <c r="K73" s="94"/>
      <c r="L73"/>
    </row>
    <row r="74" spans="1:12" ht="13.05" customHeight="1">
      <c r="A74" s="84" t="s">
        <v>477</v>
      </c>
      <c r="B74" s="85" t="s">
        <v>526</v>
      </c>
      <c r="C74" s="86"/>
      <c r="D74" s="86"/>
      <c r="E74" s="87"/>
      <c r="F74" s="33"/>
      <c r="G74" s="34"/>
      <c r="H74" s="35"/>
      <c r="J74" s="36"/>
      <c r="K74" s="43"/>
      <c r="L74"/>
    </row>
    <row r="75" spans="1:12" ht="13.05" customHeight="1">
      <c r="A75" s="84"/>
      <c r="B75" s="85"/>
      <c r="C75" s="86"/>
      <c r="D75" s="86"/>
      <c r="E75" s="87"/>
      <c r="F75" s="33"/>
      <c r="G75" s="34"/>
      <c r="H75" s="35"/>
      <c r="J75" s="36"/>
      <c r="K75" s="43"/>
      <c r="L75"/>
    </row>
    <row r="76" spans="1:12" ht="13.05" customHeight="1">
      <c r="A76" s="88" t="s">
        <v>527</v>
      </c>
      <c r="B76" s="86" t="s">
        <v>528</v>
      </c>
      <c r="C76" s="86"/>
      <c r="D76" s="86"/>
      <c r="E76" s="87" t="s">
        <v>52</v>
      </c>
      <c r="F76" s="33"/>
      <c r="G76" s="34"/>
      <c r="H76" s="35"/>
      <c r="J76" s="36"/>
      <c r="K76" s="43"/>
      <c r="L76" s="73"/>
    </row>
    <row r="77" spans="1:12" ht="13.05" customHeight="1">
      <c r="A77" s="88"/>
      <c r="B77" s="86"/>
      <c r="C77" s="86"/>
      <c r="D77" s="86"/>
      <c r="E77" s="87"/>
      <c r="F77" s="33"/>
      <c r="G77" s="34"/>
      <c r="H77" s="35"/>
      <c r="J77" s="36"/>
      <c r="K77" s="43"/>
      <c r="L77" s="73"/>
    </row>
    <row r="78" spans="1:12" ht="13.05" customHeight="1">
      <c r="A78" s="88" t="s">
        <v>529</v>
      </c>
      <c r="B78" s="86" t="s">
        <v>530</v>
      </c>
      <c r="C78" s="86"/>
      <c r="D78" s="86"/>
      <c r="E78" s="87" t="s">
        <v>52</v>
      </c>
      <c r="F78" s="33"/>
      <c r="G78" s="34"/>
      <c r="H78" s="35"/>
      <c r="J78" s="36"/>
      <c r="K78" s="94"/>
      <c r="L78"/>
    </row>
    <row r="79" spans="1:12" ht="13.05" customHeight="1">
      <c r="A79" s="88"/>
      <c r="B79" s="86"/>
      <c r="C79" s="86"/>
      <c r="D79" s="86"/>
      <c r="E79" s="87"/>
      <c r="F79" s="33"/>
      <c r="G79" s="34"/>
      <c r="H79" s="35"/>
      <c r="J79" s="36"/>
      <c r="K79" s="94"/>
      <c r="L79"/>
    </row>
    <row r="80" spans="1:12" ht="13.05" customHeight="1">
      <c r="A80" s="84" t="s">
        <v>479</v>
      </c>
      <c r="B80" s="85" t="s">
        <v>531</v>
      </c>
      <c r="C80" s="86"/>
      <c r="D80" s="86"/>
      <c r="E80" s="87" t="s">
        <v>52</v>
      </c>
      <c r="F80" s="33"/>
      <c r="G80" s="34"/>
      <c r="H80" s="35"/>
      <c r="J80" s="36"/>
      <c r="K80" s="43"/>
      <c r="L80"/>
    </row>
    <row r="81" spans="1:11" ht="13.05" customHeight="1">
      <c r="A81" s="88"/>
      <c r="B81" s="86"/>
      <c r="C81" s="47"/>
      <c r="D81" s="82"/>
      <c r="E81" s="39"/>
      <c r="F81" s="40"/>
      <c r="G81" s="41"/>
      <c r="H81" s="42"/>
      <c r="J81" s="36"/>
      <c r="K81" s="43"/>
    </row>
    <row r="82" spans="1:11" ht="13.05" customHeight="1">
      <c r="A82" s="37"/>
      <c r="B82" s="38"/>
      <c r="C82" s="13"/>
      <c r="D82" s="13"/>
      <c r="E82" s="39"/>
      <c r="F82" s="40"/>
      <c r="G82" s="41"/>
      <c r="H82" s="42"/>
      <c r="J82" s="36"/>
    </row>
    <row r="83" spans="1:11" ht="13.05" customHeight="1" thickBot="1">
      <c r="A83" s="49"/>
      <c r="B83" s="50"/>
      <c r="C83" s="50"/>
      <c r="D83" s="50"/>
      <c r="E83" s="51"/>
      <c r="F83" s="52"/>
      <c r="G83" s="53"/>
      <c r="H83" s="54"/>
      <c r="J83"/>
    </row>
    <row r="84" spans="1:11" ht="20.100000000000001" customHeight="1" thickTop="1">
      <c r="A84" s="366" t="s">
        <v>62</v>
      </c>
      <c r="B84" s="367"/>
      <c r="C84" s="367"/>
      <c r="D84" s="368"/>
      <c r="E84" s="55"/>
      <c r="F84" s="56"/>
      <c r="G84" s="57"/>
      <c r="H84" s="58"/>
      <c r="J84"/>
    </row>
    <row r="85" spans="1:11" ht="20.100000000000001" customHeight="1">
      <c r="A85" s="369" t="s">
        <v>63</v>
      </c>
      <c r="B85" s="370"/>
      <c r="C85" s="370"/>
      <c r="D85" s="371"/>
      <c r="E85" s="59"/>
      <c r="F85" s="60"/>
      <c r="G85" s="61"/>
      <c r="H85" s="62"/>
      <c r="J85"/>
    </row>
    <row r="86" spans="1:11" ht="20.100000000000001" customHeight="1" thickBot="1">
      <c r="A86" s="352" t="s">
        <v>64</v>
      </c>
      <c r="B86" s="353"/>
      <c r="C86" s="353"/>
      <c r="D86" s="354"/>
      <c r="E86" s="63"/>
      <c r="F86" s="64"/>
      <c r="G86" s="65"/>
      <c r="H86" s="66"/>
      <c r="J86"/>
    </row>
    <row r="87" spans="1:11" ht="15.6" thickTop="1">
      <c r="J87"/>
    </row>
    <row r="88" spans="1:11">
      <c r="J88"/>
    </row>
    <row r="89" spans="1:11">
      <c r="J89"/>
    </row>
    <row r="111" spans="10:10">
      <c r="J111" s="68"/>
    </row>
  </sheetData>
  <mergeCells count="7">
    <mergeCell ref="A85:D85"/>
    <mergeCell ref="A86:D86"/>
    <mergeCell ref="A1:H1"/>
    <mergeCell ref="A2:H2"/>
    <mergeCell ref="B3:D3"/>
    <mergeCell ref="A84:D84"/>
    <mergeCell ref="A6:H6"/>
  </mergeCells>
  <phoneticPr fontId="15" type="noConversion"/>
  <pageMargins left="0.70866141732283472" right="0.70866141732283472" top="0.74803149606299213" bottom="0.74803149606299213" header="0.31496062992125984" footer="0.31496062992125984"/>
  <pageSetup paperSize="9" scale="66" fitToHeight="11" orientation="portrait" horizontalDpi="0" verticalDpi="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2E0EC-5B1B-4BC4-81BA-72B6BFB6A902}">
  <sheetPr>
    <pageSetUpPr fitToPage="1"/>
  </sheetPr>
  <dimension ref="A1:O90"/>
  <sheetViews>
    <sheetView topLeftCell="K1" zoomScale="80" zoomScaleNormal="80" workbookViewId="0">
      <selection activeCell="K15" sqref="K15"/>
    </sheetView>
  </sheetViews>
  <sheetFormatPr baseColWidth="10" defaultColWidth="11.44140625" defaultRowHeight="15"/>
  <cols>
    <col min="1" max="2" width="9.77734375" style="1" customWidth="1"/>
    <col min="3" max="3" width="14.21875" style="1" customWidth="1"/>
    <col min="4" max="4" width="35.777343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90.44140625" style="1" customWidth="1"/>
    <col min="12" max="200" width="11.44140625" style="1"/>
    <col min="201" max="201" width="4.21875" style="1" customWidth="1"/>
    <col min="202" max="203" width="11.44140625" style="1"/>
    <col min="204" max="204" width="22" style="1" customWidth="1"/>
    <col min="205" max="205" width="6.77734375" style="1" customWidth="1"/>
    <col min="206" max="206" width="15.44140625" style="1" bestFit="1" customWidth="1"/>
    <col min="207" max="207" width="11.44140625" style="1"/>
    <col min="208" max="208" width="14.21875" style="1" bestFit="1" customWidth="1"/>
    <col min="209" max="209" width="11.77734375" style="1" bestFit="1" customWidth="1"/>
    <col min="210" max="210" width="13.21875" style="1" bestFit="1" customWidth="1"/>
    <col min="211" max="211" width="11.77734375" style="1" bestFit="1" customWidth="1"/>
    <col min="212" max="456" width="11.44140625" style="1"/>
    <col min="457" max="457" width="4.21875" style="1" customWidth="1"/>
    <col min="458" max="459" width="11.44140625" style="1"/>
    <col min="460" max="460" width="22" style="1" customWidth="1"/>
    <col min="461" max="461" width="6.77734375" style="1" customWidth="1"/>
    <col min="462" max="462" width="15.44140625" style="1" bestFit="1" customWidth="1"/>
    <col min="463" max="463" width="11.44140625" style="1"/>
    <col min="464" max="464" width="14.21875" style="1" bestFit="1" customWidth="1"/>
    <col min="465" max="465" width="11.77734375" style="1" bestFit="1" customWidth="1"/>
    <col min="466" max="466" width="13.21875" style="1" bestFit="1" customWidth="1"/>
    <col min="467" max="467" width="11.77734375" style="1" bestFit="1" customWidth="1"/>
    <col min="468" max="712" width="11.44140625" style="1"/>
    <col min="713" max="713" width="4.21875" style="1" customWidth="1"/>
    <col min="714" max="715" width="11.44140625" style="1"/>
    <col min="716" max="716" width="22" style="1" customWidth="1"/>
    <col min="717" max="717" width="6.77734375" style="1" customWidth="1"/>
    <col min="718" max="718" width="15.44140625" style="1" bestFit="1" customWidth="1"/>
    <col min="719" max="719" width="11.44140625" style="1"/>
    <col min="720" max="720" width="14.21875" style="1" bestFit="1" customWidth="1"/>
    <col min="721" max="721" width="11.77734375" style="1" bestFit="1" customWidth="1"/>
    <col min="722" max="722" width="13.21875" style="1" bestFit="1" customWidth="1"/>
    <col min="723" max="723" width="11.77734375" style="1" bestFit="1" customWidth="1"/>
    <col min="724" max="968" width="11.44140625" style="1"/>
    <col min="969" max="969" width="4.21875" style="1" customWidth="1"/>
    <col min="970" max="971" width="11.44140625" style="1"/>
    <col min="972" max="972" width="22" style="1" customWidth="1"/>
    <col min="973" max="973" width="6.77734375" style="1" customWidth="1"/>
    <col min="974" max="974" width="15.44140625" style="1" bestFit="1" customWidth="1"/>
    <col min="975" max="975" width="11.44140625" style="1"/>
    <col min="976" max="976" width="14.21875" style="1" bestFit="1" customWidth="1"/>
    <col min="977" max="977" width="11.77734375" style="1" bestFit="1" customWidth="1"/>
    <col min="978" max="978" width="13.21875" style="1" bestFit="1" customWidth="1"/>
    <col min="979" max="979" width="11.77734375" style="1" bestFit="1" customWidth="1"/>
    <col min="980" max="1224" width="11.44140625" style="1"/>
    <col min="1225" max="1225" width="4.21875" style="1" customWidth="1"/>
    <col min="1226" max="1227" width="11.44140625" style="1"/>
    <col min="1228" max="1228" width="22" style="1" customWidth="1"/>
    <col min="1229" max="1229" width="6.77734375" style="1" customWidth="1"/>
    <col min="1230" max="1230" width="15.44140625" style="1" bestFit="1" customWidth="1"/>
    <col min="1231" max="1231" width="11.44140625" style="1"/>
    <col min="1232" max="1232" width="14.21875" style="1" bestFit="1" customWidth="1"/>
    <col min="1233" max="1233" width="11.77734375" style="1" bestFit="1" customWidth="1"/>
    <col min="1234" max="1234" width="13.21875" style="1" bestFit="1" customWidth="1"/>
    <col min="1235" max="1235" width="11.77734375" style="1" bestFit="1" customWidth="1"/>
    <col min="1236" max="1480" width="11.44140625" style="1"/>
    <col min="1481" max="1481" width="4.21875" style="1" customWidth="1"/>
    <col min="1482" max="1483" width="11.44140625" style="1"/>
    <col min="1484" max="1484" width="22" style="1" customWidth="1"/>
    <col min="1485" max="1485" width="6.77734375" style="1" customWidth="1"/>
    <col min="1486" max="1486" width="15.44140625" style="1" bestFit="1" customWidth="1"/>
    <col min="1487" max="1487" width="11.44140625" style="1"/>
    <col min="1488" max="1488" width="14.21875" style="1" bestFit="1" customWidth="1"/>
    <col min="1489" max="1489" width="11.77734375" style="1" bestFit="1" customWidth="1"/>
    <col min="1490" max="1490" width="13.21875" style="1" bestFit="1" customWidth="1"/>
    <col min="1491" max="1491" width="11.77734375" style="1" bestFit="1" customWidth="1"/>
    <col min="1492" max="1736" width="11.44140625" style="1"/>
    <col min="1737" max="1737" width="4.21875" style="1" customWidth="1"/>
    <col min="1738" max="1739" width="11.44140625" style="1"/>
    <col min="1740" max="1740" width="22" style="1" customWidth="1"/>
    <col min="1741" max="1741" width="6.77734375" style="1" customWidth="1"/>
    <col min="1742" max="1742" width="15.44140625" style="1" bestFit="1" customWidth="1"/>
    <col min="1743" max="1743" width="11.44140625" style="1"/>
    <col min="1744" max="1744" width="14.21875" style="1" bestFit="1" customWidth="1"/>
    <col min="1745" max="1745" width="11.77734375" style="1" bestFit="1" customWidth="1"/>
    <col min="1746" max="1746" width="13.21875" style="1" bestFit="1" customWidth="1"/>
    <col min="1747" max="1747" width="11.77734375" style="1" bestFit="1" customWidth="1"/>
    <col min="1748" max="1992" width="11.44140625" style="1"/>
    <col min="1993" max="1993" width="4.21875" style="1" customWidth="1"/>
    <col min="1994" max="1995" width="11.44140625" style="1"/>
    <col min="1996" max="1996" width="22" style="1" customWidth="1"/>
    <col min="1997" max="1997" width="6.77734375" style="1" customWidth="1"/>
    <col min="1998" max="1998" width="15.44140625" style="1" bestFit="1" customWidth="1"/>
    <col min="1999" max="1999" width="11.44140625" style="1"/>
    <col min="2000" max="2000" width="14.21875" style="1" bestFit="1" customWidth="1"/>
    <col min="2001" max="2001" width="11.77734375" style="1" bestFit="1" customWidth="1"/>
    <col min="2002" max="2002" width="13.21875" style="1" bestFit="1" customWidth="1"/>
    <col min="2003" max="2003" width="11.77734375" style="1" bestFit="1" customWidth="1"/>
    <col min="2004" max="2248" width="11.44140625" style="1"/>
    <col min="2249" max="2249" width="4.21875" style="1" customWidth="1"/>
    <col min="2250" max="2251" width="11.44140625" style="1"/>
    <col min="2252" max="2252" width="22" style="1" customWidth="1"/>
    <col min="2253" max="2253" width="6.77734375" style="1" customWidth="1"/>
    <col min="2254" max="2254" width="15.44140625" style="1" bestFit="1" customWidth="1"/>
    <col min="2255" max="2255" width="11.44140625" style="1"/>
    <col min="2256" max="2256" width="14.21875" style="1" bestFit="1" customWidth="1"/>
    <col min="2257" max="2257" width="11.77734375" style="1" bestFit="1" customWidth="1"/>
    <col min="2258" max="2258" width="13.21875" style="1" bestFit="1" customWidth="1"/>
    <col min="2259" max="2259" width="11.77734375" style="1" bestFit="1" customWidth="1"/>
    <col min="2260" max="2504" width="11.44140625" style="1"/>
    <col min="2505" max="2505" width="4.21875" style="1" customWidth="1"/>
    <col min="2506" max="2507" width="11.44140625" style="1"/>
    <col min="2508" max="2508" width="22" style="1" customWidth="1"/>
    <col min="2509" max="2509" width="6.77734375" style="1" customWidth="1"/>
    <col min="2510" max="2510" width="15.44140625" style="1" bestFit="1" customWidth="1"/>
    <col min="2511" max="2511" width="11.44140625" style="1"/>
    <col min="2512" max="2512" width="14.21875" style="1" bestFit="1" customWidth="1"/>
    <col min="2513" max="2513" width="11.77734375" style="1" bestFit="1" customWidth="1"/>
    <col min="2514" max="2514" width="13.21875" style="1" bestFit="1" customWidth="1"/>
    <col min="2515" max="2515" width="11.77734375" style="1" bestFit="1" customWidth="1"/>
    <col min="2516" max="2760" width="11.44140625" style="1"/>
    <col min="2761" max="2761" width="4.21875" style="1" customWidth="1"/>
    <col min="2762" max="2763" width="11.44140625" style="1"/>
    <col min="2764" max="2764" width="22" style="1" customWidth="1"/>
    <col min="2765" max="2765" width="6.77734375" style="1" customWidth="1"/>
    <col min="2766" max="2766" width="15.44140625" style="1" bestFit="1" customWidth="1"/>
    <col min="2767" max="2767" width="11.44140625" style="1"/>
    <col min="2768" max="2768" width="14.21875" style="1" bestFit="1" customWidth="1"/>
    <col min="2769" max="2769" width="11.77734375" style="1" bestFit="1" customWidth="1"/>
    <col min="2770" max="2770" width="13.21875" style="1" bestFit="1" customWidth="1"/>
    <col min="2771" max="2771" width="11.77734375" style="1" bestFit="1" customWidth="1"/>
    <col min="2772" max="3016" width="11.44140625" style="1"/>
    <col min="3017" max="3017" width="4.21875" style="1" customWidth="1"/>
    <col min="3018" max="3019" width="11.44140625" style="1"/>
    <col min="3020" max="3020" width="22" style="1" customWidth="1"/>
    <col min="3021" max="3021" width="6.77734375" style="1" customWidth="1"/>
    <col min="3022" max="3022" width="15.44140625" style="1" bestFit="1" customWidth="1"/>
    <col min="3023" max="3023" width="11.44140625" style="1"/>
    <col min="3024" max="3024" width="14.21875" style="1" bestFit="1" customWidth="1"/>
    <col min="3025" max="3025" width="11.77734375" style="1" bestFit="1" customWidth="1"/>
    <col min="3026" max="3026" width="13.21875" style="1" bestFit="1" customWidth="1"/>
    <col min="3027" max="3027" width="11.77734375" style="1" bestFit="1" customWidth="1"/>
    <col min="3028" max="3272" width="11.44140625" style="1"/>
    <col min="3273" max="3273" width="4.21875" style="1" customWidth="1"/>
    <col min="3274" max="3275" width="11.44140625" style="1"/>
    <col min="3276" max="3276" width="22" style="1" customWidth="1"/>
    <col min="3277" max="3277" width="6.77734375" style="1" customWidth="1"/>
    <col min="3278" max="3278" width="15.44140625" style="1" bestFit="1" customWidth="1"/>
    <col min="3279" max="3279" width="11.44140625" style="1"/>
    <col min="3280" max="3280" width="14.21875" style="1" bestFit="1" customWidth="1"/>
    <col min="3281" max="3281" width="11.77734375" style="1" bestFit="1" customWidth="1"/>
    <col min="3282" max="3282" width="13.21875" style="1" bestFit="1" customWidth="1"/>
    <col min="3283" max="3283" width="11.77734375" style="1" bestFit="1" customWidth="1"/>
    <col min="3284" max="3528" width="11.44140625" style="1"/>
    <col min="3529" max="3529" width="4.21875" style="1" customWidth="1"/>
    <col min="3530" max="3531" width="11.44140625" style="1"/>
    <col min="3532" max="3532" width="22" style="1" customWidth="1"/>
    <col min="3533" max="3533" width="6.77734375" style="1" customWidth="1"/>
    <col min="3534" max="3534" width="15.44140625" style="1" bestFit="1" customWidth="1"/>
    <col min="3535" max="3535" width="11.44140625" style="1"/>
    <col min="3536" max="3536" width="14.21875" style="1" bestFit="1" customWidth="1"/>
    <col min="3537" max="3537" width="11.77734375" style="1" bestFit="1" customWidth="1"/>
    <col min="3538" max="3538" width="13.21875" style="1" bestFit="1" customWidth="1"/>
    <col min="3539" max="3539" width="11.77734375" style="1" bestFit="1" customWidth="1"/>
    <col min="3540" max="3784" width="11.44140625" style="1"/>
    <col min="3785" max="3785" width="4.21875" style="1" customWidth="1"/>
    <col min="3786" max="3787" width="11.44140625" style="1"/>
    <col min="3788" max="3788" width="22" style="1" customWidth="1"/>
    <col min="3789" max="3789" width="6.77734375" style="1" customWidth="1"/>
    <col min="3790" max="3790" width="15.44140625" style="1" bestFit="1" customWidth="1"/>
    <col min="3791" max="3791" width="11.44140625" style="1"/>
    <col min="3792" max="3792" width="14.21875" style="1" bestFit="1" customWidth="1"/>
    <col min="3793" max="3793" width="11.77734375" style="1" bestFit="1" customWidth="1"/>
    <col min="3794" max="3794" width="13.21875" style="1" bestFit="1" customWidth="1"/>
    <col min="3795" max="3795" width="11.77734375" style="1" bestFit="1" customWidth="1"/>
    <col min="3796" max="4040" width="11.44140625" style="1"/>
    <col min="4041" max="4041" width="4.21875" style="1" customWidth="1"/>
    <col min="4042" max="4043" width="11.44140625" style="1"/>
    <col min="4044" max="4044" width="22" style="1" customWidth="1"/>
    <col min="4045" max="4045" width="6.77734375" style="1" customWidth="1"/>
    <col min="4046" max="4046" width="15.44140625" style="1" bestFit="1" customWidth="1"/>
    <col min="4047" max="4047" width="11.44140625" style="1"/>
    <col min="4048" max="4048" width="14.21875" style="1" bestFit="1" customWidth="1"/>
    <col min="4049" max="4049" width="11.77734375" style="1" bestFit="1" customWidth="1"/>
    <col min="4050" max="4050" width="13.21875" style="1" bestFit="1" customWidth="1"/>
    <col min="4051" max="4051" width="11.77734375" style="1" bestFit="1" customWidth="1"/>
    <col min="4052" max="4296" width="11.44140625" style="1"/>
    <col min="4297" max="4297" width="4.21875" style="1" customWidth="1"/>
    <col min="4298" max="4299" width="11.44140625" style="1"/>
    <col min="4300" max="4300" width="22" style="1" customWidth="1"/>
    <col min="4301" max="4301" width="6.77734375" style="1" customWidth="1"/>
    <col min="4302" max="4302" width="15.44140625" style="1" bestFit="1" customWidth="1"/>
    <col min="4303" max="4303" width="11.44140625" style="1"/>
    <col min="4304" max="4304" width="14.21875" style="1" bestFit="1" customWidth="1"/>
    <col min="4305" max="4305" width="11.77734375" style="1" bestFit="1" customWidth="1"/>
    <col min="4306" max="4306" width="13.21875" style="1" bestFit="1" customWidth="1"/>
    <col min="4307" max="4307" width="11.77734375" style="1" bestFit="1" customWidth="1"/>
    <col min="4308" max="4552" width="11.44140625" style="1"/>
    <col min="4553" max="4553" width="4.21875" style="1" customWidth="1"/>
    <col min="4554" max="4555" width="11.44140625" style="1"/>
    <col min="4556" max="4556" width="22" style="1" customWidth="1"/>
    <col min="4557" max="4557" width="6.77734375" style="1" customWidth="1"/>
    <col min="4558" max="4558" width="15.44140625" style="1" bestFit="1" customWidth="1"/>
    <col min="4559" max="4559" width="11.44140625" style="1"/>
    <col min="4560" max="4560" width="14.21875" style="1" bestFit="1" customWidth="1"/>
    <col min="4561" max="4561" width="11.77734375" style="1" bestFit="1" customWidth="1"/>
    <col min="4562" max="4562" width="13.21875" style="1" bestFit="1" customWidth="1"/>
    <col min="4563" max="4563" width="11.77734375" style="1" bestFit="1" customWidth="1"/>
    <col min="4564" max="4808" width="11.44140625" style="1"/>
    <col min="4809" max="4809" width="4.21875" style="1" customWidth="1"/>
    <col min="4810" max="4811" width="11.44140625" style="1"/>
    <col min="4812" max="4812" width="22" style="1" customWidth="1"/>
    <col min="4813" max="4813" width="6.77734375" style="1" customWidth="1"/>
    <col min="4814" max="4814" width="15.44140625" style="1" bestFit="1" customWidth="1"/>
    <col min="4815" max="4815" width="11.44140625" style="1"/>
    <col min="4816" max="4816" width="14.21875" style="1" bestFit="1" customWidth="1"/>
    <col min="4817" max="4817" width="11.77734375" style="1" bestFit="1" customWidth="1"/>
    <col min="4818" max="4818" width="13.21875" style="1" bestFit="1" customWidth="1"/>
    <col min="4819" max="4819" width="11.77734375" style="1" bestFit="1" customWidth="1"/>
    <col min="4820" max="5064" width="11.44140625" style="1"/>
    <col min="5065" max="5065" width="4.21875" style="1" customWidth="1"/>
    <col min="5066" max="5067" width="11.44140625" style="1"/>
    <col min="5068" max="5068" width="22" style="1" customWidth="1"/>
    <col min="5069" max="5069" width="6.77734375" style="1" customWidth="1"/>
    <col min="5070" max="5070" width="15.44140625" style="1" bestFit="1" customWidth="1"/>
    <col min="5071" max="5071" width="11.44140625" style="1"/>
    <col min="5072" max="5072" width="14.21875" style="1" bestFit="1" customWidth="1"/>
    <col min="5073" max="5073" width="11.77734375" style="1" bestFit="1" customWidth="1"/>
    <col min="5074" max="5074" width="13.21875" style="1" bestFit="1" customWidth="1"/>
    <col min="5075" max="5075" width="11.77734375" style="1" bestFit="1" customWidth="1"/>
    <col min="5076" max="5320" width="11.44140625" style="1"/>
    <col min="5321" max="5321" width="4.21875" style="1" customWidth="1"/>
    <col min="5322" max="5323" width="11.44140625" style="1"/>
    <col min="5324" max="5324" width="22" style="1" customWidth="1"/>
    <col min="5325" max="5325" width="6.77734375" style="1" customWidth="1"/>
    <col min="5326" max="5326" width="15.44140625" style="1" bestFit="1" customWidth="1"/>
    <col min="5327" max="5327" width="11.44140625" style="1"/>
    <col min="5328" max="5328" width="14.21875" style="1" bestFit="1" customWidth="1"/>
    <col min="5329" max="5329" width="11.77734375" style="1" bestFit="1" customWidth="1"/>
    <col min="5330" max="5330" width="13.21875" style="1" bestFit="1" customWidth="1"/>
    <col min="5331" max="5331" width="11.77734375" style="1" bestFit="1" customWidth="1"/>
    <col min="5332" max="5576" width="11.44140625" style="1"/>
    <col min="5577" max="5577" width="4.21875" style="1" customWidth="1"/>
    <col min="5578" max="5579" width="11.44140625" style="1"/>
    <col min="5580" max="5580" width="22" style="1" customWidth="1"/>
    <col min="5581" max="5581" width="6.77734375" style="1" customWidth="1"/>
    <col min="5582" max="5582" width="15.44140625" style="1" bestFit="1" customWidth="1"/>
    <col min="5583" max="5583" width="11.44140625" style="1"/>
    <col min="5584" max="5584" width="14.21875" style="1" bestFit="1" customWidth="1"/>
    <col min="5585" max="5585" width="11.77734375" style="1" bestFit="1" customWidth="1"/>
    <col min="5586" max="5586" width="13.21875" style="1" bestFit="1" customWidth="1"/>
    <col min="5587" max="5587" width="11.77734375" style="1" bestFit="1" customWidth="1"/>
    <col min="5588" max="5832" width="11.44140625" style="1"/>
    <col min="5833" max="5833" width="4.21875" style="1" customWidth="1"/>
    <col min="5834" max="5835" width="11.44140625" style="1"/>
    <col min="5836" max="5836" width="22" style="1" customWidth="1"/>
    <col min="5837" max="5837" width="6.77734375" style="1" customWidth="1"/>
    <col min="5838" max="5838" width="15.44140625" style="1" bestFit="1" customWidth="1"/>
    <col min="5839" max="5839" width="11.44140625" style="1"/>
    <col min="5840" max="5840" width="14.21875" style="1" bestFit="1" customWidth="1"/>
    <col min="5841" max="5841" width="11.77734375" style="1" bestFit="1" customWidth="1"/>
    <col min="5842" max="5842" width="13.21875" style="1" bestFit="1" customWidth="1"/>
    <col min="5843" max="5843" width="11.77734375" style="1" bestFit="1" customWidth="1"/>
    <col min="5844" max="6088" width="11.44140625" style="1"/>
    <col min="6089" max="6089" width="4.21875" style="1" customWidth="1"/>
    <col min="6090" max="6091" width="11.44140625" style="1"/>
    <col min="6092" max="6092" width="22" style="1" customWidth="1"/>
    <col min="6093" max="6093" width="6.77734375" style="1" customWidth="1"/>
    <col min="6094" max="6094" width="15.44140625" style="1" bestFit="1" customWidth="1"/>
    <col min="6095" max="6095" width="11.44140625" style="1"/>
    <col min="6096" max="6096" width="14.21875" style="1" bestFit="1" customWidth="1"/>
    <col min="6097" max="6097" width="11.77734375" style="1" bestFit="1" customWidth="1"/>
    <col min="6098" max="6098" width="13.21875" style="1" bestFit="1" customWidth="1"/>
    <col min="6099" max="6099" width="11.77734375" style="1" bestFit="1" customWidth="1"/>
    <col min="6100" max="6344" width="11.44140625" style="1"/>
    <col min="6345" max="6345" width="4.21875" style="1" customWidth="1"/>
    <col min="6346" max="6347" width="11.44140625" style="1"/>
    <col min="6348" max="6348" width="22" style="1" customWidth="1"/>
    <col min="6349" max="6349" width="6.77734375" style="1" customWidth="1"/>
    <col min="6350" max="6350" width="15.44140625" style="1" bestFit="1" customWidth="1"/>
    <col min="6351" max="6351" width="11.44140625" style="1"/>
    <col min="6352" max="6352" width="14.21875" style="1" bestFit="1" customWidth="1"/>
    <col min="6353" max="6353" width="11.77734375" style="1" bestFit="1" customWidth="1"/>
    <col min="6354" max="6354" width="13.21875" style="1" bestFit="1" customWidth="1"/>
    <col min="6355" max="6355" width="11.77734375" style="1" bestFit="1" customWidth="1"/>
    <col min="6356" max="6600" width="11.44140625" style="1"/>
    <col min="6601" max="6601" width="4.21875" style="1" customWidth="1"/>
    <col min="6602" max="6603" width="11.44140625" style="1"/>
    <col min="6604" max="6604" width="22" style="1" customWidth="1"/>
    <col min="6605" max="6605" width="6.77734375" style="1" customWidth="1"/>
    <col min="6606" max="6606" width="15.44140625" style="1" bestFit="1" customWidth="1"/>
    <col min="6607" max="6607" width="11.44140625" style="1"/>
    <col min="6608" max="6608" width="14.21875" style="1" bestFit="1" customWidth="1"/>
    <col min="6609" max="6609" width="11.77734375" style="1" bestFit="1" customWidth="1"/>
    <col min="6610" max="6610" width="13.21875" style="1" bestFit="1" customWidth="1"/>
    <col min="6611" max="6611" width="11.77734375" style="1" bestFit="1" customWidth="1"/>
    <col min="6612" max="6856" width="11.44140625" style="1"/>
    <col min="6857" max="6857" width="4.21875" style="1" customWidth="1"/>
    <col min="6858" max="6859" width="11.44140625" style="1"/>
    <col min="6860" max="6860" width="22" style="1" customWidth="1"/>
    <col min="6861" max="6861" width="6.77734375" style="1" customWidth="1"/>
    <col min="6862" max="6862" width="15.44140625" style="1" bestFit="1" customWidth="1"/>
    <col min="6863" max="6863" width="11.44140625" style="1"/>
    <col min="6864" max="6864" width="14.21875" style="1" bestFit="1" customWidth="1"/>
    <col min="6865" max="6865" width="11.77734375" style="1" bestFit="1" customWidth="1"/>
    <col min="6866" max="6866" width="13.21875" style="1" bestFit="1" customWidth="1"/>
    <col min="6867" max="6867" width="11.77734375" style="1" bestFit="1" customWidth="1"/>
    <col min="6868" max="7112" width="11.44140625" style="1"/>
    <col min="7113" max="7113" width="4.21875" style="1" customWidth="1"/>
    <col min="7114" max="7115" width="11.44140625" style="1"/>
    <col min="7116" max="7116" width="22" style="1" customWidth="1"/>
    <col min="7117" max="7117" width="6.77734375" style="1" customWidth="1"/>
    <col min="7118" max="7118" width="15.44140625" style="1" bestFit="1" customWidth="1"/>
    <col min="7119" max="7119" width="11.44140625" style="1"/>
    <col min="7120" max="7120" width="14.21875" style="1" bestFit="1" customWidth="1"/>
    <col min="7121" max="7121" width="11.77734375" style="1" bestFit="1" customWidth="1"/>
    <col min="7122" max="7122" width="13.21875" style="1" bestFit="1" customWidth="1"/>
    <col min="7123" max="7123" width="11.77734375" style="1" bestFit="1" customWidth="1"/>
    <col min="7124" max="7368" width="11.44140625" style="1"/>
    <col min="7369" max="7369" width="4.21875" style="1" customWidth="1"/>
    <col min="7370" max="7371" width="11.44140625" style="1"/>
    <col min="7372" max="7372" width="22" style="1" customWidth="1"/>
    <col min="7373" max="7373" width="6.77734375" style="1" customWidth="1"/>
    <col min="7374" max="7374" width="15.44140625" style="1" bestFit="1" customWidth="1"/>
    <col min="7375" max="7375" width="11.44140625" style="1"/>
    <col min="7376" max="7376" width="14.21875" style="1" bestFit="1" customWidth="1"/>
    <col min="7377" max="7377" width="11.77734375" style="1" bestFit="1" customWidth="1"/>
    <col min="7378" max="7378" width="13.21875" style="1" bestFit="1" customWidth="1"/>
    <col min="7379" max="7379" width="11.77734375" style="1" bestFit="1" customWidth="1"/>
    <col min="7380" max="7624" width="11.44140625" style="1"/>
    <col min="7625" max="7625" width="4.21875" style="1" customWidth="1"/>
    <col min="7626" max="7627" width="11.44140625" style="1"/>
    <col min="7628" max="7628" width="22" style="1" customWidth="1"/>
    <col min="7629" max="7629" width="6.77734375" style="1" customWidth="1"/>
    <col min="7630" max="7630" width="15.44140625" style="1" bestFit="1" customWidth="1"/>
    <col min="7631" max="7631" width="11.44140625" style="1"/>
    <col min="7632" max="7632" width="14.21875" style="1" bestFit="1" customWidth="1"/>
    <col min="7633" max="7633" width="11.77734375" style="1" bestFit="1" customWidth="1"/>
    <col min="7634" max="7634" width="13.21875" style="1" bestFit="1" customWidth="1"/>
    <col min="7635" max="7635" width="11.77734375" style="1" bestFit="1" customWidth="1"/>
    <col min="7636" max="7880" width="11.44140625" style="1"/>
    <col min="7881" max="7881" width="4.21875" style="1" customWidth="1"/>
    <col min="7882" max="7883" width="11.44140625" style="1"/>
    <col min="7884" max="7884" width="22" style="1" customWidth="1"/>
    <col min="7885" max="7885" width="6.77734375" style="1" customWidth="1"/>
    <col min="7886" max="7886" width="15.44140625" style="1" bestFit="1" customWidth="1"/>
    <col min="7887" max="7887" width="11.44140625" style="1"/>
    <col min="7888" max="7888" width="14.21875" style="1" bestFit="1" customWidth="1"/>
    <col min="7889" max="7889" width="11.77734375" style="1" bestFit="1" customWidth="1"/>
    <col min="7890" max="7890" width="13.21875" style="1" bestFit="1" customWidth="1"/>
    <col min="7891" max="7891" width="11.77734375" style="1" bestFit="1" customWidth="1"/>
    <col min="7892" max="8136" width="11.44140625" style="1"/>
    <col min="8137" max="8137" width="4.21875" style="1" customWidth="1"/>
    <col min="8138" max="8139" width="11.44140625" style="1"/>
    <col min="8140" max="8140" width="22" style="1" customWidth="1"/>
    <col min="8141" max="8141" width="6.77734375" style="1" customWidth="1"/>
    <col min="8142" max="8142" width="15.44140625" style="1" bestFit="1" customWidth="1"/>
    <col min="8143" max="8143" width="11.44140625" style="1"/>
    <col min="8144" max="8144" width="14.21875" style="1" bestFit="1" customWidth="1"/>
    <col min="8145" max="8145" width="11.77734375" style="1" bestFit="1" customWidth="1"/>
    <col min="8146" max="8146" width="13.21875" style="1" bestFit="1" customWidth="1"/>
    <col min="8147" max="8147" width="11.77734375" style="1" bestFit="1" customWidth="1"/>
    <col min="8148" max="8392" width="11.44140625" style="1"/>
    <col min="8393" max="8393" width="4.21875" style="1" customWidth="1"/>
    <col min="8394" max="8395" width="11.44140625" style="1"/>
    <col min="8396" max="8396" width="22" style="1" customWidth="1"/>
    <col min="8397" max="8397" width="6.77734375" style="1" customWidth="1"/>
    <col min="8398" max="8398" width="15.44140625" style="1" bestFit="1" customWidth="1"/>
    <col min="8399" max="8399" width="11.44140625" style="1"/>
    <col min="8400" max="8400" width="14.21875" style="1" bestFit="1" customWidth="1"/>
    <col min="8401" max="8401" width="11.77734375" style="1" bestFit="1" customWidth="1"/>
    <col min="8402" max="8402" width="13.21875" style="1" bestFit="1" customWidth="1"/>
    <col min="8403" max="8403" width="11.77734375" style="1" bestFit="1" customWidth="1"/>
    <col min="8404" max="8648" width="11.44140625" style="1"/>
    <col min="8649" max="8649" width="4.21875" style="1" customWidth="1"/>
    <col min="8650" max="8651" width="11.44140625" style="1"/>
    <col min="8652" max="8652" width="22" style="1" customWidth="1"/>
    <col min="8653" max="8653" width="6.77734375" style="1" customWidth="1"/>
    <col min="8654" max="8654" width="15.44140625" style="1" bestFit="1" customWidth="1"/>
    <col min="8655" max="8655" width="11.44140625" style="1"/>
    <col min="8656" max="8656" width="14.21875" style="1" bestFit="1" customWidth="1"/>
    <col min="8657" max="8657" width="11.77734375" style="1" bestFit="1" customWidth="1"/>
    <col min="8658" max="8658" width="13.21875" style="1" bestFit="1" customWidth="1"/>
    <col min="8659" max="8659" width="11.77734375" style="1" bestFit="1" customWidth="1"/>
    <col min="8660" max="8904" width="11.44140625" style="1"/>
    <col min="8905" max="8905" width="4.21875" style="1" customWidth="1"/>
    <col min="8906" max="8907" width="11.44140625" style="1"/>
    <col min="8908" max="8908" width="22" style="1" customWidth="1"/>
    <col min="8909" max="8909" width="6.77734375" style="1" customWidth="1"/>
    <col min="8910" max="8910" width="15.44140625" style="1" bestFit="1" customWidth="1"/>
    <col min="8911" max="8911" width="11.44140625" style="1"/>
    <col min="8912" max="8912" width="14.21875" style="1" bestFit="1" customWidth="1"/>
    <col min="8913" max="8913" width="11.77734375" style="1" bestFit="1" customWidth="1"/>
    <col min="8914" max="8914" width="13.21875" style="1" bestFit="1" customWidth="1"/>
    <col min="8915" max="8915" width="11.77734375" style="1" bestFit="1" customWidth="1"/>
    <col min="8916" max="9160" width="11.44140625" style="1"/>
    <col min="9161" max="9161" width="4.21875" style="1" customWidth="1"/>
    <col min="9162" max="9163" width="11.44140625" style="1"/>
    <col min="9164" max="9164" width="22" style="1" customWidth="1"/>
    <col min="9165" max="9165" width="6.77734375" style="1" customWidth="1"/>
    <col min="9166" max="9166" width="15.44140625" style="1" bestFit="1" customWidth="1"/>
    <col min="9167" max="9167" width="11.44140625" style="1"/>
    <col min="9168" max="9168" width="14.21875" style="1" bestFit="1" customWidth="1"/>
    <col min="9169" max="9169" width="11.77734375" style="1" bestFit="1" customWidth="1"/>
    <col min="9170" max="9170" width="13.21875" style="1" bestFit="1" customWidth="1"/>
    <col min="9171" max="9171" width="11.77734375" style="1" bestFit="1" customWidth="1"/>
    <col min="9172" max="9416" width="11.44140625" style="1"/>
    <col min="9417" max="9417" width="4.21875" style="1" customWidth="1"/>
    <col min="9418" max="9419" width="11.44140625" style="1"/>
    <col min="9420" max="9420" width="22" style="1" customWidth="1"/>
    <col min="9421" max="9421" width="6.77734375" style="1" customWidth="1"/>
    <col min="9422" max="9422" width="15.44140625" style="1" bestFit="1" customWidth="1"/>
    <col min="9423" max="9423" width="11.44140625" style="1"/>
    <col min="9424" max="9424" width="14.21875" style="1" bestFit="1" customWidth="1"/>
    <col min="9425" max="9425" width="11.77734375" style="1" bestFit="1" customWidth="1"/>
    <col min="9426" max="9426" width="13.21875" style="1" bestFit="1" customWidth="1"/>
    <col min="9427" max="9427" width="11.77734375" style="1" bestFit="1" customWidth="1"/>
    <col min="9428" max="9672" width="11.44140625" style="1"/>
    <col min="9673" max="9673" width="4.21875" style="1" customWidth="1"/>
    <col min="9674" max="9675" width="11.44140625" style="1"/>
    <col min="9676" max="9676" width="22" style="1" customWidth="1"/>
    <col min="9677" max="9677" width="6.77734375" style="1" customWidth="1"/>
    <col min="9678" max="9678" width="15.44140625" style="1" bestFit="1" customWidth="1"/>
    <col min="9679" max="9679" width="11.44140625" style="1"/>
    <col min="9680" max="9680" width="14.21875" style="1" bestFit="1" customWidth="1"/>
    <col min="9681" max="9681" width="11.77734375" style="1" bestFit="1" customWidth="1"/>
    <col min="9682" max="9682" width="13.21875" style="1" bestFit="1" customWidth="1"/>
    <col min="9683" max="9683" width="11.77734375" style="1" bestFit="1" customWidth="1"/>
    <col min="9684" max="9928" width="11.44140625" style="1"/>
    <col min="9929" max="9929" width="4.21875" style="1" customWidth="1"/>
    <col min="9930" max="9931" width="11.44140625" style="1"/>
    <col min="9932" max="9932" width="22" style="1" customWidth="1"/>
    <col min="9933" max="9933" width="6.77734375" style="1" customWidth="1"/>
    <col min="9934" max="9934" width="15.44140625" style="1" bestFit="1" customWidth="1"/>
    <col min="9935" max="9935" width="11.44140625" style="1"/>
    <col min="9936" max="9936" width="14.21875" style="1" bestFit="1" customWidth="1"/>
    <col min="9937" max="9937" width="11.77734375" style="1" bestFit="1" customWidth="1"/>
    <col min="9938" max="9938" width="13.21875" style="1" bestFit="1" customWidth="1"/>
    <col min="9939" max="9939" width="11.77734375" style="1" bestFit="1" customWidth="1"/>
    <col min="9940" max="10184" width="11.44140625" style="1"/>
    <col min="10185" max="10185" width="4.21875" style="1" customWidth="1"/>
    <col min="10186" max="10187" width="11.44140625" style="1"/>
    <col min="10188" max="10188" width="22" style="1" customWidth="1"/>
    <col min="10189" max="10189" width="6.77734375" style="1" customWidth="1"/>
    <col min="10190" max="10190" width="15.44140625" style="1" bestFit="1" customWidth="1"/>
    <col min="10191" max="10191" width="11.44140625" style="1"/>
    <col min="10192" max="10192" width="14.21875" style="1" bestFit="1" customWidth="1"/>
    <col min="10193" max="10193" width="11.77734375" style="1" bestFit="1" customWidth="1"/>
    <col min="10194" max="10194" width="13.21875" style="1" bestFit="1" customWidth="1"/>
    <col min="10195" max="10195" width="11.77734375" style="1" bestFit="1" customWidth="1"/>
    <col min="10196" max="10440" width="11.44140625" style="1"/>
    <col min="10441" max="10441" width="4.21875" style="1" customWidth="1"/>
    <col min="10442" max="10443" width="11.44140625" style="1"/>
    <col min="10444" max="10444" width="22" style="1" customWidth="1"/>
    <col min="10445" max="10445" width="6.77734375" style="1" customWidth="1"/>
    <col min="10446" max="10446" width="15.44140625" style="1" bestFit="1" customWidth="1"/>
    <col min="10447" max="10447" width="11.44140625" style="1"/>
    <col min="10448" max="10448" width="14.21875" style="1" bestFit="1" customWidth="1"/>
    <col min="10449" max="10449" width="11.77734375" style="1" bestFit="1" customWidth="1"/>
    <col min="10450" max="10450" width="13.21875" style="1" bestFit="1" customWidth="1"/>
    <col min="10451" max="10451" width="11.77734375" style="1" bestFit="1" customWidth="1"/>
    <col min="10452" max="10696" width="11.44140625" style="1"/>
    <col min="10697" max="10697" width="4.21875" style="1" customWidth="1"/>
    <col min="10698" max="10699" width="11.44140625" style="1"/>
    <col min="10700" max="10700" width="22" style="1" customWidth="1"/>
    <col min="10701" max="10701" width="6.77734375" style="1" customWidth="1"/>
    <col min="10702" max="10702" width="15.44140625" style="1" bestFit="1" customWidth="1"/>
    <col min="10703" max="10703" width="11.44140625" style="1"/>
    <col min="10704" max="10704" width="14.21875" style="1" bestFit="1" customWidth="1"/>
    <col min="10705" max="10705" width="11.77734375" style="1" bestFit="1" customWidth="1"/>
    <col min="10706" max="10706" width="13.21875" style="1" bestFit="1" customWidth="1"/>
    <col min="10707" max="10707" width="11.77734375" style="1" bestFit="1" customWidth="1"/>
    <col min="10708" max="10952" width="11.44140625" style="1"/>
    <col min="10953" max="10953" width="4.21875" style="1" customWidth="1"/>
    <col min="10954" max="10955" width="11.44140625" style="1"/>
    <col min="10956" max="10956" width="22" style="1" customWidth="1"/>
    <col min="10957" max="10957" width="6.77734375" style="1" customWidth="1"/>
    <col min="10958" max="10958" width="15.44140625" style="1" bestFit="1" customWidth="1"/>
    <col min="10959" max="10959" width="11.44140625" style="1"/>
    <col min="10960" max="10960" width="14.21875" style="1" bestFit="1" customWidth="1"/>
    <col min="10961" max="10961" width="11.77734375" style="1" bestFit="1" customWidth="1"/>
    <col min="10962" max="10962" width="13.21875" style="1" bestFit="1" customWidth="1"/>
    <col min="10963" max="10963" width="11.77734375" style="1" bestFit="1" customWidth="1"/>
    <col min="10964" max="11208" width="11.44140625" style="1"/>
    <col min="11209" max="11209" width="4.21875" style="1" customWidth="1"/>
    <col min="11210" max="11211" width="11.44140625" style="1"/>
    <col min="11212" max="11212" width="22" style="1" customWidth="1"/>
    <col min="11213" max="11213" width="6.77734375" style="1" customWidth="1"/>
    <col min="11214" max="11214" width="15.44140625" style="1" bestFit="1" customWidth="1"/>
    <col min="11215" max="11215" width="11.44140625" style="1"/>
    <col min="11216" max="11216" width="14.21875" style="1" bestFit="1" customWidth="1"/>
    <col min="11217" max="11217" width="11.77734375" style="1" bestFit="1" customWidth="1"/>
    <col min="11218" max="11218" width="13.21875" style="1" bestFit="1" customWidth="1"/>
    <col min="11219" max="11219" width="11.77734375" style="1" bestFit="1" customWidth="1"/>
    <col min="11220" max="11464" width="11.44140625" style="1"/>
    <col min="11465" max="11465" width="4.21875" style="1" customWidth="1"/>
    <col min="11466" max="11467" width="11.44140625" style="1"/>
    <col min="11468" max="11468" width="22" style="1" customWidth="1"/>
    <col min="11469" max="11469" width="6.77734375" style="1" customWidth="1"/>
    <col min="11470" max="11470" width="15.44140625" style="1" bestFit="1" customWidth="1"/>
    <col min="11471" max="11471" width="11.44140625" style="1"/>
    <col min="11472" max="11472" width="14.21875" style="1" bestFit="1" customWidth="1"/>
    <col min="11473" max="11473" width="11.77734375" style="1" bestFit="1" customWidth="1"/>
    <col min="11474" max="11474" width="13.21875" style="1" bestFit="1" customWidth="1"/>
    <col min="11475" max="11475" width="11.77734375" style="1" bestFit="1" customWidth="1"/>
    <col min="11476" max="11720" width="11.44140625" style="1"/>
    <col min="11721" max="11721" width="4.21875" style="1" customWidth="1"/>
    <col min="11722" max="11723" width="11.44140625" style="1"/>
    <col min="11724" max="11724" width="22" style="1" customWidth="1"/>
    <col min="11725" max="11725" width="6.77734375" style="1" customWidth="1"/>
    <col min="11726" max="11726" width="15.44140625" style="1" bestFit="1" customWidth="1"/>
    <col min="11727" max="11727" width="11.44140625" style="1"/>
    <col min="11728" max="11728" width="14.21875" style="1" bestFit="1" customWidth="1"/>
    <col min="11729" max="11729" width="11.77734375" style="1" bestFit="1" customWidth="1"/>
    <col min="11730" max="11730" width="13.21875" style="1" bestFit="1" customWidth="1"/>
    <col min="11731" max="11731" width="11.77734375" style="1" bestFit="1" customWidth="1"/>
    <col min="11732" max="11976" width="11.44140625" style="1"/>
    <col min="11977" max="11977" width="4.21875" style="1" customWidth="1"/>
    <col min="11978" max="11979" width="11.44140625" style="1"/>
    <col min="11980" max="11980" width="22" style="1" customWidth="1"/>
    <col min="11981" max="11981" width="6.77734375" style="1" customWidth="1"/>
    <col min="11982" max="11982" width="15.44140625" style="1" bestFit="1" customWidth="1"/>
    <col min="11983" max="11983" width="11.44140625" style="1"/>
    <col min="11984" max="11984" width="14.21875" style="1" bestFit="1" customWidth="1"/>
    <col min="11985" max="11985" width="11.77734375" style="1" bestFit="1" customWidth="1"/>
    <col min="11986" max="11986" width="13.21875" style="1" bestFit="1" customWidth="1"/>
    <col min="11987" max="11987" width="11.77734375" style="1" bestFit="1" customWidth="1"/>
    <col min="11988" max="12232" width="11.44140625" style="1"/>
    <col min="12233" max="12233" width="4.21875" style="1" customWidth="1"/>
    <col min="12234" max="12235" width="11.44140625" style="1"/>
    <col min="12236" max="12236" width="22" style="1" customWidth="1"/>
    <col min="12237" max="12237" width="6.77734375" style="1" customWidth="1"/>
    <col min="12238" max="12238" width="15.44140625" style="1" bestFit="1" customWidth="1"/>
    <col min="12239" max="12239" width="11.44140625" style="1"/>
    <col min="12240" max="12240" width="14.21875" style="1" bestFit="1" customWidth="1"/>
    <col min="12241" max="12241" width="11.77734375" style="1" bestFit="1" customWidth="1"/>
    <col min="12242" max="12242" width="13.21875" style="1" bestFit="1" customWidth="1"/>
    <col min="12243" max="12243" width="11.77734375" style="1" bestFit="1" customWidth="1"/>
    <col min="12244" max="12488" width="11.44140625" style="1"/>
    <col min="12489" max="12489" width="4.21875" style="1" customWidth="1"/>
    <col min="12490" max="12491" width="11.44140625" style="1"/>
    <col min="12492" max="12492" width="22" style="1" customWidth="1"/>
    <col min="12493" max="12493" width="6.77734375" style="1" customWidth="1"/>
    <col min="12494" max="12494" width="15.44140625" style="1" bestFit="1" customWidth="1"/>
    <col min="12495" max="12495" width="11.44140625" style="1"/>
    <col min="12496" max="12496" width="14.21875" style="1" bestFit="1" customWidth="1"/>
    <col min="12497" max="12497" width="11.77734375" style="1" bestFit="1" customWidth="1"/>
    <col min="12498" max="12498" width="13.21875" style="1" bestFit="1" customWidth="1"/>
    <col min="12499" max="12499" width="11.77734375" style="1" bestFit="1" customWidth="1"/>
    <col min="12500" max="12744" width="11.44140625" style="1"/>
    <col min="12745" max="12745" width="4.21875" style="1" customWidth="1"/>
    <col min="12746" max="12747" width="11.44140625" style="1"/>
    <col min="12748" max="12748" width="22" style="1" customWidth="1"/>
    <col min="12749" max="12749" width="6.77734375" style="1" customWidth="1"/>
    <col min="12750" max="12750" width="15.44140625" style="1" bestFit="1" customWidth="1"/>
    <col min="12751" max="12751" width="11.44140625" style="1"/>
    <col min="12752" max="12752" width="14.21875" style="1" bestFit="1" customWidth="1"/>
    <col min="12753" max="12753" width="11.77734375" style="1" bestFit="1" customWidth="1"/>
    <col min="12754" max="12754" width="13.21875" style="1" bestFit="1" customWidth="1"/>
    <col min="12755" max="12755" width="11.77734375" style="1" bestFit="1" customWidth="1"/>
    <col min="12756" max="13000" width="11.44140625" style="1"/>
    <col min="13001" max="13001" width="4.21875" style="1" customWidth="1"/>
    <col min="13002" max="13003" width="11.44140625" style="1"/>
    <col min="13004" max="13004" width="22" style="1" customWidth="1"/>
    <col min="13005" max="13005" width="6.77734375" style="1" customWidth="1"/>
    <col min="13006" max="13006" width="15.44140625" style="1" bestFit="1" customWidth="1"/>
    <col min="13007" max="13007" width="11.44140625" style="1"/>
    <col min="13008" max="13008" width="14.21875" style="1" bestFit="1" customWidth="1"/>
    <col min="13009" max="13009" width="11.77734375" style="1" bestFit="1" customWidth="1"/>
    <col min="13010" max="13010" width="13.21875" style="1" bestFit="1" customWidth="1"/>
    <col min="13011" max="13011" width="11.77734375" style="1" bestFit="1" customWidth="1"/>
    <col min="13012" max="13256" width="11.44140625" style="1"/>
    <col min="13257" max="13257" width="4.21875" style="1" customWidth="1"/>
    <col min="13258" max="13259" width="11.44140625" style="1"/>
    <col min="13260" max="13260" width="22" style="1" customWidth="1"/>
    <col min="13261" max="13261" width="6.77734375" style="1" customWidth="1"/>
    <col min="13262" max="13262" width="15.44140625" style="1" bestFit="1" customWidth="1"/>
    <col min="13263" max="13263" width="11.44140625" style="1"/>
    <col min="13264" max="13264" width="14.21875" style="1" bestFit="1" customWidth="1"/>
    <col min="13265" max="13265" width="11.77734375" style="1" bestFit="1" customWidth="1"/>
    <col min="13266" max="13266" width="13.21875" style="1" bestFit="1" customWidth="1"/>
    <col min="13267" max="13267" width="11.77734375" style="1" bestFit="1" customWidth="1"/>
    <col min="13268" max="13512" width="11.44140625" style="1"/>
    <col min="13513" max="13513" width="4.21875" style="1" customWidth="1"/>
    <col min="13514" max="13515" width="11.44140625" style="1"/>
    <col min="13516" max="13516" width="22" style="1" customWidth="1"/>
    <col min="13517" max="13517" width="6.77734375" style="1" customWidth="1"/>
    <col min="13518" max="13518" width="15.44140625" style="1" bestFit="1" customWidth="1"/>
    <col min="13519" max="13519" width="11.44140625" style="1"/>
    <col min="13520" max="13520" width="14.21875" style="1" bestFit="1" customWidth="1"/>
    <col min="13521" max="13521" width="11.77734375" style="1" bestFit="1" customWidth="1"/>
    <col min="13522" max="13522" width="13.21875" style="1" bestFit="1" customWidth="1"/>
    <col min="13523" max="13523" width="11.77734375" style="1" bestFit="1" customWidth="1"/>
    <col min="13524" max="13768" width="11.44140625" style="1"/>
    <col min="13769" max="13769" width="4.21875" style="1" customWidth="1"/>
    <col min="13770" max="13771" width="11.44140625" style="1"/>
    <col min="13772" max="13772" width="22" style="1" customWidth="1"/>
    <col min="13773" max="13773" width="6.77734375" style="1" customWidth="1"/>
    <col min="13774" max="13774" width="15.44140625" style="1" bestFit="1" customWidth="1"/>
    <col min="13775" max="13775" width="11.44140625" style="1"/>
    <col min="13776" max="13776" width="14.21875" style="1" bestFit="1" customWidth="1"/>
    <col min="13777" max="13777" width="11.77734375" style="1" bestFit="1" customWidth="1"/>
    <col min="13778" max="13778" width="13.21875" style="1" bestFit="1" customWidth="1"/>
    <col min="13779" max="13779" width="11.77734375" style="1" bestFit="1" customWidth="1"/>
    <col min="13780" max="14024" width="11.44140625" style="1"/>
    <col min="14025" max="14025" width="4.21875" style="1" customWidth="1"/>
    <col min="14026" max="14027" width="11.44140625" style="1"/>
    <col min="14028" max="14028" width="22" style="1" customWidth="1"/>
    <col min="14029" max="14029" width="6.77734375" style="1" customWidth="1"/>
    <col min="14030" max="14030" width="15.44140625" style="1" bestFit="1" customWidth="1"/>
    <col min="14031" max="14031" width="11.44140625" style="1"/>
    <col min="14032" max="14032" width="14.21875" style="1" bestFit="1" customWidth="1"/>
    <col min="14033" max="14033" width="11.77734375" style="1" bestFit="1" customWidth="1"/>
    <col min="14034" max="14034" width="13.21875" style="1" bestFit="1" customWidth="1"/>
    <col min="14035" max="14035" width="11.77734375" style="1" bestFit="1" customWidth="1"/>
    <col min="14036" max="14280" width="11.44140625" style="1"/>
    <col min="14281" max="14281" width="4.21875" style="1" customWidth="1"/>
    <col min="14282" max="14283" width="11.44140625" style="1"/>
    <col min="14284" max="14284" width="22" style="1" customWidth="1"/>
    <col min="14285" max="14285" width="6.77734375" style="1" customWidth="1"/>
    <col min="14286" max="14286" width="15.44140625" style="1" bestFit="1" customWidth="1"/>
    <col min="14287" max="14287" width="11.44140625" style="1"/>
    <col min="14288" max="14288" width="14.21875" style="1" bestFit="1" customWidth="1"/>
    <col min="14289" max="14289" width="11.77734375" style="1" bestFit="1" customWidth="1"/>
    <col min="14290" max="14290" width="13.21875" style="1" bestFit="1" customWidth="1"/>
    <col min="14291" max="14291" width="11.77734375" style="1" bestFit="1" customWidth="1"/>
    <col min="14292" max="14536" width="11.44140625" style="1"/>
    <col min="14537" max="14537" width="4.21875" style="1" customWidth="1"/>
    <col min="14538" max="14539" width="11.44140625" style="1"/>
    <col min="14540" max="14540" width="22" style="1" customWidth="1"/>
    <col min="14541" max="14541" width="6.77734375" style="1" customWidth="1"/>
    <col min="14542" max="14542" width="15.44140625" style="1" bestFit="1" customWidth="1"/>
    <col min="14543" max="14543" width="11.44140625" style="1"/>
    <col min="14544" max="14544" width="14.21875" style="1" bestFit="1" customWidth="1"/>
    <col min="14545" max="14545" width="11.77734375" style="1" bestFit="1" customWidth="1"/>
    <col min="14546" max="14546" width="13.21875" style="1" bestFit="1" customWidth="1"/>
    <col min="14547" max="14547" width="11.77734375" style="1" bestFit="1" customWidth="1"/>
    <col min="14548" max="14792" width="11.44140625" style="1"/>
    <col min="14793" max="14793" width="4.21875" style="1" customWidth="1"/>
    <col min="14794" max="14795" width="11.44140625" style="1"/>
    <col min="14796" max="14796" width="22" style="1" customWidth="1"/>
    <col min="14797" max="14797" width="6.77734375" style="1" customWidth="1"/>
    <col min="14798" max="14798" width="15.44140625" style="1" bestFit="1" customWidth="1"/>
    <col min="14799" max="14799" width="11.44140625" style="1"/>
    <col min="14800" max="14800" width="14.21875" style="1" bestFit="1" customWidth="1"/>
    <col min="14801" max="14801" width="11.77734375" style="1" bestFit="1" customWidth="1"/>
    <col min="14802" max="14802" width="13.21875" style="1" bestFit="1" customWidth="1"/>
    <col min="14803" max="14803" width="11.77734375" style="1" bestFit="1" customWidth="1"/>
    <col min="14804" max="15048" width="11.44140625" style="1"/>
    <col min="15049" max="15049" width="4.21875" style="1" customWidth="1"/>
    <col min="15050" max="15051" width="11.44140625" style="1"/>
    <col min="15052" max="15052" width="22" style="1" customWidth="1"/>
    <col min="15053" max="15053" width="6.77734375" style="1" customWidth="1"/>
    <col min="15054" max="15054" width="15.44140625" style="1" bestFit="1" customWidth="1"/>
    <col min="15055" max="15055" width="11.44140625" style="1"/>
    <col min="15056" max="15056" width="14.21875" style="1" bestFit="1" customWidth="1"/>
    <col min="15057" max="15057" width="11.77734375" style="1" bestFit="1" customWidth="1"/>
    <col min="15058" max="15058" width="13.21875" style="1" bestFit="1" customWidth="1"/>
    <col min="15059" max="15059" width="11.77734375" style="1" bestFit="1" customWidth="1"/>
    <col min="15060" max="15304" width="11.44140625" style="1"/>
    <col min="15305" max="15305" width="4.21875" style="1" customWidth="1"/>
    <col min="15306" max="15307" width="11.44140625" style="1"/>
    <col min="15308" max="15308" width="22" style="1" customWidth="1"/>
    <col min="15309" max="15309" width="6.77734375" style="1" customWidth="1"/>
    <col min="15310" max="15310" width="15.44140625" style="1" bestFit="1" customWidth="1"/>
    <col min="15311" max="15311" width="11.44140625" style="1"/>
    <col min="15312" max="15312" width="14.21875" style="1" bestFit="1" customWidth="1"/>
    <col min="15313" max="15313" width="11.77734375" style="1" bestFit="1" customWidth="1"/>
    <col min="15314" max="15314" width="13.21875" style="1" bestFit="1" customWidth="1"/>
    <col min="15315" max="15315" width="11.77734375" style="1" bestFit="1" customWidth="1"/>
    <col min="15316" max="15560" width="11.44140625" style="1"/>
    <col min="15561" max="15561" width="4.21875" style="1" customWidth="1"/>
    <col min="15562" max="15563" width="11.44140625" style="1"/>
    <col min="15564" max="15564" width="22" style="1" customWidth="1"/>
    <col min="15565" max="15565" width="6.77734375" style="1" customWidth="1"/>
    <col min="15566" max="15566" width="15.44140625" style="1" bestFit="1" customWidth="1"/>
    <col min="15567" max="15567" width="11.44140625" style="1"/>
    <col min="15568" max="15568" width="14.21875" style="1" bestFit="1" customWidth="1"/>
    <col min="15569" max="15569" width="11.77734375" style="1" bestFit="1" customWidth="1"/>
    <col min="15570" max="15570" width="13.21875" style="1" bestFit="1" customWidth="1"/>
    <col min="15571" max="15571" width="11.77734375" style="1" bestFit="1" customWidth="1"/>
    <col min="15572" max="15816" width="11.44140625" style="1"/>
    <col min="15817" max="15817" width="4.21875" style="1" customWidth="1"/>
    <col min="15818" max="15819" width="11.44140625" style="1"/>
    <col min="15820" max="15820" width="22" style="1" customWidth="1"/>
    <col min="15821" max="15821" width="6.77734375" style="1" customWidth="1"/>
    <col min="15822" max="15822" width="15.44140625" style="1" bestFit="1" customWidth="1"/>
    <col min="15823" max="15823" width="11.44140625" style="1"/>
    <col min="15824" max="15824" width="14.21875" style="1" bestFit="1" customWidth="1"/>
    <col min="15825" max="15825" width="11.77734375" style="1" bestFit="1" customWidth="1"/>
    <col min="15826" max="15826" width="13.21875" style="1" bestFit="1" customWidth="1"/>
    <col min="15827" max="15827" width="11.77734375" style="1" bestFit="1" customWidth="1"/>
    <col min="15828" max="16072" width="11.44140625" style="1"/>
    <col min="16073" max="16073" width="4.21875" style="1" customWidth="1"/>
    <col min="16074" max="16075" width="11.44140625" style="1"/>
    <col min="16076" max="16076" width="22" style="1" customWidth="1"/>
    <col min="16077" max="16077" width="6.77734375" style="1" customWidth="1"/>
    <col min="16078" max="16078" width="15.44140625" style="1" bestFit="1" customWidth="1"/>
    <col min="16079" max="16079" width="11.44140625" style="1"/>
    <col min="16080" max="16080" width="14.21875" style="1" bestFit="1" customWidth="1"/>
    <col min="16081" max="16081" width="11.77734375" style="1" bestFit="1" customWidth="1"/>
    <col min="16082" max="16082" width="13.21875" style="1" bestFit="1" customWidth="1"/>
    <col min="16083" max="16083" width="11.77734375" style="1" bestFit="1" customWidth="1"/>
    <col min="16084" max="16384" width="11.44140625" style="1"/>
  </cols>
  <sheetData>
    <row r="1" spans="1:15" ht="122.1" customHeight="1" thickTop="1" thickBot="1">
      <c r="A1" s="355" t="s">
        <v>36</v>
      </c>
      <c r="B1" s="356"/>
      <c r="C1" s="356"/>
      <c r="D1" s="356"/>
      <c r="E1" s="356"/>
      <c r="F1" s="356"/>
      <c r="G1" s="356"/>
      <c r="H1" s="357"/>
    </row>
    <row r="2" spans="1:15" ht="57" customHeight="1" thickTop="1" thickBot="1">
      <c r="A2" s="358" t="s">
        <v>532</v>
      </c>
      <c r="B2" s="359"/>
      <c r="C2" s="359"/>
      <c r="D2" s="360"/>
      <c r="E2" s="360"/>
      <c r="F2" s="360"/>
      <c r="G2" s="360"/>
      <c r="H2" s="361"/>
    </row>
    <row r="3" spans="1:15" ht="44.25" customHeight="1" thickTop="1" thickBot="1">
      <c r="A3" s="15" t="s">
        <v>1</v>
      </c>
      <c r="B3" s="362" t="s">
        <v>38</v>
      </c>
      <c r="C3" s="362"/>
      <c r="D3" s="363"/>
      <c r="E3" s="16" t="s">
        <v>39</v>
      </c>
      <c r="F3" s="17" t="s">
        <v>40</v>
      </c>
      <c r="G3" s="18" t="s">
        <v>41</v>
      </c>
      <c r="H3" s="19" t="s">
        <v>42</v>
      </c>
    </row>
    <row r="4" spans="1:15" ht="13.05" customHeight="1" thickTop="1">
      <c r="A4" s="20"/>
      <c r="B4" s="21"/>
      <c r="C4" s="21"/>
      <c r="D4" s="21"/>
      <c r="E4" s="22"/>
      <c r="F4" s="23"/>
      <c r="G4" s="24"/>
      <c r="H4" s="25"/>
    </row>
    <row r="5" spans="1:15" ht="13.05" customHeight="1">
      <c r="A5" s="26"/>
      <c r="B5" s="27"/>
      <c r="C5" s="28"/>
      <c r="D5" s="28"/>
      <c r="E5" s="29"/>
      <c r="F5" s="30"/>
      <c r="G5" s="31"/>
      <c r="H5" s="32"/>
    </row>
    <row r="6" spans="1:15" ht="13.05" customHeight="1">
      <c r="A6" s="26"/>
      <c r="B6" s="28"/>
      <c r="C6" s="28"/>
      <c r="E6" s="29"/>
      <c r="F6" s="33"/>
      <c r="G6" s="34"/>
      <c r="H6" s="35"/>
      <c r="J6" s="75"/>
      <c r="K6" s="75"/>
      <c r="L6" s="68"/>
      <c r="M6" s="75"/>
      <c r="N6" s="75"/>
      <c r="O6" s="68"/>
    </row>
    <row r="8" spans="1:15" ht="13.05" customHeight="1">
      <c r="A8" s="37"/>
      <c r="B8" s="38"/>
      <c r="C8" s="13"/>
      <c r="D8" s="28"/>
      <c r="E8" s="39"/>
      <c r="F8" s="40"/>
      <c r="G8" s="41"/>
      <c r="H8" s="42"/>
      <c r="J8" s="36"/>
      <c r="K8" s="36"/>
      <c r="L8" s="36"/>
      <c r="M8" s="75"/>
      <c r="N8" s="75"/>
      <c r="O8" s="68"/>
    </row>
    <row r="9" spans="1:15" ht="13.05" customHeight="1">
      <c r="A9" s="37" t="s">
        <v>66</v>
      </c>
      <c r="B9" s="38" t="s">
        <v>352</v>
      </c>
      <c r="C9" s="47"/>
      <c r="D9" s="82"/>
      <c r="E9" s="39" t="s">
        <v>70</v>
      </c>
      <c r="F9" s="40"/>
      <c r="G9" s="41"/>
      <c r="H9" s="42"/>
      <c r="J9" s="36"/>
      <c r="K9" s="36"/>
      <c r="L9" s="36"/>
      <c r="M9" s="75"/>
      <c r="N9" s="75"/>
      <c r="O9" s="68"/>
    </row>
    <row r="10" spans="1:15" ht="13.05" customHeight="1">
      <c r="A10" s="37"/>
      <c r="B10" s="38"/>
      <c r="C10" s="47"/>
      <c r="D10" s="82"/>
      <c r="E10" s="39"/>
      <c r="F10" s="40"/>
      <c r="G10" s="41"/>
      <c r="H10" s="42"/>
      <c r="J10" s="36"/>
      <c r="K10" s="36"/>
      <c r="L10" s="36"/>
      <c r="M10" s="71"/>
      <c r="N10" s="71"/>
      <c r="O10"/>
    </row>
    <row r="11" spans="1:15" ht="13.05" customHeight="1">
      <c r="A11" s="37" t="s">
        <v>68</v>
      </c>
      <c r="B11" s="38" t="s">
        <v>67</v>
      </c>
      <c r="C11" s="47"/>
      <c r="D11" s="82"/>
      <c r="E11" s="39" t="s">
        <v>70</v>
      </c>
      <c r="F11" s="40"/>
      <c r="G11" s="41"/>
      <c r="H11" s="42"/>
      <c r="J11" s="36"/>
      <c r="K11" s="36"/>
      <c r="L11" s="36"/>
    </row>
    <row r="12" spans="1:15" ht="13.05" customHeight="1">
      <c r="A12" s="37"/>
      <c r="B12" s="38"/>
      <c r="C12" s="47"/>
      <c r="D12" s="82"/>
      <c r="E12" s="39"/>
      <c r="F12" s="40"/>
      <c r="G12" s="41"/>
      <c r="H12" s="42"/>
      <c r="J12" s="36"/>
      <c r="K12" s="36"/>
      <c r="L12" s="36"/>
    </row>
    <row r="13" spans="1:15" ht="13.05" customHeight="1">
      <c r="A13" s="37" t="s">
        <v>71</v>
      </c>
      <c r="B13" s="38" t="s">
        <v>353</v>
      </c>
      <c r="C13" s="47"/>
      <c r="D13" s="82"/>
      <c r="E13" s="39" t="s">
        <v>70</v>
      </c>
      <c r="F13" s="40"/>
      <c r="G13" s="41"/>
      <c r="H13" s="42"/>
      <c r="J13" s="69"/>
      <c r="K13" s="69"/>
      <c r="L13" s="69"/>
    </row>
    <row r="14" spans="1:15" ht="13.05" customHeight="1">
      <c r="A14" s="37"/>
      <c r="B14" s="38"/>
      <c r="C14" s="47"/>
      <c r="D14" s="82"/>
      <c r="E14" s="39"/>
      <c r="F14" s="40"/>
      <c r="G14" s="41"/>
      <c r="H14" s="42"/>
      <c r="J14" s="69"/>
      <c r="K14" s="69"/>
      <c r="L14" s="69"/>
    </row>
    <row r="15" spans="1:15" ht="13.05" customHeight="1">
      <c r="A15" s="37" t="s">
        <v>73</v>
      </c>
      <c r="B15" s="38" t="s">
        <v>533</v>
      </c>
      <c r="C15" s="47"/>
      <c r="D15" s="82"/>
      <c r="E15" s="39" t="s">
        <v>93</v>
      </c>
      <c r="F15" s="40"/>
      <c r="G15" s="41"/>
      <c r="H15" s="42"/>
      <c r="J15" s="69"/>
      <c r="K15" s="69"/>
      <c r="L15" s="69"/>
    </row>
    <row r="16" spans="1:15" ht="13.05" customHeight="1">
      <c r="A16" s="88"/>
      <c r="B16" s="86"/>
      <c r="C16" s="86"/>
      <c r="D16" s="86"/>
      <c r="E16" s="87"/>
      <c r="F16" s="33"/>
      <c r="G16" s="34"/>
      <c r="H16" s="35"/>
      <c r="J16" s="69"/>
      <c r="K16" s="69"/>
      <c r="L16" s="69"/>
    </row>
    <row r="17" spans="1:12" ht="13.05" customHeight="1">
      <c r="A17" s="84" t="s">
        <v>76</v>
      </c>
      <c r="B17" s="85" t="s">
        <v>534</v>
      </c>
      <c r="C17" s="86"/>
      <c r="D17" s="86"/>
      <c r="E17" s="87"/>
      <c r="F17" s="33"/>
      <c r="G17" s="34"/>
      <c r="H17" s="35"/>
      <c r="J17" s="69"/>
      <c r="K17" s="69"/>
      <c r="L17" s="69"/>
    </row>
    <row r="18" spans="1:12" ht="13.05" customHeight="1">
      <c r="A18" s="84"/>
      <c r="B18" s="85"/>
      <c r="C18" s="86"/>
      <c r="D18" s="86"/>
      <c r="E18" s="87"/>
      <c r="F18" s="33"/>
      <c r="G18" s="34"/>
      <c r="H18" s="35"/>
      <c r="J18" s="69"/>
      <c r="K18" s="69"/>
      <c r="L18" s="69"/>
    </row>
    <row r="19" spans="1:12" ht="13.05" customHeight="1">
      <c r="A19" s="88" t="s">
        <v>535</v>
      </c>
      <c r="B19" s="86" t="s">
        <v>536</v>
      </c>
      <c r="C19" s="86"/>
      <c r="D19" s="86"/>
      <c r="E19" s="87" t="s">
        <v>123</v>
      </c>
      <c r="F19" s="33"/>
      <c r="G19" s="34"/>
      <c r="H19" s="35"/>
      <c r="J19" s="69"/>
      <c r="K19" s="69"/>
      <c r="L19" s="69"/>
    </row>
    <row r="20" spans="1:12" ht="13.05" customHeight="1">
      <c r="A20" s="88"/>
      <c r="B20" s="86"/>
      <c r="C20" s="86"/>
      <c r="D20" s="86"/>
      <c r="E20" s="87"/>
      <c r="F20" s="33"/>
      <c r="G20" s="34"/>
      <c r="H20" s="35"/>
      <c r="J20" s="69"/>
      <c r="K20" s="69"/>
      <c r="L20" s="69"/>
    </row>
    <row r="21" spans="1:12" ht="13.05" customHeight="1">
      <c r="A21" s="88" t="s">
        <v>537</v>
      </c>
      <c r="B21" s="86" t="s">
        <v>538</v>
      </c>
      <c r="C21" s="86"/>
      <c r="D21" s="86"/>
      <c r="E21" s="87"/>
      <c r="F21" s="33"/>
      <c r="G21" s="34"/>
      <c r="H21" s="35"/>
      <c r="J21" s="36"/>
      <c r="K21" s="36"/>
      <c r="L21" s="36"/>
    </row>
    <row r="22" spans="1:12" ht="13.05" customHeight="1">
      <c r="A22" s="88"/>
      <c r="B22" s="86"/>
      <c r="C22" s="86" t="s">
        <v>539</v>
      </c>
      <c r="D22" s="86"/>
      <c r="E22" s="87" t="s">
        <v>123</v>
      </c>
      <c r="F22" s="33"/>
      <c r="G22" s="34"/>
      <c r="H22" s="35"/>
      <c r="J22" s="36"/>
      <c r="K22" s="36"/>
      <c r="L22" s="36"/>
    </row>
    <row r="23" spans="1:12" ht="13.05" customHeight="1">
      <c r="A23" s="88"/>
      <c r="B23" s="86"/>
      <c r="C23" s="86" t="s">
        <v>540</v>
      </c>
      <c r="D23" s="86"/>
      <c r="E23" s="87" t="s">
        <v>123</v>
      </c>
      <c r="F23" s="33"/>
      <c r="G23" s="34"/>
      <c r="H23" s="35"/>
      <c r="J23" s="36"/>
      <c r="K23" s="36"/>
      <c r="L23" s="36"/>
    </row>
    <row r="24" spans="1:12" ht="13.05" customHeight="1">
      <c r="A24" s="88"/>
      <c r="B24" s="86"/>
      <c r="C24" s="86" t="s">
        <v>541</v>
      </c>
      <c r="D24" s="86"/>
      <c r="E24" s="87" t="s">
        <v>123</v>
      </c>
      <c r="F24" s="33"/>
      <c r="G24" s="34"/>
      <c r="H24" s="35"/>
      <c r="J24" s="36"/>
      <c r="K24" s="36"/>
      <c r="L24" s="36"/>
    </row>
    <row r="25" spans="1:12" ht="13.05" customHeight="1">
      <c r="A25" s="88"/>
      <c r="B25" s="86"/>
      <c r="C25" s="86"/>
      <c r="D25" s="86"/>
      <c r="E25" s="87"/>
      <c r="F25" s="33"/>
      <c r="G25" s="34"/>
      <c r="H25" s="35"/>
      <c r="J25" s="36"/>
      <c r="K25" s="36"/>
      <c r="L25" s="36"/>
    </row>
    <row r="26" spans="1:12" ht="13.05" customHeight="1">
      <c r="A26" s="88" t="s">
        <v>542</v>
      </c>
      <c r="B26" s="86" t="s">
        <v>543</v>
      </c>
      <c r="C26" s="86"/>
      <c r="D26" s="86"/>
      <c r="E26" s="87" t="s">
        <v>123</v>
      </c>
      <c r="F26" s="33"/>
      <c r="G26" s="34"/>
      <c r="H26" s="35"/>
      <c r="J26" s="36"/>
      <c r="K26" s="36"/>
      <c r="L26" s="36"/>
    </row>
    <row r="27" spans="1:12" ht="13.05" customHeight="1">
      <c r="A27" s="88"/>
      <c r="B27" s="86"/>
      <c r="C27" s="13"/>
      <c r="D27" s="13"/>
      <c r="E27" s="39"/>
      <c r="F27" s="33"/>
      <c r="G27" s="34"/>
      <c r="H27" s="35"/>
      <c r="J27" s="36"/>
      <c r="K27" s="36"/>
      <c r="L27" s="36"/>
    </row>
    <row r="28" spans="1:12" ht="13.05" customHeight="1">
      <c r="A28" s="88" t="s">
        <v>544</v>
      </c>
      <c r="B28" s="86" t="s">
        <v>545</v>
      </c>
      <c r="C28" s="47"/>
      <c r="D28" s="82"/>
      <c r="E28" s="39" t="s">
        <v>123</v>
      </c>
      <c r="F28" s="40"/>
      <c r="G28" s="41"/>
      <c r="H28" s="42"/>
      <c r="J28" s="69"/>
      <c r="K28" s="69"/>
      <c r="L28" s="69"/>
    </row>
    <row r="29" spans="1:12" ht="13.05" customHeight="1">
      <c r="A29" s="88"/>
      <c r="B29" s="86"/>
      <c r="C29" s="47"/>
      <c r="D29" s="82"/>
      <c r="E29" s="39"/>
      <c r="F29" s="40"/>
      <c r="G29" s="41"/>
      <c r="H29" s="42"/>
      <c r="J29" s="69"/>
      <c r="K29" s="69"/>
      <c r="L29" s="69"/>
    </row>
    <row r="30" spans="1:12" ht="13.05" customHeight="1">
      <c r="A30" s="88" t="s">
        <v>546</v>
      </c>
      <c r="B30" s="86" t="s">
        <v>547</v>
      </c>
      <c r="C30" s="47"/>
      <c r="D30" s="82"/>
      <c r="E30" s="39" t="s">
        <v>123</v>
      </c>
      <c r="F30" s="40"/>
      <c r="G30" s="41"/>
      <c r="H30" s="42"/>
      <c r="J30" s="69"/>
      <c r="K30" s="69"/>
      <c r="L30" s="69"/>
    </row>
    <row r="31" spans="1:12" ht="13.05" customHeight="1">
      <c r="A31" s="88"/>
      <c r="B31" s="86"/>
      <c r="C31" s="47"/>
      <c r="D31" s="13"/>
      <c r="E31" s="39"/>
      <c r="F31" s="40"/>
      <c r="G31" s="41"/>
      <c r="H31" s="42"/>
      <c r="J31" s="69"/>
      <c r="K31" s="69"/>
      <c r="L31" s="69"/>
    </row>
    <row r="32" spans="1:12" ht="13.05" customHeight="1">
      <c r="A32" s="88" t="s">
        <v>548</v>
      </c>
      <c r="B32" s="86" t="s">
        <v>549</v>
      </c>
      <c r="C32" s="86"/>
      <c r="D32" s="86"/>
      <c r="E32" s="87" t="s">
        <v>550</v>
      </c>
      <c r="F32" s="33"/>
      <c r="G32" s="34"/>
      <c r="H32" s="35"/>
      <c r="J32" s="69"/>
      <c r="K32" s="69"/>
      <c r="L32" s="69"/>
    </row>
    <row r="33" spans="1:12" ht="13.05" customHeight="1">
      <c r="A33" s="88"/>
      <c r="B33" s="86"/>
      <c r="C33" s="86"/>
      <c r="D33" s="86"/>
      <c r="E33" s="87"/>
      <c r="F33" s="33"/>
      <c r="G33" s="34"/>
      <c r="H33" s="35"/>
      <c r="J33" s="69"/>
      <c r="K33" s="69"/>
      <c r="L33" s="69"/>
    </row>
    <row r="34" spans="1:12" ht="13.05" customHeight="1">
      <c r="A34" s="84" t="s">
        <v>78</v>
      </c>
      <c r="B34" s="85" t="s">
        <v>551</v>
      </c>
      <c r="C34" s="86"/>
      <c r="D34" s="86"/>
      <c r="E34" s="87" t="s">
        <v>123</v>
      </c>
      <c r="F34" s="33"/>
      <c r="G34" s="34"/>
      <c r="H34" s="35"/>
      <c r="J34" s="69"/>
      <c r="K34" s="69"/>
      <c r="L34" s="69"/>
    </row>
    <row r="35" spans="1:12" ht="13.05" customHeight="1">
      <c r="A35" s="84"/>
      <c r="B35" s="85"/>
      <c r="C35" s="86"/>
      <c r="D35" s="86"/>
      <c r="E35" s="87"/>
      <c r="F35" s="33"/>
      <c r="G35" s="34"/>
      <c r="H35" s="35"/>
      <c r="J35" s="69"/>
      <c r="K35" s="69"/>
      <c r="L35" s="69"/>
    </row>
    <row r="36" spans="1:12" ht="13.05" customHeight="1">
      <c r="A36" s="84" t="s">
        <v>81</v>
      </c>
      <c r="B36" s="85" t="s">
        <v>552</v>
      </c>
      <c r="C36" s="86"/>
      <c r="D36" s="86"/>
      <c r="E36" s="87"/>
      <c r="F36" s="33"/>
      <c r="G36" s="34"/>
      <c r="H36" s="35"/>
      <c r="J36" s="36"/>
      <c r="K36" s="36"/>
      <c r="L36" s="36"/>
    </row>
    <row r="37" spans="1:12" ht="13.05" customHeight="1">
      <c r="A37" s="84"/>
      <c r="B37" s="85"/>
      <c r="C37" s="86"/>
      <c r="D37" s="86"/>
      <c r="E37" s="87"/>
      <c r="F37" s="33"/>
      <c r="G37" s="34"/>
      <c r="H37" s="35"/>
      <c r="J37" s="36"/>
      <c r="K37" s="36"/>
      <c r="L37" s="36"/>
    </row>
    <row r="38" spans="1:12" ht="13.05" customHeight="1">
      <c r="A38" s="88" t="s">
        <v>396</v>
      </c>
      <c r="B38" s="86" t="s">
        <v>553</v>
      </c>
      <c r="C38" s="86"/>
      <c r="D38" s="86"/>
      <c r="E38" s="87" t="s">
        <v>52</v>
      </c>
      <c r="F38" s="33"/>
      <c r="G38" s="34"/>
      <c r="H38" s="35"/>
      <c r="J38" s="69"/>
      <c r="K38" s="69"/>
      <c r="L38" s="69"/>
    </row>
    <row r="39" spans="1:12" ht="13.05" customHeight="1">
      <c r="A39" s="88"/>
      <c r="B39" s="86"/>
      <c r="C39" s="86"/>
      <c r="D39" s="86"/>
      <c r="E39" s="87"/>
      <c r="F39" s="33"/>
      <c r="G39" s="34"/>
      <c r="H39" s="35"/>
      <c r="J39" s="69"/>
      <c r="K39" s="69"/>
      <c r="L39" s="69"/>
    </row>
    <row r="40" spans="1:12" ht="13.05" customHeight="1">
      <c r="A40" s="88" t="s">
        <v>398</v>
      </c>
      <c r="B40" s="86" t="s">
        <v>554</v>
      </c>
      <c r="C40" s="86"/>
      <c r="D40" s="86"/>
      <c r="E40" s="87" t="s">
        <v>52</v>
      </c>
      <c r="F40" s="33"/>
      <c r="G40" s="34"/>
      <c r="H40" s="35"/>
      <c r="J40" s="69"/>
      <c r="K40" s="69"/>
      <c r="L40" s="69"/>
    </row>
    <row r="41" spans="1:12" ht="13.05" customHeight="1">
      <c r="A41" s="88"/>
      <c r="B41" s="86"/>
      <c r="C41" s="13"/>
      <c r="D41" s="13"/>
      <c r="E41" s="39"/>
      <c r="F41" s="33"/>
      <c r="G41" s="34"/>
      <c r="H41" s="35"/>
      <c r="J41" s="69"/>
      <c r="K41" s="69"/>
      <c r="L41" s="69"/>
    </row>
    <row r="42" spans="1:12" ht="13.05" customHeight="1">
      <c r="A42" s="88" t="s">
        <v>400</v>
      </c>
      <c r="B42" s="86" t="s">
        <v>555</v>
      </c>
      <c r="C42" s="13"/>
      <c r="D42" s="13"/>
      <c r="E42" s="39" t="s">
        <v>556</v>
      </c>
      <c r="F42" s="33"/>
      <c r="G42" s="34"/>
      <c r="H42" s="35"/>
      <c r="J42" s="36"/>
      <c r="K42" s="36"/>
      <c r="L42" s="36"/>
    </row>
    <row r="43" spans="1:12" ht="13.05" customHeight="1">
      <c r="A43" s="88"/>
      <c r="B43" s="86"/>
      <c r="C43" s="13"/>
      <c r="D43" s="13"/>
      <c r="E43" s="39"/>
      <c r="F43" s="33"/>
      <c r="G43" s="34"/>
      <c r="H43" s="35"/>
      <c r="J43" s="36"/>
      <c r="K43" s="36"/>
      <c r="L43" s="36"/>
    </row>
    <row r="44" spans="1:12" ht="13.05" customHeight="1">
      <c r="A44" s="88" t="s">
        <v>401</v>
      </c>
      <c r="B44" s="86" t="s">
        <v>557</v>
      </c>
      <c r="C44" s="13"/>
      <c r="D44" s="13"/>
      <c r="E44" s="39" t="s">
        <v>52</v>
      </c>
      <c r="F44" s="33"/>
      <c r="G44" s="34"/>
      <c r="H44" s="35"/>
      <c r="J44" s="36"/>
      <c r="K44" s="36"/>
      <c r="L44" s="36"/>
    </row>
    <row r="45" spans="1:12" ht="13.05" customHeight="1">
      <c r="A45" s="88"/>
      <c r="B45" s="86"/>
      <c r="C45" s="13"/>
      <c r="D45" s="13"/>
      <c r="E45" s="39"/>
      <c r="F45" s="33"/>
      <c r="G45" s="34"/>
      <c r="H45" s="35"/>
      <c r="J45" s="36"/>
      <c r="K45" s="36"/>
      <c r="L45" s="36"/>
    </row>
    <row r="46" spans="1:12" ht="13.05" customHeight="1">
      <c r="A46" s="84" t="s">
        <v>83</v>
      </c>
      <c r="B46" s="85" t="s">
        <v>558</v>
      </c>
      <c r="C46" s="13"/>
      <c r="D46" s="13"/>
      <c r="E46" s="39"/>
      <c r="F46" s="33"/>
      <c r="G46" s="34"/>
      <c r="H46" s="35"/>
      <c r="J46" s="36"/>
      <c r="K46" s="36"/>
      <c r="L46" s="36"/>
    </row>
    <row r="47" spans="1:12" ht="13.05" customHeight="1">
      <c r="A47" s="84"/>
      <c r="B47" s="85"/>
      <c r="C47" s="13"/>
      <c r="D47" s="13"/>
      <c r="E47" s="39"/>
      <c r="F47" s="33"/>
      <c r="G47" s="34"/>
      <c r="H47" s="35"/>
      <c r="J47" s="36"/>
      <c r="K47" s="36"/>
      <c r="L47" s="36"/>
    </row>
    <row r="48" spans="1:12" ht="13.05" customHeight="1">
      <c r="A48" s="88" t="s">
        <v>85</v>
      </c>
      <c r="B48" s="86" t="s">
        <v>559</v>
      </c>
      <c r="C48" s="47"/>
      <c r="D48" s="82"/>
      <c r="E48" s="39" t="s">
        <v>93</v>
      </c>
      <c r="F48" s="40"/>
      <c r="G48" s="41"/>
      <c r="H48" s="42"/>
      <c r="J48" s="36"/>
      <c r="K48" s="36"/>
      <c r="L48" s="36"/>
    </row>
    <row r="49" spans="1:12" ht="13.05" customHeight="1">
      <c r="A49" s="88"/>
      <c r="B49" s="86"/>
      <c r="C49" s="47"/>
      <c r="D49" s="82"/>
      <c r="E49" s="39"/>
      <c r="F49" s="40"/>
      <c r="G49" s="41"/>
      <c r="H49" s="42"/>
      <c r="J49" s="36"/>
      <c r="K49" s="36"/>
      <c r="L49" s="36"/>
    </row>
    <row r="50" spans="1:12" ht="13.05" customHeight="1">
      <c r="A50" s="88" t="s">
        <v>87</v>
      </c>
      <c r="B50" s="86" t="s">
        <v>560</v>
      </c>
      <c r="C50" s="47"/>
      <c r="D50" s="82"/>
      <c r="E50" s="39" t="s">
        <v>93</v>
      </c>
      <c r="F50" s="40"/>
      <c r="G50" s="41"/>
      <c r="H50" s="42"/>
      <c r="J50" s="36"/>
    </row>
    <row r="51" spans="1:12" ht="13.05" customHeight="1">
      <c r="A51" s="88"/>
      <c r="B51" s="86"/>
      <c r="C51" s="47"/>
      <c r="D51" s="13"/>
      <c r="E51" s="39"/>
      <c r="F51" s="40"/>
      <c r="G51" s="41"/>
      <c r="H51" s="42"/>
      <c r="J51" s="36"/>
    </row>
    <row r="52" spans="1:12" ht="13.05" customHeight="1">
      <c r="A52" s="84" t="s">
        <v>136</v>
      </c>
      <c r="B52" s="85" t="s">
        <v>561</v>
      </c>
      <c r="C52" s="86"/>
      <c r="D52" s="86"/>
      <c r="E52" s="87" t="s">
        <v>93</v>
      </c>
      <c r="F52" s="33"/>
      <c r="G52" s="34"/>
      <c r="H52" s="35"/>
      <c r="J52" s="36"/>
      <c r="K52" s="94"/>
      <c r="L52"/>
    </row>
    <row r="53" spans="1:12" ht="13.05" customHeight="1">
      <c r="A53" s="84"/>
      <c r="B53" s="85"/>
      <c r="C53" s="86"/>
      <c r="D53" s="86"/>
      <c r="E53" s="87"/>
      <c r="F53" s="33"/>
      <c r="G53" s="34"/>
      <c r="H53" s="35"/>
      <c r="J53" s="36"/>
      <c r="K53" s="94"/>
      <c r="L53"/>
    </row>
    <row r="54" spans="1:12" ht="13.05" customHeight="1">
      <c r="A54" s="84" t="s">
        <v>464</v>
      </c>
      <c r="B54" s="85" t="s">
        <v>562</v>
      </c>
      <c r="C54" s="86"/>
      <c r="D54" s="86"/>
      <c r="E54" s="87" t="s">
        <v>93</v>
      </c>
      <c r="F54" s="33"/>
      <c r="G54" s="34"/>
      <c r="H54" s="35"/>
      <c r="J54" s="36"/>
      <c r="K54" s="43"/>
      <c r="L54"/>
    </row>
    <row r="55" spans="1:12" ht="13.05" customHeight="1">
      <c r="A55" s="84"/>
      <c r="B55" s="85"/>
      <c r="C55" s="86"/>
      <c r="D55" s="86"/>
      <c r="E55" s="87"/>
      <c r="F55" s="33"/>
      <c r="G55" s="34"/>
      <c r="H55" s="35"/>
      <c r="J55" s="36"/>
      <c r="K55" s="43"/>
      <c r="L55"/>
    </row>
    <row r="56" spans="1:12" ht="13.05" customHeight="1">
      <c r="A56" s="84" t="s">
        <v>471</v>
      </c>
      <c r="B56" s="85" t="s">
        <v>563</v>
      </c>
      <c r="C56" s="86"/>
      <c r="D56" s="86"/>
      <c r="E56" s="87" t="s">
        <v>46</v>
      </c>
      <c r="F56" s="33"/>
      <c r="G56" s="34"/>
      <c r="H56" s="35"/>
      <c r="J56" s="36"/>
      <c r="K56" s="43"/>
      <c r="L56" s="73"/>
    </row>
    <row r="57" spans="1:12" ht="13.05" customHeight="1">
      <c r="A57" s="84"/>
      <c r="B57" s="85"/>
      <c r="C57" s="86"/>
      <c r="D57" s="86"/>
      <c r="E57" s="87"/>
      <c r="F57" s="33"/>
      <c r="G57" s="34"/>
      <c r="H57" s="35"/>
      <c r="J57" s="36"/>
      <c r="K57" s="43"/>
      <c r="L57" s="73"/>
    </row>
    <row r="58" spans="1:12" ht="13.05" customHeight="1">
      <c r="A58" s="84" t="s">
        <v>473</v>
      </c>
      <c r="B58" s="85" t="s">
        <v>564</v>
      </c>
      <c r="C58" s="86"/>
      <c r="D58" s="86"/>
      <c r="E58" s="87" t="s">
        <v>46</v>
      </c>
      <c r="F58" s="33"/>
      <c r="G58" s="34"/>
      <c r="H58" s="35"/>
      <c r="J58" s="36"/>
      <c r="K58" s="94"/>
      <c r="L58"/>
    </row>
    <row r="59" spans="1:12" ht="13.05" customHeight="1">
      <c r="A59" s="88"/>
      <c r="B59" s="86"/>
      <c r="C59" s="86"/>
      <c r="D59" s="86"/>
      <c r="E59" s="87"/>
      <c r="F59" s="33"/>
      <c r="G59" s="34"/>
      <c r="H59" s="35"/>
      <c r="J59" s="36"/>
      <c r="K59" s="43"/>
      <c r="L59"/>
    </row>
    <row r="60" spans="1:12" ht="13.05" customHeight="1">
      <c r="A60" s="88"/>
      <c r="B60" s="86"/>
      <c r="C60" s="47"/>
      <c r="D60" s="82"/>
      <c r="E60" s="39"/>
      <c r="F60" s="40"/>
      <c r="G60" s="41"/>
      <c r="H60" s="42"/>
      <c r="J60" s="36"/>
    </row>
    <row r="61" spans="1:12" ht="13.05" customHeight="1">
      <c r="A61" s="37"/>
      <c r="B61" s="38"/>
      <c r="C61" s="13"/>
      <c r="D61" s="13"/>
      <c r="E61" s="39"/>
      <c r="F61" s="40"/>
      <c r="G61" s="41"/>
      <c r="H61" s="42"/>
      <c r="J61" s="36"/>
    </row>
    <row r="62" spans="1:12" ht="13.05" customHeight="1" thickBot="1">
      <c r="A62" s="49"/>
      <c r="B62" s="50"/>
      <c r="C62" s="50"/>
      <c r="D62" s="50"/>
      <c r="E62" s="51"/>
      <c r="F62" s="52"/>
      <c r="G62" s="53"/>
      <c r="H62" s="54"/>
      <c r="J62"/>
    </row>
    <row r="63" spans="1:12" ht="20.100000000000001" customHeight="1" thickTop="1">
      <c r="A63" s="366" t="s">
        <v>62</v>
      </c>
      <c r="B63" s="367"/>
      <c r="C63" s="367"/>
      <c r="D63" s="368"/>
      <c r="E63" s="55"/>
      <c r="F63" s="56"/>
      <c r="G63" s="57"/>
      <c r="H63" s="58"/>
      <c r="J63"/>
    </row>
    <row r="64" spans="1:12" ht="20.100000000000001" customHeight="1">
      <c r="A64" s="369" t="s">
        <v>63</v>
      </c>
      <c r="B64" s="370"/>
      <c r="C64" s="370"/>
      <c r="D64" s="371"/>
      <c r="E64" s="59"/>
      <c r="F64" s="60"/>
      <c r="G64" s="61"/>
      <c r="H64" s="62"/>
      <c r="J64"/>
    </row>
    <row r="65" spans="1:10" ht="20.100000000000001" customHeight="1" thickBot="1">
      <c r="A65" s="352" t="s">
        <v>64</v>
      </c>
      <c r="B65" s="353"/>
      <c r="C65" s="353"/>
      <c r="D65" s="354"/>
      <c r="E65" s="63"/>
      <c r="F65" s="64"/>
      <c r="G65" s="65"/>
      <c r="H65" s="66"/>
      <c r="J65"/>
    </row>
    <row r="66" spans="1:10" ht="15.6" thickTop="1">
      <c r="J66"/>
    </row>
    <row r="67" spans="1:10">
      <c r="J67"/>
    </row>
    <row r="68" spans="1:10">
      <c r="J68"/>
    </row>
    <row r="90" spans="10:10">
      <c r="J90" s="68"/>
    </row>
  </sheetData>
  <mergeCells count="6">
    <mergeCell ref="A65:D65"/>
    <mergeCell ref="A1:H1"/>
    <mergeCell ref="A2:H2"/>
    <mergeCell ref="B3:D3"/>
    <mergeCell ref="A63:D63"/>
    <mergeCell ref="A64:D64"/>
  </mergeCells>
  <phoneticPr fontId="15" type="noConversion"/>
  <pageMargins left="0.70866141732283472" right="0.70866141732283472" top="0.74803149606299213" bottom="0.74803149606299213" header="0.31496062992125984" footer="0.31496062992125984"/>
  <pageSetup paperSize="9" scale="66" fitToHeight="11" orientation="portrait" horizontalDpi="0" verticalDpi="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6B219-86B7-4BAD-ACC5-81F9333678FA}">
  <sheetPr codeName="Feuil11">
    <pageSetUpPr fitToPage="1"/>
  </sheetPr>
  <dimension ref="A1:L165"/>
  <sheetViews>
    <sheetView showZeros="0" zoomScale="80" zoomScaleNormal="80" workbookViewId="0">
      <selection activeCell="A6" sqref="A6:H6"/>
    </sheetView>
  </sheetViews>
  <sheetFormatPr baseColWidth="10" defaultColWidth="11.44140625" defaultRowHeight="15"/>
  <cols>
    <col min="1" max="1" width="9.77734375" style="1" customWidth="1"/>
    <col min="2" max="2" width="5.21875" style="1" customWidth="1"/>
    <col min="3" max="3" width="18.77734375" style="1" customWidth="1"/>
    <col min="4" max="4" width="36.777343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565</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t="s">
        <v>43</v>
      </c>
      <c r="C5" s="28"/>
      <c r="D5" s="28"/>
      <c r="E5" s="29"/>
      <c r="F5" s="30"/>
      <c r="G5" s="31"/>
      <c r="H5" s="32"/>
    </row>
    <row r="6" spans="1:12" ht="34.950000000000003" customHeight="1">
      <c r="A6" s="372" t="s">
        <v>1525</v>
      </c>
      <c r="B6" s="373"/>
      <c r="C6" s="373"/>
      <c r="D6" s="373"/>
      <c r="E6" s="373"/>
      <c r="F6" s="373"/>
      <c r="G6" s="373"/>
      <c r="H6" s="374"/>
      <c r="J6"/>
      <c r="K6"/>
      <c r="L6"/>
    </row>
    <row r="7" spans="1:12" ht="13.05" customHeight="1">
      <c r="A7" s="26"/>
      <c r="B7" s="28"/>
      <c r="C7" s="28"/>
      <c r="D7" s="28"/>
      <c r="E7" s="29"/>
      <c r="F7" s="33"/>
      <c r="G7" s="34"/>
      <c r="H7" s="35"/>
      <c r="J7"/>
      <c r="K7"/>
      <c r="L7"/>
    </row>
    <row r="8" spans="1:12" ht="13.05" customHeight="1">
      <c r="A8" s="84" t="s">
        <v>66</v>
      </c>
      <c r="B8" s="85" t="s">
        <v>352</v>
      </c>
      <c r="C8" s="86"/>
      <c r="D8" s="86"/>
      <c r="E8" s="87" t="s">
        <v>70</v>
      </c>
      <c r="F8" s="33"/>
      <c r="G8" s="34"/>
      <c r="H8" s="35"/>
      <c r="J8"/>
      <c r="K8"/>
      <c r="L8"/>
    </row>
    <row r="9" spans="1:12" ht="13.05" customHeight="1">
      <c r="A9" s="84"/>
      <c r="B9" s="85"/>
      <c r="C9" s="86"/>
      <c r="D9" s="86"/>
      <c r="E9" s="87"/>
      <c r="F9" s="33"/>
      <c r="G9" s="34"/>
      <c r="H9" s="35"/>
      <c r="J9"/>
      <c r="K9" s="43"/>
      <c r="L9"/>
    </row>
    <row r="10" spans="1:12" ht="13.05" customHeight="1">
      <c r="A10" s="84" t="s">
        <v>68</v>
      </c>
      <c r="B10" s="85" t="s">
        <v>67</v>
      </c>
      <c r="C10" s="86"/>
      <c r="D10" s="86"/>
      <c r="E10" s="87" t="s">
        <v>70</v>
      </c>
      <c r="F10" s="33"/>
      <c r="G10" s="34"/>
      <c r="H10" s="35"/>
      <c r="J10"/>
      <c r="K10" s="73"/>
      <c r="L10"/>
    </row>
    <row r="11" spans="1:12" ht="13.05" customHeight="1">
      <c r="A11" s="84"/>
      <c r="B11" s="85"/>
      <c r="C11" s="86"/>
      <c r="D11" s="86"/>
      <c r="E11" s="87"/>
      <c r="F11" s="33"/>
      <c r="G11" s="34"/>
      <c r="H11" s="35"/>
      <c r="J11"/>
      <c r="K11" s="73"/>
      <c r="L11"/>
    </row>
    <row r="12" spans="1:12" ht="13.05" customHeight="1">
      <c r="A12" s="84" t="s">
        <v>71</v>
      </c>
      <c r="B12" s="85" t="s">
        <v>353</v>
      </c>
      <c r="C12" s="86"/>
      <c r="D12" s="86"/>
      <c r="E12" s="87" t="s">
        <v>70</v>
      </c>
      <c r="F12" s="33"/>
      <c r="G12" s="34"/>
      <c r="H12" s="35"/>
      <c r="J12"/>
      <c r="K12" s="43"/>
      <c r="L12"/>
    </row>
    <row r="13" spans="1:12" ht="13.05" customHeight="1">
      <c r="A13" s="84"/>
      <c r="B13" s="85"/>
      <c r="C13" s="86"/>
      <c r="D13" s="86"/>
      <c r="E13" s="87"/>
      <c r="F13" s="33"/>
      <c r="G13" s="34"/>
      <c r="H13" s="35"/>
      <c r="J13"/>
      <c r="K13" s="73"/>
      <c r="L13"/>
    </row>
    <row r="14" spans="1:12" ht="13.05" customHeight="1">
      <c r="A14" s="84" t="s">
        <v>73</v>
      </c>
      <c r="B14" s="85" t="s">
        <v>566</v>
      </c>
      <c r="C14" s="86"/>
      <c r="D14" s="86"/>
      <c r="E14" s="87" t="s">
        <v>93</v>
      </c>
      <c r="F14" s="33"/>
      <c r="G14" s="34"/>
      <c r="H14" s="35"/>
      <c r="J14"/>
      <c r="K14" s="73"/>
      <c r="L14"/>
    </row>
    <row r="15" spans="1:12" ht="13.05" customHeight="1">
      <c r="A15" s="84"/>
      <c r="B15" s="85"/>
      <c r="C15" s="86"/>
      <c r="D15" s="86"/>
      <c r="E15" s="87"/>
      <c r="F15" s="33"/>
      <c r="G15" s="34"/>
      <c r="H15" s="35"/>
      <c r="J15"/>
      <c r="K15" s="43"/>
      <c r="L15"/>
    </row>
    <row r="16" spans="1:12" ht="13.05" customHeight="1">
      <c r="A16" s="84" t="s">
        <v>76</v>
      </c>
      <c r="B16" s="85" t="s">
        <v>490</v>
      </c>
      <c r="C16" s="86"/>
      <c r="D16" s="86"/>
      <c r="E16" s="87"/>
      <c r="F16" s="33"/>
      <c r="G16" s="34"/>
      <c r="H16" s="35"/>
      <c r="J16"/>
      <c r="K16" s="73"/>
      <c r="L16"/>
    </row>
    <row r="17" spans="1:12" ht="13.05" customHeight="1">
      <c r="A17" s="84"/>
      <c r="B17" s="85"/>
      <c r="C17" s="86"/>
      <c r="D17" s="86"/>
      <c r="E17" s="87"/>
      <c r="F17" s="33"/>
      <c r="G17" s="34"/>
      <c r="H17" s="35"/>
      <c r="J17"/>
      <c r="K17" s="43"/>
      <c r="L17"/>
    </row>
    <row r="18" spans="1:12" ht="13.05" customHeight="1">
      <c r="A18" s="88" t="s">
        <v>535</v>
      </c>
      <c r="B18" s="86" t="s">
        <v>567</v>
      </c>
      <c r="C18" s="86"/>
      <c r="D18" s="86"/>
      <c r="E18" s="87" t="s">
        <v>46</v>
      </c>
      <c r="F18" s="33"/>
      <c r="G18" s="34"/>
      <c r="H18" s="35"/>
      <c r="J18"/>
      <c r="K18" s="73"/>
      <c r="L18"/>
    </row>
    <row r="19" spans="1:12" ht="13.05" customHeight="1">
      <c r="A19" s="88"/>
      <c r="B19" s="86"/>
      <c r="C19" s="86"/>
      <c r="D19" s="86"/>
      <c r="E19" s="87"/>
      <c r="F19" s="33"/>
      <c r="G19" s="34"/>
      <c r="H19" s="35"/>
      <c r="J19"/>
      <c r="K19" s="73"/>
      <c r="L19"/>
    </row>
    <row r="20" spans="1:12" ht="13.05" customHeight="1">
      <c r="A20" s="88" t="s">
        <v>537</v>
      </c>
      <c r="B20" s="86" t="s">
        <v>568</v>
      </c>
      <c r="C20" s="86"/>
      <c r="D20" s="86"/>
      <c r="E20" s="87" t="s">
        <v>70</v>
      </c>
      <c r="F20" s="33"/>
      <c r="G20" s="34"/>
      <c r="H20" s="35"/>
      <c r="J20"/>
      <c r="K20" s="73"/>
      <c r="L20"/>
    </row>
    <row r="21" spans="1:12" ht="13.05" customHeight="1">
      <c r="A21" s="88"/>
      <c r="B21" s="86"/>
      <c r="C21" s="86"/>
      <c r="D21" s="86"/>
      <c r="E21" s="87"/>
      <c r="F21" s="33"/>
      <c r="G21" s="34"/>
      <c r="H21" s="35"/>
      <c r="J21"/>
      <c r="K21" s="73"/>
      <c r="L21"/>
    </row>
    <row r="22" spans="1:12" ht="13.05" customHeight="1">
      <c r="A22" s="88" t="s">
        <v>542</v>
      </c>
      <c r="B22" s="86" t="s">
        <v>569</v>
      </c>
      <c r="C22" s="86"/>
      <c r="D22" s="86"/>
      <c r="E22" s="87" t="s">
        <v>70</v>
      </c>
      <c r="F22" s="33"/>
      <c r="G22" s="34"/>
      <c r="H22" s="35"/>
      <c r="J22"/>
      <c r="K22" s="43"/>
      <c r="L22"/>
    </row>
    <row r="23" spans="1:12" ht="13.05" customHeight="1">
      <c r="A23" s="88"/>
      <c r="B23" s="86"/>
      <c r="C23" s="86"/>
      <c r="D23" s="86"/>
      <c r="E23" s="87"/>
      <c r="F23" s="33"/>
      <c r="G23" s="34"/>
      <c r="H23" s="35"/>
      <c r="J23"/>
      <c r="K23" s="73"/>
      <c r="L23"/>
    </row>
    <row r="24" spans="1:12" ht="13.05" customHeight="1">
      <c r="A24" s="88" t="s">
        <v>544</v>
      </c>
      <c r="B24" s="86" t="s">
        <v>570</v>
      </c>
      <c r="C24" s="86"/>
      <c r="D24" s="86"/>
      <c r="E24" s="87" t="s">
        <v>70</v>
      </c>
      <c r="F24" s="33"/>
      <c r="G24" s="34"/>
      <c r="H24" s="35"/>
      <c r="J24"/>
      <c r="K24" s="73"/>
      <c r="L24"/>
    </row>
    <row r="25" spans="1:12" ht="13.05" customHeight="1">
      <c r="A25" s="88"/>
      <c r="B25" s="86"/>
      <c r="C25" s="86"/>
      <c r="D25" s="86"/>
      <c r="E25" s="87"/>
      <c r="F25" s="33"/>
      <c r="G25" s="34"/>
      <c r="H25" s="35"/>
      <c r="J25"/>
      <c r="K25" s="73"/>
      <c r="L25"/>
    </row>
    <row r="26" spans="1:12" ht="13.05" customHeight="1">
      <c r="A26" s="88" t="s">
        <v>546</v>
      </c>
      <c r="B26" s="86" t="s">
        <v>571</v>
      </c>
      <c r="C26" s="86"/>
      <c r="D26" s="86"/>
      <c r="E26" s="87" t="s">
        <v>70</v>
      </c>
      <c r="F26" s="33"/>
      <c r="G26" s="34"/>
      <c r="H26" s="35"/>
      <c r="J26"/>
      <c r="K26" s="73"/>
      <c r="L26"/>
    </row>
    <row r="27" spans="1:12" ht="13.05" customHeight="1">
      <c r="A27" s="88"/>
      <c r="B27" s="86"/>
      <c r="C27" s="86"/>
      <c r="D27" s="86"/>
      <c r="E27" s="87"/>
      <c r="F27" s="33"/>
      <c r="G27" s="34"/>
      <c r="H27" s="35"/>
      <c r="J27"/>
      <c r="K27" s="73"/>
      <c r="L27"/>
    </row>
    <row r="28" spans="1:12" ht="13.05" customHeight="1">
      <c r="A28" s="88" t="s">
        <v>548</v>
      </c>
      <c r="B28" s="86" t="s">
        <v>572</v>
      </c>
      <c r="C28" s="86"/>
      <c r="D28" s="86"/>
      <c r="E28" s="87"/>
      <c r="F28" s="33"/>
      <c r="G28" s="34"/>
      <c r="H28" s="35"/>
      <c r="J28"/>
      <c r="K28" s="73"/>
      <c r="L28"/>
    </row>
    <row r="29" spans="1:12" ht="13.05" customHeight="1">
      <c r="A29" s="88"/>
      <c r="B29" s="86"/>
      <c r="C29" s="86"/>
      <c r="D29" s="86"/>
      <c r="E29" s="87"/>
      <c r="F29" s="33"/>
      <c r="G29" s="34"/>
      <c r="H29" s="35"/>
      <c r="J29"/>
      <c r="K29" s="73"/>
      <c r="L29"/>
    </row>
    <row r="30" spans="1:12" ht="13.05" customHeight="1">
      <c r="A30" s="88" t="s">
        <v>573</v>
      </c>
      <c r="B30" s="86" t="s">
        <v>574</v>
      </c>
      <c r="C30" s="86"/>
      <c r="D30" s="86"/>
      <c r="E30" s="87"/>
      <c r="F30" s="33"/>
      <c r="G30" s="34"/>
      <c r="H30" s="35"/>
      <c r="J30"/>
      <c r="K30" s="73"/>
      <c r="L30"/>
    </row>
    <row r="31" spans="1:12" ht="13.05" customHeight="1">
      <c r="A31" s="88"/>
      <c r="B31" s="86"/>
      <c r="C31" s="86" t="s">
        <v>575</v>
      </c>
      <c r="D31" s="86"/>
      <c r="E31" s="87" t="s">
        <v>93</v>
      </c>
      <c r="F31" s="33"/>
      <c r="G31" s="34"/>
      <c r="H31" s="35"/>
      <c r="J31"/>
      <c r="K31" s="73"/>
      <c r="L31"/>
    </row>
    <row r="32" spans="1:12" ht="13.05" customHeight="1">
      <c r="A32" s="88"/>
      <c r="B32" s="86"/>
      <c r="C32" s="86" t="s">
        <v>576</v>
      </c>
      <c r="D32" s="86"/>
      <c r="E32" s="87" t="s">
        <v>93</v>
      </c>
      <c r="F32" s="33"/>
      <c r="G32" s="34"/>
      <c r="H32" s="35"/>
      <c r="J32"/>
      <c r="K32" s="43"/>
      <c r="L32"/>
    </row>
    <row r="33" spans="1:12" ht="13.05" customHeight="1">
      <c r="A33" s="88"/>
      <c r="B33" s="86"/>
      <c r="C33" s="86"/>
      <c r="D33" s="86"/>
      <c r="E33" s="87"/>
      <c r="F33" s="33"/>
      <c r="G33" s="34"/>
      <c r="H33" s="35"/>
      <c r="J33"/>
      <c r="K33" s="73"/>
      <c r="L33"/>
    </row>
    <row r="34" spans="1:12" ht="13.05" customHeight="1">
      <c r="A34" s="88" t="s">
        <v>577</v>
      </c>
      <c r="B34" s="86" t="s">
        <v>578</v>
      </c>
      <c r="C34" s="86"/>
      <c r="D34" s="86"/>
      <c r="E34" s="87"/>
      <c r="F34" s="33"/>
      <c r="G34" s="34"/>
      <c r="H34" s="35"/>
      <c r="J34"/>
      <c r="K34" s="73"/>
      <c r="L34"/>
    </row>
    <row r="35" spans="1:12" ht="13.05" customHeight="1">
      <c r="A35" s="88"/>
      <c r="B35" s="86"/>
      <c r="C35" s="86" t="s">
        <v>579</v>
      </c>
      <c r="D35" s="86"/>
      <c r="E35" s="87" t="s">
        <v>93</v>
      </c>
      <c r="F35" s="33"/>
      <c r="G35" s="34"/>
      <c r="H35" s="35"/>
      <c r="J35"/>
      <c r="K35" s="73"/>
      <c r="L35"/>
    </row>
    <row r="36" spans="1:12" ht="13.05" customHeight="1">
      <c r="A36" s="88"/>
      <c r="B36" s="86"/>
      <c r="C36" s="86" t="s">
        <v>580</v>
      </c>
      <c r="D36" s="86"/>
      <c r="E36" s="87" t="s">
        <v>93</v>
      </c>
      <c r="F36" s="33"/>
      <c r="G36" s="34"/>
      <c r="H36" s="35"/>
      <c r="J36"/>
      <c r="K36" s="73"/>
      <c r="L36"/>
    </row>
    <row r="37" spans="1:12" ht="13.05" customHeight="1">
      <c r="A37" s="88"/>
      <c r="B37" s="86"/>
      <c r="C37" s="86" t="s">
        <v>581</v>
      </c>
      <c r="D37" s="86"/>
      <c r="E37" s="87" t="s">
        <v>93</v>
      </c>
      <c r="F37" s="33"/>
      <c r="G37" s="34"/>
      <c r="H37" s="35"/>
      <c r="J37"/>
      <c r="K37" s="73"/>
      <c r="L37"/>
    </row>
    <row r="38" spans="1:12" ht="13.05" customHeight="1">
      <c r="A38" s="88"/>
      <c r="B38" s="86"/>
      <c r="C38" s="86" t="s">
        <v>582</v>
      </c>
      <c r="D38" s="86"/>
      <c r="E38" s="87" t="s">
        <v>93</v>
      </c>
      <c r="F38" s="33"/>
      <c r="G38" s="34"/>
      <c r="H38" s="35"/>
      <c r="J38"/>
      <c r="K38" s="73"/>
      <c r="L38"/>
    </row>
    <row r="39" spans="1:12" ht="13.05" customHeight="1">
      <c r="A39" s="88"/>
      <c r="B39" s="86"/>
      <c r="C39" s="86" t="s">
        <v>583</v>
      </c>
      <c r="D39" s="86"/>
      <c r="E39" s="87" t="s">
        <v>93</v>
      </c>
      <c r="F39" s="33"/>
      <c r="G39" s="34"/>
      <c r="H39" s="35"/>
      <c r="J39"/>
      <c r="K39" s="73"/>
      <c r="L39"/>
    </row>
    <row r="40" spans="1:12" ht="13.05" customHeight="1">
      <c r="A40" s="88"/>
      <c r="B40" s="86"/>
      <c r="C40" s="86" t="s">
        <v>584</v>
      </c>
      <c r="D40" s="86"/>
      <c r="E40" s="87" t="s">
        <v>93</v>
      </c>
      <c r="F40" s="33"/>
      <c r="G40" s="34"/>
      <c r="H40" s="35"/>
      <c r="J40"/>
      <c r="K40" s="73"/>
      <c r="L40"/>
    </row>
    <row r="41" spans="1:12" ht="13.05" customHeight="1">
      <c r="A41" s="88"/>
      <c r="B41" s="86"/>
      <c r="C41" s="86"/>
      <c r="D41" s="86"/>
      <c r="E41" s="87"/>
      <c r="F41" s="33"/>
      <c r="G41" s="34"/>
      <c r="H41" s="35"/>
      <c r="J41"/>
      <c r="K41" s="73"/>
      <c r="L41"/>
    </row>
    <row r="42" spans="1:12" ht="13.05" customHeight="1">
      <c r="A42" s="88"/>
      <c r="B42" s="86"/>
      <c r="C42" s="86" t="s">
        <v>585</v>
      </c>
      <c r="D42" s="86" t="s">
        <v>586</v>
      </c>
      <c r="E42" s="87" t="s">
        <v>93</v>
      </c>
      <c r="F42" s="33"/>
      <c r="G42" s="34"/>
      <c r="H42" s="35"/>
      <c r="J42"/>
      <c r="K42" s="73"/>
      <c r="L42"/>
    </row>
    <row r="43" spans="1:12" ht="13.05" customHeight="1">
      <c r="A43" s="88"/>
      <c r="B43" s="86"/>
      <c r="C43" s="86" t="s">
        <v>585</v>
      </c>
      <c r="D43" s="86" t="s">
        <v>587</v>
      </c>
      <c r="E43" s="87" t="s">
        <v>93</v>
      </c>
      <c r="F43" s="33"/>
      <c r="G43" s="34"/>
      <c r="H43" s="35"/>
      <c r="J43"/>
      <c r="K43" s="73"/>
      <c r="L43"/>
    </row>
    <row r="44" spans="1:12" ht="13.05" customHeight="1">
      <c r="A44" s="88"/>
      <c r="B44" s="86"/>
      <c r="C44" s="86"/>
      <c r="D44" s="86"/>
      <c r="E44" s="87"/>
      <c r="F44" s="33"/>
      <c r="G44" s="34"/>
      <c r="H44" s="35"/>
      <c r="J44"/>
      <c r="K44" s="73"/>
      <c r="L44"/>
    </row>
    <row r="45" spans="1:12" ht="13.05" customHeight="1">
      <c r="A45" s="88" t="s">
        <v>588</v>
      </c>
      <c r="B45" s="86" t="s">
        <v>589</v>
      </c>
      <c r="C45" s="86"/>
      <c r="D45" s="86"/>
      <c r="E45" s="87" t="s">
        <v>93</v>
      </c>
      <c r="F45" s="33"/>
      <c r="G45" s="34"/>
      <c r="H45" s="35"/>
      <c r="J45"/>
      <c r="K45" s="43"/>
      <c r="L45"/>
    </row>
    <row r="46" spans="1:12" ht="13.05" customHeight="1">
      <c r="A46" s="88"/>
      <c r="B46" s="86"/>
      <c r="C46" s="86"/>
      <c r="D46" s="86"/>
      <c r="E46" s="87"/>
      <c r="F46" s="33"/>
      <c r="G46" s="34"/>
      <c r="H46" s="35"/>
      <c r="J46"/>
      <c r="K46" s="73"/>
      <c r="L46"/>
    </row>
    <row r="47" spans="1:12" ht="13.05" customHeight="1">
      <c r="A47" s="88" t="s">
        <v>590</v>
      </c>
      <c r="B47" s="86" t="s">
        <v>591</v>
      </c>
      <c r="C47" s="86"/>
      <c r="D47" s="86"/>
      <c r="E47" s="87"/>
      <c r="F47" s="33"/>
      <c r="G47" s="34"/>
      <c r="H47" s="35"/>
      <c r="J47"/>
      <c r="K47" s="73"/>
      <c r="L47"/>
    </row>
    <row r="48" spans="1:12" ht="13.05" customHeight="1">
      <c r="A48" s="88"/>
      <c r="B48" s="86"/>
      <c r="C48" s="86" t="s">
        <v>592</v>
      </c>
      <c r="D48" s="86"/>
      <c r="E48" s="87" t="s">
        <v>93</v>
      </c>
      <c r="F48" s="33"/>
      <c r="G48" s="34"/>
      <c r="H48" s="35"/>
      <c r="J48"/>
      <c r="K48" s="73"/>
      <c r="L48"/>
    </row>
    <row r="49" spans="1:12" ht="13.05" customHeight="1">
      <c r="A49" s="88"/>
      <c r="B49" s="86"/>
      <c r="C49" s="86" t="s">
        <v>593</v>
      </c>
      <c r="D49" s="86"/>
      <c r="E49" s="87" t="s">
        <v>93</v>
      </c>
      <c r="F49" s="33"/>
      <c r="G49" s="34"/>
      <c r="H49" s="35"/>
      <c r="J49"/>
      <c r="K49" s="73"/>
      <c r="L49"/>
    </row>
    <row r="50" spans="1:12" ht="13.05" customHeight="1">
      <c r="A50" s="88"/>
      <c r="B50" s="86"/>
      <c r="C50" s="86"/>
      <c r="D50" s="86"/>
      <c r="E50" s="87"/>
      <c r="F50" s="33"/>
      <c r="G50" s="34"/>
      <c r="H50" s="35"/>
      <c r="J50"/>
      <c r="K50" s="73"/>
      <c r="L50"/>
    </row>
    <row r="51" spans="1:12" ht="13.05" customHeight="1">
      <c r="A51" s="88" t="s">
        <v>594</v>
      </c>
      <c r="B51" s="86" t="s">
        <v>595</v>
      </c>
      <c r="C51" s="86"/>
      <c r="D51" s="86"/>
      <c r="E51" s="87" t="s">
        <v>93</v>
      </c>
      <c r="F51" s="33"/>
      <c r="G51" s="34"/>
      <c r="H51" s="35"/>
      <c r="J51"/>
      <c r="K51"/>
      <c r="L51"/>
    </row>
    <row r="52" spans="1:12" ht="13.05" customHeight="1">
      <c r="A52" s="88"/>
      <c r="B52" s="86"/>
      <c r="C52" s="86"/>
      <c r="D52" s="86"/>
      <c r="E52" s="87"/>
      <c r="F52" s="33"/>
      <c r="G52" s="34"/>
      <c r="H52" s="35"/>
      <c r="J52"/>
      <c r="K52"/>
      <c r="L52"/>
    </row>
    <row r="53" spans="1:12" ht="13.05" customHeight="1">
      <c r="A53" s="88" t="s">
        <v>596</v>
      </c>
      <c r="B53" s="86" t="s">
        <v>597</v>
      </c>
      <c r="C53" s="86"/>
      <c r="D53" s="86"/>
      <c r="E53" s="87" t="s">
        <v>93</v>
      </c>
      <c r="F53" s="33"/>
      <c r="G53" s="34"/>
      <c r="H53" s="35"/>
      <c r="J53"/>
      <c r="K53"/>
      <c r="L53"/>
    </row>
    <row r="54" spans="1:12" ht="13.05" customHeight="1">
      <c r="A54" s="88"/>
      <c r="B54" s="86"/>
      <c r="C54" s="86"/>
      <c r="D54" s="86"/>
      <c r="E54" s="87"/>
      <c r="F54" s="33"/>
      <c r="G54" s="34"/>
      <c r="H54" s="35"/>
      <c r="J54"/>
      <c r="K54"/>
      <c r="L54"/>
    </row>
    <row r="55" spans="1:12" ht="13.05" customHeight="1">
      <c r="A55" s="84" t="s">
        <v>78</v>
      </c>
      <c r="B55" s="85" t="s">
        <v>598</v>
      </c>
      <c r="C55" s="86"/>
      <c r="D55" s="86"/>
      <c r="E55" s="87"/>
      <c r="F55" s="33"/>
      <c r="G55" s="34"/>
      <c r="H55" s="35"/>
      <c r="J55"/>
      <c r="K55"/>
      <c r="L55"/>
    </row>
    <row r="56" spans="1:12" ht="13.05" customHeight="1">
      <c r="A56" s="84"/>
      <c r="B56" s="85"/>
      <c r="C56" s="86"/>
      <c r="D56" s="86"/>
      <c r="E56" s="87"/>
      <c r="F56" s="33"/>
      <c r="G56" s="34"/>
      <c r="H56" s="35"/>
      <c r="J56"/>
      <c r="K56"/>
      <c r="L56"/>
    </row>
    <row r="57" spans="1:12" ht="13.05" customHeight="1">
      <c r="A57" s="88" t="s">
        <v>357</v>
      </c>
      <c r="B57" s="86" t="s">
        <v>599</v>
      </c>
      <c r="C57" s="86"/>
      <c r="D57" s="86"/>
      <c r="E57" s="87" t="s">
        <v>52</v>
      </c>
      <c r="F57" s="33"/>
      <c r="G57" s="34"/>
      <c r="H57" s="35"/>
      <c r="J57"/>
      <c r="K57"/>
      <c r="L57"/>
    </row>
    <row r="58" spans="1:12" ht="13.05" customHeight="1">
      <c r="A58" s="88"/>
      <c r="B58" s="86"/>
      <c r="C58" s="86"/>
      <c r="D58" s="86"/>
      <c r="E58" s="87"/>
      <c r="F58" s="33"/>
      <c r="G58" s="34"/>
      <c r="H58" s="35"/>
      <c r="J58"/>
      <c r="K58"/>
      <c r="L58"/>
    </row>
    <row r="59" spans="1:12" ht="13.05" customHeight="1">
      <c r="A59" s="88" t="s">
        <v>359</v>
      </c>
      <c r="B59" s="86" t="s">
        <v>600</v>
      </c>
      <c r="C59" s="86"/>
      <c r="D59" s="86"/>
      <c r="E59" s="87" t="s">
        <v>52</v>
      </c>
      <c r="F59" s="33"/>
      <c r="G59" s="34"/>
      <c r="H59" s="35"/>
      <c r="J59"/>
      <c r="K59"/>
      <c r="L59"/>
    </row>
    <row r="60" spans="1:12" ht="13.05" customHeight="1">
      <c r="A60" s="88"/>
      <c r="B60" s="86"/>
      <c r="C60" s="86"/>
      <c r="D60" s="86"/>
      <c r="E60" s="87"/>
      <c r="F60" s="33"/>
      <c r="G60" s="34"/>
      <c r="H60" s="35"/>
      <c r="J60"/>
      <c r="K60"/>
      <c r="L60"/>
    </row>
    <row r="61" spans="1:12" ht="13.05" customHeight="1">
      <c r="A61" s="88" t="s">
        <v>361</v>
      </c>
      <c r="B61" s="86" t="s">
        <v>601</v>
      </c>
      <c r="C61" s="86"/>
      <c r="D61" s="86"/>
      <c r="E61" s="87" t="s">
        <v>52</v>
      </c>
      <c r="F61" s="33"/>
      <c r="G61" s="34"/>
      <c r="H61" s="35"/>
      <c r="J61"/>
      <c r="K61"/>
      <c r="L61"/>
    </row>
    <row r="62" spans="1:12" ht="13.05" customHeight="1">
      <c r="A62" s="88"/>
      <c r="B62" s="86"/>
      <c r="C62" s="86"/>
      <c r="D62" s="86"/>
      <c r="E62" s="87"/>
      <c r="F62" s="33"/>
      <c r="G62" s="34"/>
      <c r="H62" s="35"/>
      <c r="J62"/>
      <c r="K62"/>
      <c r="L62"/>
    </row>
    <row r="63" spans="1:12" ht="13.05" customHeight="1">
      <c r="A63" s="88" t="s">
        <v>364</v>
      </c>
      <c r="B63" s="86" t="s">
        <v>602</v>
      </c>
      <c r="C63" s="86"/>
      <c r="D63" s="86"/>
      <c r="E63" s="87" t="s">
        <v>46</v>
      </c>
      <c r="F63" s="33"/>
      <c r="G63" s="34"/>
      <c r="H63" s="35"/>
      <c r="J63"/>
      <c r="K63"/>
      <c r="L63"/>
    </row>
    <row r="64" spans="1:12" ht="13.05" customHeight="1">
      <c r="A64" s="37"/>
      <c r="B64" s="72" t="s">
        <v>75</v>
      </c>
      <c r="C64" s="13"/>
      <c r="D64" s="13"/>
      <c r="E64" s="39"/>
      <c r="F64" s="40"/>
      <c r="G64" s="41"/>
      <c r="H64" s="42"/>
      <c r="J64" s="36"/>
      <c r="K64" s="36"/>
      <c r="L64" s="36"/>
    </row>
    <row r="65" spans="1:12" ht="13.05" customHeight="1">
      <c r="A65" s="37"/>
      <c r="B65" s="38"/>
      <c r="C65" s="13"/>
      <c r="D65" s="13"/>
      <c r="E65" s="39"/>
      <c r="F65" s="40"/>
      <c r="G65" s="41"/>
      <c r="H65" s="42"/>
      <c r="J65" s="36"/>
      <c r="K65" s="36"/>
      <c r="L65" s="36"/>
    </row>
    <row r="66" spans="1:12" ht="13.05" customHeight="1">
      <c r="A66" s="37"/>
      <c r="B66" s="38"/>
      <c r="C66" s="13"/>
      <c r="D66" s="13"/>
      <c r="E66" s="39"/>
      <c r="F66" s="40"/>
      <c r="G66" s="41"/>
      <c r="H66" s="42"/>
      <c r="J66" s="36"/>
      <c r="K66" s="36"/>
      <c r="L66" s="36"/>
    </row>
    <row r="67" spans="1:12" ht="13.05" customHeight="1">
      <c r="A67" s="37"/>
      <c r="B67" s="38"/>
      <c r="C67" s="13"/>
      <c r="D67" s="13"/>
      <c r="E67" s="39"/>
      <c r="F67" s="40"/>
      <c r="G67" s="41"/>
      <c r="H67" s="42"/>
      <c r="J67" s="36"/>
      <c r="K67" s="36"/>
      <c r="L67" s="36"/>
    </row>
    <row r="68" spans="1:12" ht="13.05" customHeight="1">
      <c r="A68" s="37"/>
      <c r="B68" s="38"/>
      <c r="C68" s="13"/>
      <c r="D68" s="13"/>
      <c r="E68" s="39"/>
      <c r="F68" s="40"/>
      <c r="G68" s="41"/>
      <c r="H68" s="42"/>
      <c r="J68" s="69"/>
      <c r="K68" s="69"/>
      <c r="L68" s="69"/>
    </row>
    <row r="69" spans="1:12" ht="13.05" customHeight="1">
      <c r="A69" s="37"/>
      <c r="B69" s="38"/>
      <c r="C69" s="13"/>
      <c r="D69" s="13"/>
      <c r="E69" s="39"/>
      <c r="F69" s="40"/>
      <c r="G69" s="41"/>
      <c r="H69" s="42"/>
      <c r="J69" s="69"/>
      <c r="K69" s="69"/>
      <c r="L69" s="69"/>
    </row>
    <row r="70" spans="1:12" ht="13.05" customHeight="1">
      <c r="A70" s="37"/>
      <c r="B70" s="38"/>
      <c r="C70" s="13"/>
      <c r="D70" s="13"/>
      <c r="E70" s="39"/>
      <c r="F70" s="40"/>
      <c r="G70" s="41"/>
      <c r="H70" s="42"/>
      <c r="J70" s="69"/>
      <c r="K70" s="69"/>
      <c r="L70" s="69"/>
    </row>
    <row r="71" spans="1:12" ht="13.05" customHeight="1">
      <c r="A71" s="37"/>
      <c r="B71" s="38"/>
      <c r="C71" s="13"/>
      <c r="D71" s="13"/>
      <c r="E71" s="39"/>
      <c r="F71" s="40"/>
      <c r="G71" s="41"/>
      <c r="H71" s="42"/>
      <c r="J71" s="69"/>
      <c r="K71" s="69"/>
      <c r="L71" s="69"/>
    </row>
    <row r="72" spans="1:12" ht="13.05" customHeight="1">
      <c r="A72" s="37"/>
      <c r="B72" s="38"/>
      <c r="C72" s="13"/>
      <c r="D72" s="13"/>
      <c r="E72" s="39"/>
      <c r="F72" s="40"/>
      <c r="G72" s="41"/>
      <c r="H72" s="42"/>
      <c r="J72" s="69"/>
      <c r="K72" s="69"/>
      <c r="L72" s="69"/>
    </row>
    <row r="73" spans="1:12" ht="13.05" customHeight="1">
      <c r="A73" s="37"/>
      <c r="B73" s="38"/>
      <c r="C73" s="13"/>
      <c r="D73" s="13"/>
      <c r="E73" s="39"/>
      <c r="F73" s="40"/>
      <c r="G73" s="41"/>
      <c r="H73" s="42"/>
      <c r="J73" s="74"/>
      <c r="K73" s="74"/>
      <c r="L73" s="74"/>
    </row>
    <row r="74" spans="1:12" ht="13.05" customHeight="1">
      <c r="A74" s="37"/>
      <c r="B74" s="38"/>
      <c r="C74" s="13"/>
      <c r="D74" s="13"/>
      <c r="E74" s="39"/>
      <c r="F74" s="40"/>
      <c r="G74" s="41"/>
      <c r="H74" s="42"/>
      <c r="J74" s="74"/>
      <c r="K74" s="74"/>
      <c r="L74" s="74"/>
    </row>
    <row r="75" spans="1:12" ht="13.05" customHeight="1">
      <c r="A75" s="88"/>
      <c r="B75" s="86"/>
      <c r="C75" s="86"/>
      <c r="D75" s="86"/>
      <c r="E75" s="87"/>
      <c r="F75" s="33"/>
      <c r="G75" s="34"/>
      <c r="H75" s="35"/>
      <c r="J75"/>
      <c r="K75"/>
      <c r="L75"/>
    </row>
    <row r="76" spans="1:12" ht="13.05" customHeight="1">
      <c r="A76" s="84" t="s">
        <v>81</v>
      </c>
      <c r="B76" s="85" t="s">
        <v>603</v>
      </c>
      <c r="C76" s="86"/>
      <c r="D76" s="86"/>
      <c r="E76" s="87"/>
      <c r="F76" s="33"/>
      <c r="G76" s="34"/>
      <c r="H76" s="35"/>
      <c r="J76"/>
      <c r="K76"/>
      <c r="L76"/>
    </row>
    <row r="77" spans="1:12" ht="13.05" customHeight="1">
      <c r="A77" s="88"/>
      <c r="B77" s="86"/>
      <c r="C77" s="86" t="s">
        <v>604</v>
      </c>
      <c r="D77" s="86"/>
      <c r="E77" s="87" t="s">
        <v>93</v>
      </c>
      <c r="F77" s="33"/>
      <c r="G77" s="34"/>
      <c r="H77" s="35"/>
      <c r="J77"/>
      <c r="K77" s="73"/>
      <c r="L77"/>
    </row>
    <row r="78" spans="1:12" ht="13.05" customHeight="1">
      <c r="A78" s="88"/>
      <c r="B78" s="86"/>
      <c r="C78" s="86" t="s">
        <v>605</v>
      </c>
      <c r="D78" s="86"/>
      <c r="E78" s="87" t="s">
        <v>93</v>
      </c>
      <c r="F78" s="33"/>
      <c r="G78" s="34"/>
      <c r="H78" s="35"/>
      <c r="J78"/>
      <c r="K78" s="73"/>
      <c r="L78"/>
    </row>
    <row r="79" spans="1:12" ht="13.05" customHeight="1">
      <c r="A79" s="88"/>
      <c r="B79" s="86"/>
      <c r="C79" s="86" t="s">
        <v>606</v>
      </c>
      <c r="D79" s="86"/>
      <c r="E79" s="87" t="s">
        <v>93</v>
      </c>
      <c r="F79" s="33"/>
      <c r="G79" s="34"/>
      <c r="H79" s="35"/>
      <c r="J79"/>
      <c r="K79" s="73"/>
      <c r="L79"/>
    </row>
    <row r="80" spans="1:12" ht="13.05" customHeight="1">
      <c r="A80" s="88"/>
      <c r="B80" s="86"/>
      <c r="C80" s="86" t="s">
        <v>607</v>
      </c>
      <c r="D80" s="86"/>
      <c r="E80" s="87" t="s">
        <v>93</v>
      </c>
      <c r="F80" s="33"/>
      <c r="G80" s="34"/>
      <c r="H80" s="35"/>
      <c r="J80"/>
      <c r="K80" s="73"/>
      <c r="L80"/>
    </row>
    <row r="81" spans="1:12" ht="13.05" customHeight="1">
      <c r="A81" s="88"/>
      <c r="B81" s="86"/>
      <c r="C81" s="86" t="s">
        <v>608</v>
      </c>
      <c r="D81" s="86"/>
      <c r="E81" s="87" t="s">
        <v>93</v>
      </c>
      <c r="F81" s="33"/>
      <c r="G81" s="34"/>
      <c r="H81" s="35"/>
      <c r="J81"/>
      <c r="K81" s="73"/>
      <c r="L81"/>
    </row>
    <row r="82" spans="1:12" ht="13.05" customHeight="1">
      <c r="A82" s="84"/>
      <c r="B82" s="85"/>
      <c r="C82" s="86"/>
      <c r="D82" s="86"/>
      <c r="E82" s="87"/>
      <c r="F82" s="33"/>
      <c r="G82" s="34"/>
      <c r="H82" s="35"/>
      <c r="J82"/>
      <c r="K82"/>
      <c r="L82"/>
    </row>
    <row r="83" spans="1:12" ht="13.05" customHeight="1">
      <c r="A83" s="84" t="s">
        <v>83</v>
      </c>
      <c r="B83" s="85" t="s">
        <v>609</v>
      </c>
      <c r="C83" s="86"/>
      <c r="D83" s="86"/>
      <c r="E83" s="87"/>
      <c r="F83" s="33"/>
      <c r="G83" s="34"/>
      <c r="H83" s="35"/>
      <c r="J83"/>
      <c r="K83"/>
      <c r="L83"/>
    </row>
    <row r="84" spans="1:12" ht="13.05" customHeight="1">
      <c r="A84" s="84"/>
      <c r="B84" s="85"/>
      <c r="C84" s="86" t="s">
        <v>610</v>
      </c>
      <c r="D84" s="86"/>
      <c r="E84" s="87" t="s">
        <v>123</v>
      </c>
      <c r="F84" s="33"/>
      <c r="G84" s="34"/>
      <c r="H84" s="35"/>
      <c r="J84"/>
      <c r="K84"/>
      <c r="L84"/>
    </row>
    <row r="85" spans="1:12" ht="13.05" customHeight="1">
      <c r="A85" s="84"/>
      <c r="B85" s="85"/>
      <c r="C85" s="86" t="s">
        <v>611</v>
      </c>
      <c r="D85" s="86"/>
      <c r="E85" s="87" t="s">
        <v>123</v>
      </c>
      <c r="F85" s="33"/>
      <c r="G85" s="34"/>
      <c r="H85" s="35"/>
      <c r="J85"/>
      <c r="K85"/>
      <c r="L85"/>
    </row>
    <row r="86" spans="1:12" ht="13.05" customHeight="1">
      <c r="A86" s="84"/>
      <c r="B86" s="85"/>
      <c r="C86" s="86" t="s">
        <v>612</v>
      </c>
      <c r="D86" s="86"/>
      <c r="E86" s="87" t="s">
        <v>123</v>
      </c>
      <c r="F86" s="33"/>
      <c r="G86" s="34"/>
      <c r="H86" s="35"/>
      <c r="J86"/>
      <c r="K86"/>
      <c r="L86"/>
    </row>
    <row r="87" spans="1:12" ht="13.05" customHeight="1">
      <c r="A87" s="84"/>
      <c r="B87" s="85"/>
      <c r="C87" s="86"/>
      <c r="D87" s="86"/>
      <c r="E87" s="87"/>
      <c r="F87" s="33"/>
      <c r="G87" s="34"/>
      <c r="H87" s="35"/>
      <c r="J87"/>
      <c r="K87"/>
      <c r="L87"/>
    </row>
    <row r="88" spans="1:12" ht="13.05" customHeight="1">
      <c r="A88" s="84" t="s">
        <v>136</v>
      </c>
      <c r="B88" s="85" t="s">
        <v>613</v>
      </c>
      <c r="C88" s="86"/>
      <c r="D88" s="86"/>
      <c r="E88" s="87" t="s">
        <v>52</v>
      </c>
      <c r="F88" s="33"/>
      <c r="G88" s="34"/>
      <c r="H88" s="35"/>
      <c r="J88"/>
      <c r="K88"/>
      <c r="L88"/>
    </row>
    <row r="89" spans="1:12" ht="13.05" customHeight="1">
      <c r="A89" s="84"/>
      <c r="B89" s="85"/>
      <c r="C89" s="86"/>
      <c r="D89" s="86"/>
      <c r="E89" s="87"/>
      <c r="F89" s="33"/>
      <c r="G89" s="34"/>
      <c r="H89" s="35"/>
      <c r="J89"/>
      <c r="K89"/>
      <c r="L89"/>
    </row>
    <row r="90" spans="1:12" ht="13.05" customHeight="1">
      <c r="A90" s="84" t="s">
        <v>464</v>
      </c>
      <c r="B90" s="85" t="s">
        <v>614</v>
      </c>
      <c r="C90" s="86"/>
      <c r="D90" s="86"/>
      <c r="E90" s="87" t="s">
        <v>615</v>
      </c>
      <c r="F90" s="33"/>
      <c r="G90" s="34"/>
      <c r="H90" s="35"/>
      <c r="J90"/>
      <c r="K90"/>
      <c r="L90"/>
    </row>
    <row r="91" spans="1:12" ht="13.05" customHeight="1">
      <c r="A91" s="84"/>
      <c r="B91" s="85"/>
      <c r="C91" s="86"/>
      <c r="D91" s="86"/>
      <c r="E91" s="87"/>
      <c r="F91" s="33"/>
      <c r="G91" s="34"/>
      <c r="H91" s="35"/>
      <c r="J91"/>
      <c r="K91"/>
      <c r="L91"/>
    </row>
    <row r="92" spans="1:12" ht="13.05" customHeight="1">
      <c r="A92" s="84" t="s">
        <v>471</v>
      </c>
      <c r="B92" s="85" t="s">
        <v>616</v>
      </c>
      <c r="C92" s="86"/>
      <c r="D92" s="86"/>
      <c r="E92" s="87" t="s">
        <v>556</v>
      </c>
      <c r="F92" s="33"/>
      <c r="G92" s="34"/>
      <c r="H92" s="35"/>
      <c r="J92"/>
      <c r="K92"/>
      <c r="L92"/>
    </row>
    <row r="93" spans="1:12" ht="13.05" customHeight="1">
      <c r="A93" s="84"/>
      <c r="B93" s="85"/>
      <c r="C93" s="86"/>
      <c r="D93" s="86"/>
      <c r="E93" s="87"/>
      <c r="F93" s="33"/>
      <c r="G93" s="34"/>
      <c r="H93" s="35"/>
      <c r="J93"/>
      <c r="K93" s="107"/>
      <c r="L93"/>
    </row>
    <row r="94" spans="1:12" ht="13.05" customHeight="1">
      <c r="A94" s="84" t="s">
        <v>473</v>
      </c>
      <c r="B94" s="85" t="s">
        <v>617</v>
      </c>
      <c r="C94" s="86"/>
      <c r="D94" s="86"/>
      <c r="E94" s="87"/>
      <c r="F94" s="33"/>
      <c r="G94" s="34"/>
      <c r="H94" s="35"/>
      <c r="J94"/>
      <c r="K94" s="106"/>
      <c r="L94"/>
    </row>
    <row r="95" spans="1:12" ht="13.05" customHeight="1">
      <c r="A95" s="37"/>
      <c r="B95" s="72" t="s">
        <v>75</v>
      </c>
      <c r="C95" s="13"/>
      <c r="D95" s="13"/>
      <c r="E95" s="39"/>
      <c r="F95" s="40"/>
      <c r="G95" s="41"/>
      <c r="H95" s="42"/>
      <c r="J95" s="36"/>
      <c r="K95" s="106"/>
      <c r="L95" s="36"/>
    </row>
    <row r="96" spans="1:12" ht="13.05" customHeight="1">
      <c r="A96" s="37"/>
      <c r="B96" s="38"/>
      <c r="C96" s="13"/>
      <c r="D96" s="13"/>
      <c r="E96" s="39"/>
      <c r="F96" s="40"/>
      <c r="G96" s="41"/>
      <c r="H96" s="42"/>
      <c r="J96" s="36"/>
      <c r="K96" s="107"/>
      <c r="L96" s="36"/>
    </row>
    <row r="97" spans="1:12" ht="13.05" customHeight="1">
      <c r="A97" s="37"/>
      <c r="B97" s="38"/>
      <c r="C97" s="13"/>
      <c r="D97" s="13"/>
      <c r="E97" s="39"/>
      <c r="F97" s="40"/>
      <c r="G97" s="41"/>
      <c r="H97" s="42"/>
      <c r="J97" s="36"/>
      <c r="K97" s="106"/>
      <c r="L97" s="36"/>
    </row>
    <row r="98" spans="1:12" ht="13.05" customHeight="1">
      <c r="A98" s="37"/>
      <c r="B98" s="38"/>
      <c r="C98" s="13"/>
      <c r="D98" s="13"/>
      <c r="E98" s="39"/>
      <c r="F98" s="40"/>
      <c r="G98" s="41"/>
      <c r="H98" s="42"/>
      <c r="J98" s="36"/>
      <c r="K98" s="106"/>
      <c r="L98" s="36"/>
    </row>
    <row r="99" spans="1:12" ht="13.05" customHeight="1">
      <c r="A99" s="37"/>
      <c r="B99" s="38"/>
      <c r="C99" s="13"/>
      <c r="D99" s="13"/>
      <c r="E99" s="39"/>
      <c r="F99" s="40"/>
      <c r="G99" s="41"/>
      <c r="H99" s="42"/>
      <c r="J99" s="69"/>
      <c r="K99" s="107"/>
      <c r="L99" s="69"/>
    </row>
    <row r="100" spans="1:12" ht="13.05" customHeight="1">
      <c r="A100" s="37"/>
      <c r="B100" s="38"/>
      <c r="C100" s="13"/>
      <c r="D100" s="13"/>
      <c r="E100" s="39"/>
      <c r="F100" s="40"/>
      <c r="G100" s="41"/>
      <c r="H100" s="42"/>
      <c r="J100" s="69"/>
      <c r="K100" s="106"/>
      <c r="L100" s="69"/>
    </row>
    <row r="101" spans="1:12" ht="13.05" customHeight="1">
      <c r="A101" s="37"/>
      <c r="B101" s="38"/>
      <c r="C101" s="13"/>
      <c r="D101" s="13"/>
      <c r="E101" s="39"/>
      <c r="F101" s="40"/>
      <c r="G101" s="41"/>
      <c r="H101" s="42"/>
      <c r="J101" s="69"/>
      <c r="K101" s="106"/>
      <c r="L101" s="69"/>
    </row>
    <row r="102" spans="1:12" ht="13.05" customHeight="1">
      <c r="A102" s="37"/>
      <c r="B102" s="38"/>
      <c r="C102" s="13"/>
      <c r="D102" s="13"/>
      <c r="E102" s="39"/>
      <c r="F102" s="40"/>
      <c r="G102" s="41"/>
      <c r="H102" s="42"/>
      <c r="J102" s="69"/>
      <c r="K102" s="107"/>
      <c r="L102" s="69"/>
    </row>
    <row r="103" spans="1:12" ht="13.05" customHeight="1">
      <c r="A103" s="37"/>
      <c r="B103" s="38"/>
      <c r="C103" s="13"/>
      <c r="D103" s="13"/>
      <c r="E103" s="39"/>
      <c r="F103" s="40"/>
      <c r="G103" s="41"/>
      <c r="H103" s="42"/>
      <c r="J103" s="69"/>
      <c r="K103" s="106"/>
      <c r="L103" s="69"/>
    </row>
    <row r="104" spans="1:12" ht="13.05" customHeight="1">
      <c r="A104" s="37"/>
      <c r="B104" s="38"/>
      <c r="C104" s="13"/>
      <c r="D104" s="13"/>
      <c r="E104" s="39"/>
      <c r="F104" s="40"/>
      <c r="G104" s="41"/>
      <c r="H104" s="42"/>
      <c r="J104" s="74"/>
      <c r="K104" s="107"/>
      <c r="L104" s="74"/>
    </row>
    <row r="105" spans="1:12" ht="13.05" customHeight="1">
      <c r="A105" s="84"/>
      <c r="B105" s="85"/>
      <c r="C105" s="86"/>
      <c r="D105" s="86"/>
      <c r="E105" s="87"/>
      <c r="F105" s="33"/>
      <c r="G105" s="34"/>
      <c r="H105" s="35"/>
      <c r="J105"/>
      <c r="K105" s="106"/>
      <c r="L105"/>
    </row>
    <row r="106" spans="1:12" ht="13.05" customHeight="1">
      <c r="A106" s="84" t="s">
        <v>475</v>
      </c>
      <c r="B106" s="85" t="s">
        <v>618</v>
      </c>
      <c r="C106" s="86"/>
      <c r="D106" s="86"/>
      <c r="E106" s="87" t="s">
        <v>123</v>
      </c>
      <c r="F106" s="33"/>
      <c r="G106" s="34"/>
      <c r="H106" s="35"/>
      <c r="K106" s="106"/>
      <c r="L106"/>
    </row>
    <row r="107" spans="1:12" ht="13.05" customHeight="1">
      <c r="A107" s="84"/>
      <c r="B107" s="85"/>
      <c r="C107" s="86"/>
      <c r="D107" s="86"/>
      <c r="E107" s="87"/>
      <c r="F107" s="33"/>
      <c r="G107" s="34"/>
      <c r="H107" s="35"/>
      <c r="K107" s="106"/>
      <c r="L107"/>
    </row>
    <row r="108" spans="1:12" ht="13.05" customHeight="1">
      <c r="A108" s="84" t="s">
        <v>477</v>
      </c>
      <c r="B108" s="85" t="s">
        <v>619</v>
      </c>
      <c r="C108" s="86"/>
      <c r="D108" s="86"/>
      <c r="E108" s="87" t="s">
        <v>615</v>
      </c>
      <c r="F108" s="33"/>
      <c r="G108" s="34"/>
      <c r="H108" s="35"/>
      <c r="K108" s="106"/>
      <c r="L108"/>
    </row>
    <row r="109" spans="1:12" ht="13.05" customHeight="1">
      <c r="A109" s="84"/>
      <c r="B109" s="85"/>
      <c r="C109" s="86"/>
      <c r="D109" s="86"/>
      <c r="E109" s="87"/>
      <c r="F109" s="33"/>
      <c r="G109" s="34"/>
      <c r="H109" s="35"/>
      <c r="K109" s="106"/>
      <c r="L109"/>
    </row>
    <row r="110" spans="1:12" ht="13.05" customHeight="1">
      <c r="A110" s="84" t="s">
        <v>479</v>
      </c>
      <c r="B110" s="85" t="s">
        <v>620</v>
      </c>
      <c r="C110" s="86"/>
      <c r="D110" s="86"/>
      <c r="E110" s="87"/>
      <c r="F110" s="33"/>
      <c r="G110" s="34"/>
      <c r="H110" s="35"/>
      <c r="K110" s="107"/>
      <c r="L110"/>
    </row>
    <row r="111" spans="1:12" ht="13.05" customHeight="1">
      <c r="A111" s="84"/>
      <c r="B111" s="85"/>
      <c r="C111" s="86"/>
      <c r="D111" s="86"/>
      <c r="E111" s="87"/>
      <c r="F111" s="33"/>
      <c r="G111" s="34"/>
      <c r="H111" s="35"/>
      <c r="L111"/>
    </row>
    <row r="112" spans="1:12" ht="13.05" customHeight="1">
      <c r="A112" s="88" t="s">
        <v>621</v>
      </c>
      <c r="B112" s="86" t="s">
        <v>622</v>
      </c>
      <c r="C112" s="86"/>
      <c r="D112" s="86"/>
      <c r="E112" s="87" t="s">
        <v>93</v>
      </c>
      <c r="F112" s="33"/>
      <c r="G112" s="34"/>
      <c r="H112" s="35"/>
      <c r="L112"/>
    </row>
    <row r="113" spans="1:12" ht="13.05" customHeight="1">
      <c r="A113" s="88"/>
      <c r="B113" s="86"/>
      <c r="C113" s="86"/>
      <c r="D113" s="86"/>
      <c r="E113" s="87"/>
      <c r="F113" s="33"/>
      <c r="G113" s="34"/>
      <c r="H113" s="35"/>
      <c r="L113"/>
    </row>
    <row r="114" spans="1:12" ht="13.05" customHeight="1">
      <c r="A114" s="88" t="s">
        <v>623</v>
      </c>
      <c r="B114" s="86" t="s">
        <v>624</v>
      </c>
      <c r="C114" s="86"/>
      <c r="D114" s="86"/>
      <c r="E114" s="87" t="s">
        <v>93</v>
      </c>
      <c r="F114" s="33"/>
      <c r="G114" s="34"/>
      <c r="H114" s="35"/>
      <c r="L114"/>
    </row>
    <row r="115" spans="1:12" ht="13.05" customHeight="1">
      <c r="A115" s="88"/>
      <c r="B115" s="86"/>
      <c r="C115" s="86"/>
      <c r="D115" s="86"/>
      <c r="E115" s="87"/>
      <c r="F115" s="33"/>
      <c r="G115" s="34"/>
      <c r="H115" s="35"/>
      <c r="L115"/>
    </row>
    <row r="116" spans="1:12" ht="13.05" customHeight="1">
      <c r="A116" s="88" t="s">
        <v>625</v>
      </c>
      <c r="B116" s="86" t="s">
        <v>626</v>
      </c>
      <c r="C116" s="86"/>
      <c r="D116" s="86"/>
      <c r="E116" s="87" t="s">
        <v>93</v>
      </c>
      <c r="F116" s="33"/>
      <c r="G116" s="34"/>
      <c r="H116" s="35"/>
      <c r="L116"/>
    </row>
    <row r="117" spans="1:12" ht="13.05" customHeight="1">
      <c r="A117" s="88"/>
      <c r="B117" s="86"/>
      <c r="C117" s="86"/>
      <c r="D117" s="86"/>
      <c r="E117" s="87"/>
      <c r="F117" s="33"/>
      <c r="G117" s="34"/>
      <c r="H117" s="35"/>
      <c r="L117"/>
    </row>
    <row r="118" spans="1:12" ht="13.05" customHeight="1">
      <c r="A118" s="88" t="s">
        <v>627</v>
      </c>
      <c r="B118" s="86" t="s">
        <v>628</v>
      </c>
      <c r="C118" s="86"/>
      <c r="D118" s="86"/>
      <c r="E118" s="87" t="s">
        <v>93</v>
      </c>
      <c r="F118" s="33"/>
      <c r="G118" s="34"/>
      <c r="H118" s="35"/>
      <c r="L118"/>
    </row>
    <row r="119" spans="1:12" ht="13.05" customHeight="1">
      <c r="A119" s="88"/>
      <c r="B119" s="86"/>
      <c r="C119" s="86"/>
      <c r="D119" s="86"/>
      <c r="E119" s="87"/>
      <c r="F119" s="33"/>
      <c r="G119" s="34"/>
      <c r="H119" s="35"/>
      <c r="L119"/>
    </row>
    <row r="120" spans="1:12" ht="13.05" customHeight="1">
      <c r="A120" s="84" t="s">
        <v>629</v>
      </c>
      <c r="B120" s="85" t="s">
        <v>630</v>
      </c>
      <c r="C120" s="86"/>
      <c r="D120" s="86"/>
      <c r="E120" s="87"/>
      <c r="F120" s="33"/>
      <c r="G120" s="34"/>
      <c r="H120" s="35"/>
      <c r="L120"/>
    </row>
    <row r="121" spans="1:12" ht="13.05" customHeight="1">
      <c r="A121" s="84"/>
      <c r="B121" s="85"/>
      <c r="C121" s="86" t="s">
        <v>631</v>
      </c>
      <c r="D121" s="86"/>
      <c r="E121" s="87" t="s">
        <v>93</v>
      </c>
      <c r="F121" s="33"/>
      <c r="G121" s="34"/>
      <c r="H121" s="35"/>
      <c r="L121"/>
    </row>
    <row r="122" spans="1:12" ht="13.05" customHeight="1">
      <c r="A122" s="84"/>
      <c r="B122" s="85"/>
      <c r="C122" s="86" t="s">
        <v>632</v>
      </c>
      <c r="D122" s="86"/>
      <c r="E122" s="87" t="s">
        <v>93</v>
      </c>
      <c r="F122" s="33"/>
      <c r="G122" s="34"/>
      <c r="H122" s="35"/>
      <c r="L122"/>
    </row>
    <row r="123" spans="1:12" ht="13.05" customHeight="1">
      <c r="A123" s="84"/>
      <c r="B123" s="85"/>
      <c r="C123" s="86" t="s">
        <v>633</v>
      </c>
      <c r="D123" s="86"/>
      <c r="E123" s="87" t="s">
        <v>93</v>
      </c>
      <c r="F123" s="33"/>
      <c r="G123" s="34"/>
      <c r="H123" s="35"/>
      <c r="L123"/>
    </row>
    <row r="124" spans="1:12" ht="13.05" customHeight="1">
      <c r="A124" s="84"/>
      <c r="B124" s="85"/>
      <c r="C124" s="86" t="s">
        <v>634</v>
      </c>
      <c r="D124" s="86"/>
      <c r="E124" s="87" t="s">
        <v>46</v>
      </c>
      <c r="F124" s="33"/>
      <c r="G124" s="34"/>
      <c r="H124" s="35"/>
      <c r="L124"/>
    </row>
    <row r="125" spans="1:12" ht="13.05" customHeight="1">
      <c r="A125" s="84"/>
      <c r="B125" s="85"/>
      <c r="C125" s="86" t="s">
        <v>635</v>
      </c>
      <c r="D125" s="86"/>
      <c r="E125" s="87" t="s">
        <v>93</v>
      </c>
      <c r="F125" s="33"/>
      <c r="G125" s="34"/>
      <c r="H125" s="35"/>
      <c r="L125"/>
    </row>
    <row r="126" spans="1:12" ht="13.05" customHeight="1">
      <c r="A126" s="84"/>
      <c r="B126" s="85"/>
      <c r="C126" s="86" t="s">
        <v>636</v>
      </c>
      <c r="D126" s="86"/>
      <c r="E126" s="87" t="s">
        <v>93</v>
      </c>
      <c r="F126" s="33"/>
      <c r="G126" s="34"/>
      <c r="H126" s="35"/>
      <c r="L126"/>
    </row>
    <row r="127" spans="1:12" ht="13.05" customHeight="1">
      <c r="A127" s="84"/>
      <c r="B127" s="85"/>
      <c r="C127" s="86"/>
      <c r="D127" s="86"/>
      <c r="E127" s="87"/>
      <c r="F127" s="33"/>
      <c r="G127" s="34"/>
      <c r="H127" s="35"/>
      <c r="L127"/>
    </row>
    <row r="128" spans="1:12" ht="13.05" customHeight="1">
      <c r="A128" s="84" t="s">
        <v>637</v>
      </c>
      <c r="B128" s="85" t="s">
        <v>638</v>
      </c>
      <c r="C128" s="86"/>
      <c r="D128" s="86"/>
      <c r="E128" s="87" t="s">
        <v>93</v>
      </c>
      <c r="F128" s="33"/>
      <c r="G128" s="34"/>
      <c r="H128" s="35"/>
      <c r="L128"/>
    </row>
    <row r="129" spans="1:12" ht="13.05" customHeight="1">
      <c r="A129" s="84"/>
      <c r="B129" s="85"/>
      <c r="C129" s="86"/>
      <c r="D129" s="86"/>
      <c r="E129" s="87"/>
      <c r="F129" s="33"/>
      <c r="G129" s="34"/>
      <c r="H129" s="35"/>
      <c r="L129"/>
    </row>
    <row r="130" spans="1:12" ht="13.05" customHeight="1">
      <c r="A130" s="84" t="s">
        <v>639</v>
      </c>
      <c r="B130" s="85" t="s">
        <v>640</v>
      </c>
      <c r="C130" s="86"/>
      <c r="D130" s="86"/>
      <c r="E130" s="87"/>
      <c r="F130" s="33"/>
      <c r="G130" s="34"/>
      <c r="H130" s="35"/>
      <c r="L130"/>
    </row>
    <row r="131" spans="1:12" ht="13.05" customHeight="1">
      <c r="A131" s="26"/>
      <c r="B131" s="28"/>
      <c r="C131" s="13" t="s">
        <v>641</v>
      </c>
      <c r="D131" s="28"/>
      <c r="E131" s="87" t="s">
        <v>93</v>
      </c>
      <c r="F131" s="33"/>
      <c r="G131" s="34"/>
      <c r="H131" s="35"/>
      <c r="J131" s="36"/>
      <c r="K131" s="36"/>
      <c r="L131" s="36"/>
    </row>
    <row r="132" spans="1:12" ht="13.05" customHeight="1">
      <c r="A132" s="45"/>
      <c r="B132" s="46"/>
      <c r="C132" s="47" t="s">
        <v>642</v>
      </c>
      <c r="D132" s="47"/>
      <c r="E132" s="48" t="s">
        <v>93</v>
      </c>
      <c r="F132" s="33"/>
      <c r="G132" s="34"/>
      <c r="H132" s="35"/>
      <c r="J132"/>
      <c r="K132"/>
      <c r="L132"/>
    </row>
    <row r="133" spans="1:12" ht="13.05" customHeight="1" thickBot="1">
      <c r="A133" s="49"/>
      <c r="B133" s="50"/>
      <c r="C133" s="50"/>
      <c r="D133" s="50"/>
      <c r="E133" s="51"/>
      <c r="F133" s="52"/>
      <c r="G133" s="53"/>
      <c r="H133" s="54"/>
      <c r="J133"/>
      <c r="K133"/>
      <c r="L133"/>
    </row>
    <row r="134" spans="1:12" ht="20.100000000000001" customHeight="1" thickTop="1">
      <c r="A134" s="366" t="s">
        <v>62</v>
      </c>
      <c r="B134" s="367"/>
      <c r="C134" s="367"/>
      <c r="D134" s="368"/>
      <c r="E134" s="55"/>
      <c r="F134" s="56"/>
      <c r="G134" s="57"/>
      <c r="H134" s="58">
        <f>SUM(H4:H133)</f>
        <v>0</v>
      </c>
      <c r="J134"/>
      <c r="K134"/>
      <c r="L134"/>
    </row>
    <row r="135" spans="1:12" ht="20.100000000000001" customHeight="1">
      <c r="A135" s="369" t="s">
        <v>63</v>
      </c>
      <c r="B135" s="370"/>
      <c r="C135" s="370"/>
      <c r="D135" s="371"/>
      <c r="E135" s="59"/>
      <c r="F135" s="60"/>
      <c r="G135" s="61"/>
      <c r="H135" s="62">
        <f>H134*0.2</f>
        <v>0</v>
      </c>
      <c r="J135"/>
      <c r="K135"/>
      <c r="L135"/>
    </row>
    <row r="136" spans="1:12" ht="20.100000000000001" customHeight="1" thickBot="1">
      <c r="A136" s="352" t="s">
        <v>64</v>
      </c>
      <c r="B136" s="353"/>
      <c r="C136" s="353"/>
      <c r="D136" s="354"/>
      <c r="E136" s="63"/>
      <c r="F136" s="64"/>
      <c r="G136" s="65"/>
      <c r="H136" s="66">
        <f>H135+H134</f>
        <v>0</v>
      </c>
      <c r="J136"/>
      <c r="K136"/>
      <c r="L136"/>
    </row>
    <row r="137" spans="1:12" ht="15.6" thickTop="1">
      <c r="J137"/>
      <c r="K137"/>
      <c r="L137"/>
    </row>
    <row r="138" spans="1:12">
      <c r="J138"/>
      <c r="K138"/>
      <c r="L138"/>
    </row>
    <row r="139" spans="1:12">
      <c r="J139"/>
      <c r="K139"/>
      <c r="L139"/>
    </row>
    <row r="140" spans="1:12">
      <c r="J140"/>
      <c r="K140"/>
      <c r="L140"/>
    </row>
    <row r="141" spans="1:12">
      <c r="J141"/>
      <c r="K141"/>
      <c r="L141"/>
    </row>
    <row r="142" spans="1:12">
      <c r="J142"/>
      <c r="K142"/>
      <c r="L142"/>
    </row>
    <row r="143" spans="1:12">
      <c r="J143"/>
      <c r="K143"/>
      <c r="L143"/>
    </row>
    <row r="144" spans="1:12">
      <c r="L144"/>
    </row>
    <row r="145" spans="12:12">
      <c r="L145"/>
    </row>
    <row r="146" spans="12:12">
      <c r="L146"/>
    </row>
    <row r="147" spans="12:12">
      <c r="L147"/>
    </row>
    <row r="148" spans="12:12">
      <c r="L148"/>
    </row>
    <row r="149" spans="12:12">
      <c r="L149"/>
    </row>
    <row r="150" spans="12:12">
      <c r="L150"/>
    </row>
    <row r="151" spans="12:12">
      <c r="L151"/>
    </row>
    <row r="152" spans="12:12">
      <c r="L152"/>
    </row>
    <row r="153" spans="12:12">
      <c r="L153"/>
    </row>
    <row r="154" spans="12:12">
      <c r="L154"/>
    </row>
    <row r="155" spans="12:12">
      <c r="L155"/>
    </row>
    <row r="156" spans="12:12">
      <c r="L156"/>
    </row>
    <row r="157" spans="12:12">
      <c r="L157"/>
    </row>
    <row r="158" spans="12:12">
      <c r="L158"/>
    </row>
    <row r="159" spans="12:12">
      <c r="L159"/>
    </row>
    <row r="160" spans="12:12">
      <c r="L160"/>
    </row>
    <row r="161" spans="10:12">
      <c r="L161"/>
    </row>
    <row r="162" spans="10:12">
      <c r="L162"/>
    </row>
    <row r="163" spans="10:12">
      <c r="L163"/>
    </row>
    <row r="164" spans="10:12">
      <c r="L164"/>
    </row>
    <row r="165" spans="10:12">
      <c r="J165" s="68"/>
      <c r="K165"/>
      <c r="L165"/>
    </row>
  </sheetData>
  <mergeCells count="7">
    <mergeCell ref="A135:D135"/>
    <mergeCell ref="A136:D136"/>
    <mergeCell ref="A1:H1"/>
    <mergeCell ref="A2:H2"/>
    <mergeCell ref="B3:D3"/>
    <mergeCell ref="A134:D134"/>
    <mergeCell ref="A6:H6"/>
  </mergeCells>
  <phoneticPr fontId="15" type="noConversion"/>
  <pageMargins left="0.70866141732283472" right="0.70866141732283472" top="0.74803149606299213" bottom="0.74803149606299213" header="0.31496062992125984" footer="0.31496062992125984"/>
  <pageSetup paperSize="9" scale="66" fitToHeight="11" orientation="portrait" horizontalDpi="0" verticalDpi="0"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B89EE3-839A-44D2-9B95-0AA4990DA2AC}">
  <sheetPr codeName="Feuil12">
    <pageSetUpPr fitToPage="1"/>
  </sheetPr>
  <dimension ref="A1:M139"/>
  <sheetViews>
    <sheetView showZeros="0" zoomScale="90" zoomScaleNormal="90" workbookViewId="0">
      <selection activeCell="J6" sqref="J6"/>
    </sheetView>
  </sheetViews>
  <sheetFormatPr baseColWidth="10" defaultColWidth="11.44140625" defaultRowHeight="15"/>
  <cols>
    <col min="1" max="3" width="9.77734375" style="1" customWidth="1"/>
    <col min="4" max="4" width="47.5546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1" width="11.44140625" style="1"/>
    <col min="12" max="12" width="68.77734375" style="1" customWidth="1"/>
    <col min="13" max="203" width="11.44140625" style="1"/>
    <col min="204" max="204" width="4.21875" style="1" customWidth="1"/>
    <col min="205" max="206" width="11.44140625" style="1"/>
    <col min="207" max="207" width="22" style="1" customWidth="1"/>
    <col min="208" max="208" width="6.77734375" style="1" customWidth="1"/>
    <col min="209" max="209" width="15.44140625" style="1" bestFit="1" customWidth="1"/>
    <col min="210" max="210" width="11.44140625" style="1"/>
    <col min="211" max="211" width="14.21875" style="1" bestFit="1" customWidth="1"/>
    <col min="212" max="212" width="11.77734375" style="1" bestFit="1" customWidth="1"/>
    <col min="213" max="213" width="13.21875" style="1" bestFit="1" customWidth="1"/>
    <col min="214" max="214" width="11.77734375" style="1" bestFit="1" customWidth="1"/>
    <col min="215" max="459" width="11.44140625" style="1"/>
    <col min="460" max="460" width="4.21875" style="1" customWidth="1"/>
    <col min="461" max="462" width="11.44140625" style="1"/>
    <col min="463" max="463" width="22" style="1" customWidth="1"/>
    <col min="464" max="464" width="6.77734375" style="1" customWidth="1"/>
    <col min="465" max="465" width="15.44140625" style="1" bestFit="1" customWidth="1"/>
    <col min="466" max="466" width="11.44140625" style="1"/>
    <col min="467" max="467" width="14.21875" style="1" bestFit="1" customWidth="1"/>
    <col min="468" max="468" width="11.77734375" style="1" bestFit="1" customWidth="1"/>
    <col min="469" max="469" width="13.21875" style="1" bestFit="1" customWidth="1"/>
    <col min="470" max="470" width="11.77734375" style="1" bestFit="1" customWidth="1"/>
    <col min="471" max="715" width="11.44140625" style="1"/>
    <col min="716" max="716" width="4.21875" style="1" customWidth="1"/>
    <col min="717" max="718" width="11.44140625" style="1"/>
    <col min="719" max="719" width="22" style="1" customWidth="1"/>
    <col min="720" max="720" width="6.77734375" style="1" customWidth="1"/>
    <col min="721" max="721" width="15.44140625" style="1" bestFit="1" customWidth="1"/>
    <col min="722" max="722" width="11.44140625" style="1"/>
    <col min="723" max="723" width="14.21875" style="1" bestFit="1" customWidth="1"/>
    <col min="724" max="724" width="11.77734375" style="1" bestFit="1" customWidth="1"/>
    <col min="725" max="725" width="13.21875" style="1" bestFit="1" customWidth="1"/>
    <col min="726" max="726" width="11.77734375" style="1" bestFit="1" customWidth="1"/>
    <col min="727" max="971" width="11.44140625" style="1"/>
    <col min="972" max="972" width="4.21875" style="1" customWidth="1"/>
    <col min="973" max="974" width="11.44140625" style="1"/>
    <col min="975" max="975" width="22" style="1" customWidth="1"/>
    <col min="976" max="976" width="6.77734375" style="1" customWidth="1"/>
    <col min="977" max="977" width="15.44140625" style="1" bestFit="1" customWidth="1"/>
    <col min="978" max="978" width="11.44140625" style="1"/>
    <col min="979" max="979" width="14.21875" style="1" bestFit="1" customWidth="1"/>
    <col min="980" max="980" width="11.77734375" style="1" bestFit="1" customWidth="1"/>
    <col min="981" max="981" width="13.21875" style="1" bestFit="1" customWidth="1"/>
    <col min="982" max="982" width="11.77734375" style="1" bestFit="1" customWidth="1"/>
    <col min="983" max="1227" width="11.44140625" style="1"/>
    <col min="1228" max="1228" width="4.21875" style="1" customWidth="1"/>
    <col min="1229" max="1230" width="11.44140625" style="1"/>
    <col min="1231" max="1231" width="22" style="1" customWidth="1"/>
    <col min="1232" max="1232" width="6.77734375" style="1" customWidth="1"/>
    <col min="1233" max="1233" width="15.44140625" style="1" bestFit="1" customWidth="1"/>
    <col min="1234" max="1234" width="11.44140625" style="1"/>
    <col min="1235" max="1235" width="14.21875" style="1" bestFit="1" customWidth="1"/>
    <col min="1236" max="1236" width="11.77734375" style="1" bestFit="1" customWidth="1"/>
    <col min="1237" max="1237" width="13.21875" style="1" bestFit="1" customWidth="1"/>
    <col min="1238" max="1238" width="11.77734375" style="1" bestFit="1" customWidth="1"/>
    <col min="1239" max="1483" width="11.44140625" style="1"/>
    <col min="1484" max="1484" width="4.21875" style="1" customWidth="1"/>
    <col min="1485" max="1486" width="11.44140625" style="1"/>
    <col min="1487" max="1487" width="22" style="1" customWidth="1"/>
    <col min="1488" max="1488" width="6.77734375" style="1" customWidth="1"/>
    <col min="1489" max="1489" width="15.44140625" style="1" bestFit="1" customWidth="1"/>
    <col min="1490" max="1490" width="11.44140625" style="1"/>
    <col min="1491" max="1491" width="14.21875" style="1" bestFit="1" customWidth="1"/>
    <col min="1492" max="1492" width="11.77734375" style="1" bestFit="1" customWidth="1"/>
    <col min="1493" max="1493" width="13.21875" style="1" bestFit="1" customWidth="1"/>
    <col min="1494" max="1494" width="11.77734375" style="1" bestFit="1" customWidth="1"/>
    <col min="1495" max="1739" width="11.44140625" style="1"/>
    <col min="1740" max="1740" width="4.21875" style="1" customWidth="1"/>
    <col min="1741" max="1742" width="11.44140625" style="1"/>
    <col min="1743" max="1743" width="22" style="1" customWidth="1"/>
    <col min="1744" max="1744" width="6.77734375" style="1" customWidth="1"/>
    <col min="1745" max="1745" width="15.44140625" style="1" bestFit="1" customWidth="1"/>
    <col min="1746" max="1746" width="11.44140625" style="1"/>
    <col min="1747" max="1747" width="14.21875" style="1" bestFit="1" customWidth="1"/>
    <col min="1748" max="1748" width="11.77734375" style="1" bestFit="1" customWidth="1"/>
    <col min="1749" max="1749" width="13.21875" style="1" bestFit="1" customWidth="1"/>
    <col min="1750" max="1750" width="11.77734375" style="1" bestFit="1" customWidth="1"/>
    <col min="1751" max="1995" width="11.44140625" style="1"/>
    <col min="1996" max="1996" width="4.21875" style="1" customWidth="1"/>
    <col min="1997" max="1998" width="11.44140625" style="1"/>
    <col min="1999" max="1999" width="22" style="1" customWidth="1"/>
    <col min="2000" max="2000" width="6.77734375" style="1" customWidth="1"/>
    <col min="2001" max="2001" width="15.44140625" style="1" bestFit="1" customWidth="1"/>
    <col min="2002" max="2002" width="11.44140625" style="1"/>
    <col min="2003" max="2003" width="14.21875" style="1" bestFit="1" customWidth="1"/>
    <col min="2004" max="2004" width="11.77734375" style="1" bestFit="1" customWidth="1"/>
    <col min="2005" max="2005" width="13.21875" style="1" bestFit="1" customWidth="1"/>
    <col min="2006" max="2006" width="11.77734375" style="1" bestFit="1" customWidth="1"/>
    <col min="2007" max="2251" width="11.44140625" style="1"/>
    <col min="2252" max="2252" width="4.21875" style="1" customWidth="1"/>
    <col min="2253" max="2254" width="11.44140625" style="1"/>
    <col min="2255" max="2255" width="22" style="1" customWidth="1"/>
    <col min="2256" max="2256" width="6.77734375" style="1" customWidth="1"/>
    <col min="2257" max="2257" width="15.44140625" style="1" bestFit="1" customWidth="1"/>
    <col min="2258" max="2258" width="11.44140625" style="1"/>
    <col min="2259" max="2259" width="14.21875" style="1" bestFit="1" customWidth="1"/>
    <col min="2260" max="2260" width="11.77734375" style="1" bestFit="1" customWidth="1"/>
    <col min="2261" max="2261" width="13.21875" style="1" bestFit="1" customWidth="1"/>
    <col min="2262" max="2262" width="11.77734375" style="1" bestFit="1" customWidth="1"/>
    <col min="2263" max="2507" width="11.44140625" style="1"/>
    <col min="2508" max="2508" width="4.21875" style="1" customWidth="1"/>
    <col min="2509" max="2510" width="11.44140625" style="1"/>
    <col min="2511" max="2511" width="22" style="1" customWidth="1"/>
    <col min="2512" max="2512" width="6.77734375" style="1" customWidth="1"/>
    <col min="2513" max="2513" width="15.44140625" style="1" bestFit="1" customWidth="1"/>
    <col min="2514" max="2514" width="11.44140625" style="1"/>
    <col min="2515" max="2515" width="14.21875" style="1" bestFit="1" customWidth="1"/>
    <col min="2516" max="2516" width="11.77734375" style="1" bestFit="1" customWidth="1"/>
    <col min="2517" max="2517" width="13.21875" style="1" bestFit="1" customWidth="1"/>
    <col min="2518" max="2518" width="11.77734375" style="1" bestFit="1" customWidth="1"/>
    <col min="2519" max="2763" width="11.44140625" style="1"/>
    <col min="2764" max="2764" width="4.21875" style="1" customWidth="1"/>
    <col min="2765" max="2766" width="11.44140625" style="1"/>
    <col min="2767" max="2767" width="22" style="1" customWidth="1"/>
    <col min="2768" max="2768" width="6.77734375" style="1" customWidth="1"/>
    <col min="2769" max="2769" width="15.44140625" style="1" bestFit="1" customWidth="1"/>
    <col min="2770" max="2770" width="11.44140625" style="1"/>
    <col min="2771" max="2771" width="14.21875" style="1" bestFit="1" customWidth="1"/>
    <col min="2772" max="2772" width="11.77734375" style="1" bestFit="1" customWidth="1"/>
    <col min="2773" max="2773" width="13.21875" style="1" bestFit="1" customWidth="1"/>
    <col min="2774" max="2774" width="11.77734375" style="1" bestFit="1" customWidth="1"/>
    <col min="2775" max="3019" width="11.44140625" style="1"/>
    <col min="3020" max="3020" width="4.21875" style="1" customWidth="1"/>
    <col min="3021" max="3022" width="11.44140625" style="1"/>
    <col min="3023" max="3023" width="22" style="1" customWidth="1"/>
    <col min="3024" max="3024" width="6.77734375" style="1" customWidth="1"/>
    <col min="3025" max="3025" width="15.44140625" style="1" bestFit="1" customWidth="1"/>
    <col min="3026" max="3026" width="11.44140625" style="1"/>
    <col min="3027" max="3027" width="14.21875" style="1" bestFit="1" customWidth="1"/>
    <col min="3028" max="3028" width="11.77734375" style="1" bestFit="1" customWidth="1"/>
    <col min="3029" max="3029" width="13.21875" style="1" bestFit="1" customWidth="1"/>
    <col min="3030" max="3030" width="11.77734375" style="1" bestFit="1" customWidth="1"/>
    <col min="3031" max="3275" width="11.44140625" style="1"/>
    <col min="3276" max="3276" width="4.21875" style="1" customWidth="1"/>
    <col min="3277" max="3278" width="11.44140625" style="1"/>
    <col min="3279" max="3279" width="22" style="1" customWidth="1"/>
    <col min="3280" max="3280" width="6.77734375" style="1" customWidth="1"/>
    <col min="3281" max="3281" width="15.44140625" style="1" bestFit="1" customWidth="1"/>
    <col min="3282" max="3282" width="11.44140625" style="1"/>
    <col min="3283" max="3283" width="14.21875" style="1" bestFit="1" customWidth="1"/>
    <col min="3284" max="3284" width="11.77734375" style="1" bestFit="1" customWidth="1"/>
    <col min="3285" max="3285" width="13.21875" style="1" bestFit="1" customWidth="1"/>
    <col min="3286" max="3286" width="11.77734375" style="1" bestFit="1" customWidth="1"/>
    <col min="3287" max="3531" width="11.44140625" style="1"/>
    <col min="3532" max="3532" width="4.21875" style="1" customWidth="1"/>
    <col min="3533" max="3534" width="11.44140625" style="1"/>
    <col min="3535" max="3535" width="22" style="1" customWidth="1"/>
    <col min="3536" max="3536" width="6.77734375" style="1" customWidth="1"/>
    <col min="3537" max="3537" width="15.44140625" style="1" bestFit="1" customWidth="1"/>
    <col min="3538" max="3538" width="11.44140625" style="1"/>
    <col min="3539" max="3539" width="14.21875" style="1" bestFit="1" customWidth="1"/>
    <col min="3540" max="3540" width="11.77734375" style="1" bestFit="1" customWidth="1"/>
    <col min="3541" max="3541" width="13.21875" style="1" bestFit="1" customWidth="1"/>
    <col min="3542" max="3542" width="11.77734375" style="1" bestFit="1" customWidth="1"/>
    <col min="3543" max="3787" width="11.44140625" style="1"/>
    <col min="3788" max="3788" width="4.21875" style="1" customWidth="1"/>
    <col min="3789" max="3790" width="11.44140625" style="1"/>
    <col min="3791" max="3791" width="22" style="1" customWidth="1"/>
    <col min="3792" max="3792" width="6.77734375" style="1" customWidth="1"/>
    <col min="3793" max="3793" width="15.44140625" style="1" bestFit="1" customWidth="1"/>
    <col min="3794" max="3794" width="11.44140625" style="1"/>
    <col min="3795" max="3795" width="14.21875" style="1" bestFit="1" customWidth="1"/>
    <col min="3796" max="3796" width="11.77734375" style="1" bestFit="1" customWidth="1"/>
    <col min="3797" max="3797" width="13.21875" style="1" bestFit="1" customWidth="1"/>
    <col min="3798" max="3798" width="11.77734375" style="1" bestFit="1" customWidth="1"/>
    <col min="3799" max="4043" width="11.44140625" style="1"/>
    <col min="4044" max="4044" width="4.21875" style="1" customWidth="1"/>
    <col min="4045" max="4046" width="11.44140625" style="1"/>
    <col min="4047" max="4047" width="22" style="1" customWidth="1"/>
    <col min="4048" max="4048" width="6.77734375" style="1" customWidth="1"/>
    <col min="4049" max="4049" width="15.44140625" style="1" bestFit="1" customWidth="1"/>
    <col min="4050" max="4050" width="11.44140625" style="1"/>
    <col min="4051" max="4051" width="14.21875" style="1" bestFit="1" customWidth="1"/>
    <col min="4052" max="4052" width="11.77734375" style="1" bestFit="1" customWidth="1"/>
    <col min="4053" max="4053" width="13.21875" style="1" bestFit="1" customWidth="1"/>
    <col min="4054" max="4054" width="11.77734375" style="1" bestFit="1" customWidth="1"/>
    <col min="4055" max="4299" width="11.44140625" style="1"/>
    <col min="4300" max="4300" width="4.21875" style="1" customWidth="1"/>
    <col min="4301" max="4302" width="11.44140625" style="1"/>
    <col min="4303" max="4303" width="22" style="1" customWidth="1"/>
    <col min="4304" max="4304" width="6.77734375" style="1" customWidth="1"/>
    <col min="4305" max="4305" width="15.44140625" style="1" bestFit="1" customWidth="1"/>
    <col min="4306" max="4306" width="11.44140625" style="1"/>
    <col min="4307" max="4307" width="14.21875" style="1" bestFit="1" customWidth="1"/>
    <col min="4308" max="4308" width="11.77734375" style="1" bestFit="1" customWidth="1"/>
    <col min="4309" max="4309" width="13.21875" style="1" bestFit="1" customWidth="1"/>
    <col min="4310" max="4310" width="11.77734375" style="1" bestFit="1" customWidth="1"/>
    <col min="4311" max="4555" width="11.44140625" style="1"/>
    <col min="4556" max="4556" width="4.21875" style="1" customWidth="1"/>
    <col min="4557" max="4558" width="11.44140625" style="1"/>
    <col min="4559" max="4559" width="22" style="1" customWidth="1"/>
    <col min="4560" max="4560" width="6.77734375" style="1" customWidth="1"/>
    <col min="4561" max="4561" width="15.44140625" style="1" bestFit="1" customWidth="1"/>
    <col min="4562" max="4562" width="11.44140625" style="1"/>
    <col min="4563" max="4563" width="14.21875" style="1" bestFit="1" customWidth="1"/>
    <col min="4564" max="4564" width="11.77734375" style="1" bestFit="1" customWidth="1"/>
    <col min="4565" max="4565" width="13.21875" style="1" bestFit="1" customWidth="1"/>
    <col min="4566" max="4566" width="11.77734375" style="1" bestFit="1" customWidth="1"/>
    <col min="4567" max="4811" width="11.44140625" style="1"/>
    <col min="4812" max="4812" width="4.21875" style="1" customWidth="1"/>
    <col min="4813" max="4814" width="11.44140625" style="1"/>
    <col min="4815" max="4815" width="22" style="1" customWidth="1"/>
    <col min="4816" max="4816" width="6.77734375" style="1" customWidth="1"/>
    <col min="4817" max="4817" width="15.44140625" style="1" bestFit="1" customWidth="1"/>
    <col min="4818" max="4818" width="11.44140625" style="1"/>
    <col min="4819" max="4819" width="14.21875" style="1" bestFit="1" customWidth="1"/>
    <col min="4820" max="4820" width="11.77734375" style="1" bestFit="1" customWidth="1"/>
    <col min="4821" max="4821" width="13.21875" style="1" bestFit="1" customWidth="1"/>
    <col min="4822" max="4822" width="11.77734375" style="1" bestFit="1" customWidth="1"/>
    <col min="4823" max="5067" width="11.44140625" style="1"/>
    <col min="5068" max="5068" width="4.21875" style="1" customWidth="1"/>
    <col min="5069" max="5070" width="11.44140625" style="1"/>
    <col min="5071" max="5071" width="22" style="1" customWidth="1"/>
    <col min="5072" max="5072" width="6.77734375" style="1" customWidth="1"/>
    <col min="5073" max="5073" width="15.44140625" style="1" bestFit="1" customWidth="1"/>
    <col min="5074" max="5074" width="11.44140625" style="1"/>
    <col min="5075" max="5075" width="14.21875" style="1" bestFit="1" customWidth="1"/>
    <col min="5076" max="5076" width="11.77734375" style="1" bestFit="1" customWidth="1"/>
    <col min="5077" max="5077" width="13.21875" style="1" bestFit="1" customWidth="1"/>
    <col min="5078" max="5078" width="11.77734375" style="1" bestFit="1" customWidth="1"/>
    <col min="5079" max="5323" width="11.44140625" style="1"/>
    <col min="5324" max="5324" width="4.21875" style="1" customWidth="1"/>
    <col min="5325" max="5326" width="11.44140625" style="1"/>
    <col min="5327" max="5327" width="22" style="1" customWidth="1"/>
    <col min="5328" max="5328" width="6.77734375" style="1" customWidth="1"/>
    <col min="5329" max="5329" width="15.44140625" style="1" bestFit="1" customWidth="1"/>
    <col min="5330" max="5330" width="11.44140625" style="1"/>
    <col min="5331" max="5331" width="14.21875" style="1" bestFit="1" customWidth="1"/>
    <col min="5332" max="5332" width="11.77734375" style="1" bestFit="1" customWidth="1"/>
    <col min="5333" max="5333" width="13.21875" style="1" bestFit="1" customWidth="1"/>
    <col min="5334" max="5334" width="11.77734375" style="1" bestFit="1" customWidth="1"/>
    <col min="5335" max="5579" width="11.44140625" style="1"/>
    <col min="5580" max="5580" width="4.21875" style="1" customWidth="1"/>
    <col min="5581" max="5582" width="11.44140625" style="1"/>
    <col min="5583" max="5583" width="22" style="1" customWidth="1"/>
    <col min="5584" max="5584" width="6.77734375" style="1" customWidth="1"/>
    <col min="5585" max="5585" width="15.44140625" style="1" bestFit="1" customWidth="1"/>
    <col min="5586" max="5586" width="11.44140625" style="1"/>
    <col min="5587" max="5587" width="14.21875" style="1" bestFit="1" customWidth="1"/>
    <col min="5588" max="5588" width="11.77734375" style="1" bestFit="1" customWidth="1"/>
    <col min="5589" max="5589" width="13.21875" style="1" bestFit="1" customWidth="1"/>
    <col min="5590" max="5590" width="11.77734375" style="1" bestFit="1" customWidth="1"/>
    <col min="5591" max="5835" width="11.44140625" style="1"/>
    <col min="5836" max="5836" width="4.21875" style="1" customWidth="1"/>
    <col min="5837" max="5838" width="11.44140625" style="1"/>
    <col min="5839" max="5839" width="22" style="1" customWidth="1"/>
    <col min="5840" max="5840" width="6.77734375" style="1" customWidth="1"/>
    <col min="5841" max="5841" width="15.44140625" style="1" bestFit="1" customWidth="1"/>
    <col min="5842" max="5842" width="11.44140625" style="1"/>
    <col min="5843" max="5843" width="14.21875" style="1" bestFit="1" customWidth="1"/>
    <col min="5844" max="5844" width="11.77734375" style="1" bestFit="1" customWidth="1"/>
    <col min="5845" max="5845" width="13.21875" style="1" bestFit="1" customWidth="1"/>
    <col min="5846" max="5846" width="11.77734375" style="1" bestFit="1" customWidth="1"/>
    <col min="5847" max="6091" width="11.44140625" style="1"/>
    <col min="6092" max="6092" width="4.21875" style="1" customWidth="1"/>
    <col min="6093" max="6094" width="11.44140625" style="1"/>
    <col min="6095" max="6095" width="22" style="1" customWidth="1"/>
    <col min="6096" max="6096" width="6.77734375" style="1" customWidth="1"/>
    <col min="6097" max="6097" width="15.44140625" style="1" bestFit="1" customWidth="1"/>
    <col min="6098" max="6098" width="11.44140625" style="1"/>
    <col min="6099" max="6099" width="14.21875" style="1" bestFit="1" customWidth="1"/>
    <col min="6100" max="6100" width="11.77734375" style="1" bestFit="1" customWidth="1"/>
    <col min="6101" max="6101" width="13.21875" style="1" bestFit="1" customWidth="1"/>
    <col min="6102" max="6102" width="11.77734375" style="1" bestFit="1" customWidth="1"/>
    <col min="6103" max="6347" width="11.44140625" style="1"/>
    <col min="6348" max="6348" width="4.21875" style="1" customWidth="1"/>
    <col min="6349" max="6350" width="11.44140625" style="1"/>
    <col min="6351" max="6351" width="22" style="1" customWidth="1"/>
    <col min="6352" max="6352" width="6.77734375" style="1" customWidth="1"/>
    <col min="6353" max="6353" width="15.44140625" style="1" bestFit="1" customWidth="1"/>
    <col min="6354" max="6354" width="11.44140625" style="1"/>
    <col min="6355" max="6355" width="14.21875" style="1" bestFit="1" customWidth="1"/>
    <col min="6356" max="6356" width="11.77734375" style="1" bestFit="1" customWidth="1"/>
    <col min="6357" max="6357" width="13.21875" style="1" bestFit="1" customWidth="1"/>
    <col min="6358" max="6358" width="11.77734375" style="1" bestFit="1" customWidth="1"/>
    <col min="6359" max="6603" width="11.44140625" style="1"/>
    <col min="6604" max="6604" width="4.21875" style="1" customWidth="1"/>
    <col min="6605" max="6606" width="11.44140625" style="1"/>
    <col min="6607" max="6607" width="22" style="1" customWidth="1"/>
    <col min="6608" max="6608" width="6.77734375" style="1" customWidth="1"/>
    <col min="6609" max="6609" width="15.44140625" style="1" bestFit="1" customWidth="1"/>
    <col min="6610" max="6610" width="11.44140625" style="1"/>
    <col min="6611" max="6611" width="14.21875" style="1" bestFit="1" customWidth="1"/>
    <col min="6612" max="6612" width="11.77734375" style="1" bestFit="1" customWidth="1"/>
    <col min="6613" max="6613" width="13.21875" style="1" bestFit="1" customWidth="1"/>
    <col min="6614" max="6614" width="11.77734375" style="1" bestFit="1" customWidth="1"/>
    <col min="6615" max="6859" width="11.44140625" style="1"/>
    <col min="6860" max="6860" width="4.21875" style="1" customWidth="1"/>
    <col min="6861" max="6862" width="11.44140625" style="1"/>
    <col min="6863" max="6863" width="22" style="1" customWidth="1"/>
    <col min="6864" max="6864" width="6.77734375" style="1" customWidth="1"/>
    <col min="6865" max="6865" width="15.44140625" style="1" bestFit="1" customWidth="1"/>
    <col min="6866" max="6866" width="11.44140625" style="1"/>
    <col min="6867" max="6867" width="14.21875" style="1" bestFit="1" customWidth="1"/>
    <col min="6868" max="6868" width="11.77734375" style="1" bestFit="1" customWidth="1"/>
    <col min="6869" max="6869" width="13.21875" style="1" bestFit="1" customWidth="1"/>
    <col min="6870" max="6870" width="11.77734375" style="1" bestFit="1" customWidth="1"/>
    <col min="6871" max="7115" width="11.44140625" style="1"/>
    <col min="7116" max="7116" width="4.21875" style="1" customWidth="1"/>
    <col min="7117" max="7118" width="11.44140625" style="1"/>
    <col min="7119" max="7119" width="22" style="1" customWidth="1"/>
    <col min="7120" max="7120" width="6.77734375" style="1" customWidth="1"/>
    <col min="7121" max="7121" width="15.44140625" style="1" bestFit="1" customWidth="1"/>
    <col min="7122" max="7122" width="11.44140625" style="1"/>
    <col min="7123" max="7123" width="14.21875" style="1" bestFit="1" customWidth="1"/>
    <col min="7124" max="7124" width="11.77734375" style="1" bestFit="1" customWidth="1"/>
    <col min="7125" max="7125" width="13.21875" style="1" bestFit="1" customWidth="1"/>
    <col min="7126" max="7126" width="11.77734375" style="1" bestFit="1" customWidth="1"/>
    <col min="7127" max="7371" width="11.44140625" style="1"/>
    <col min="7372" max="7372" width="4.21875" style="1" customWidth="1"/>
    <col min="7373" max="7374" width="11.44140625" style="1"/>
    <col min="7375" max="7375" width="22" style="1" customWidth="1"/>
    <col min="7376" max="7376" width="6.77734375" style="1" customWidth="1"/>
    <col min="7377" max="7377" width="15.44140625" style="1" bestFit="1" customWidth="1"/>
    <col min="7378" max="7378" width="11.44140625" style="1"/>
    <col min="7379" max="7379" width="14.21875" style="1" bestFit="1" customWidth="1"/>
    <col min="7380" max="7380" width="11.77734375" style="1" bestFit="1" customWidth="1"/>
    <col min="7381" max="7381" width="13.21875" style="1" bestFit="1" customWidth="1"/>
    <col min="7382" max="7382" width="11.77734375" style="1" bestFit="1" customWidth="1"/>
    <col min="7383" max="7627" width="11.44140625" style="1"/>
    <col min="7628" max="7628" width="4.21875" style="1" customWidth="1"/>
    <col min="7629" max="7630" width="11.44140625" style="1"/>
    <col min="7631" max="7631" width="22" style="1" customWidth="1"/>
    <col min="7632" max="7632" width="6.77734375" style="1" customWidth="1"/>
    <col min="7633" max="7633" width="15.44140625" style="1" bestFit="1" customWidth="1"/>
    <col min="7634" max="7634" width="11.44140625" style="1"/>
    <col min="7635" max="7635" width="14.21875" style="1" bestFit="1" customWidth="1"/>
    <col min="7636" max="7636" width="11.77734375" style="1" bestFit="1" customWidth="1"/>
    <col min="7637" max="7637" width="13.21875" style="1" bestFit="1" customWidth="1"/>
    <col min="7638" max="7638" width="11.77734375" style="1" bestFit="1" customWidth="1"/>
    <col min="7639" max="7883" width="11.44140625" style="1"/>
    <col min="7884" max="7884" width="4.21875" style="1" customWidth="1"/>
    <col min="7885" max="7886" width="11.44140625" style="1"/>
    <col min="7887" max="7887" width="22" style="1" customWidth="1"/>
    <col min="7888" max="7888" width="6.77734375" style="1" customWidth="1"/>
    <col min="7889" max="7889" width="15.44140625" style="1" bestFit="1" customWidth="1"/>
    <col min="7890" max="7890" width="11.44140625" style="1"/>
    <col min="7891" max="7891" width="14.21875" style="1" bestFit="1" customWidth="1"/>
    <col min="7892" max="7892" width="11.77734375" style="1" bestFit="1" customWidth="1"/>
    <col min="7893" max="7893" width="13.21875" style="1" bestFit="1" customWidth="1"/>
    <col min="7894" max="7894" width="11.77734375" style="1" bestFit="1" customWidth="1"/>
    <col min="7895" max="8139" width="11.44140625" style="1"/>
    <col min="8140" max="8140" width="4.21875" style="1" customWidth="1"/>
    <col min="8141" max="8142" width="11.44140625" style="1"/>
    <col min="8143" max="8143" width="22" style="1" customWidth="1"/>
    <col min="8144" max="8144" width="6.77734375" style="1" customWidth="1"/>
    <col min="8145" max="8145" width="15.44140625" style="1" bestFit="1" customWidth="1"/>
    <col min="8146" max="8146" width="11.44140625" style="1"/>
    <col min="8147" max="8147" width="14.21875" style="1" bestFit="1" customWidth="1"/>
    <col min="8148" max="8148" width="11.77734375" style="1" bestFit="1" customWidth="1"/>
    <col min="8149" max="8149" width="13.21875" style="1" bestFit="1" customWidth="1"/>
    <col min="8150" max="8150" width="11.77734375" style="1" bestFit="1" customWidth="1"/>
    <col min="8151" max="8395" width="11.44140625" style="1"/>
    <col min="8396" max="8396" width="4.21875" style="1" customWidth="1"/>
    <col min="8397" max="8398" width="11.44140625" style="1"/>
    <col min="8399" max="8399" width="22" style="1" customWidth="1"/>
    <col min="8400" max="8400" width="6.77734375" style="1" customWidth="1"/>
    <col min="8401" max="8401" width="15.44140625" style="1" bestFit="1" customWidth="1"/>
    <col min="8402" max="8402" width="11.44140625" style="1"/>
    <col min="8403" max="8403" width="14.21875" style="1" bestFit="1" customWidth="1"/>
    <col min="8404" max="8404" width="11.77734375" style="1" bestFit="1" customWidth="1"/>
    <col min="8405" max="8405" width="13.21875" style="1" bestFit="1" customWidth="1"/>
    <col min="8406" max="8406" width="11.77734375" style="1" bestFit="1" customWidth="1"/>
    <col min="8407" max="8651" width="11.44140625" style="1"/>
    <col min="8652" max="8652" width="4.21875" style="1" customWidth="1"/>
    <col min="8653" max="8654" width="11.44140625" style="1"/>
    <col min="8655" max="8655" width="22" style="1" customWidth="1"/>
    <col min="8656" max="8656" width="6.77734375" style="1" customWidth="1"/>
    <col min="8657" max="8657" width="15.44140625" style="1" bestFit="1" customWidth="1"/>
    <col min="8658" max="8658" width="11.44140625" style="1"/>
    <col min="8659" max="8659" width="14.21875" style="1" bestFit="1" customWidth="1"/>
    <col min="8660" max="8660" width="11.77734375" style="1" bestFit="1" customWidth="1"/>
    <col min="8661" max="8661" width="13.21875" style="1" bestFit="1" customWidth="1"/>
    <col min="8662" max="8662" width="11.77734375" style="1" bestFit="1" customWidth="1"/>
    <col min="8663" max="8907" width="11.44140625" style="1"/>
    <col min="8908" max="8908" width="4.21875" style="1" customWidth="1"/>
    <col min="8909" max="8910" width="11.44140625" style="1"/>
    <col min="8911" max="8911" width="22" style="1" customWidth="1"/>
    <col min="8912" max="8912" width="6.77734375" style="1" customWidth="1"/>
    <col min="8913" max="8913" width="15.44140625" style="1" bestFit="1" customWidth="1"/>
    <col min="8914" max="8914" width="11.44140625" style="1"/>
    <col min="8915" max="8915" width="14.21875" style="1" bestFit="1" customWidth="1"/>
    <col min="8916" max="8916" width="11.77734375" style="1" bestFit="1" customWidth="1"/>
    <col min="8917" max="8917" width="13.21875" style="1" bestFit="1" customWidth="1"/>
    <col min="8918" max="8918" width="11.77734375" style="1" bestFit="1" customWidth="1"/>
    <col min="8919" max="9163" width="11.44140625" style="1"/>
    <col min="9164" max="9164" width="4.21875" style="1" customWidth="1"/>
    <col min="9165" max="9166" width="11.44140625" style="1"/>
    <col min="9167" max="9167" width="22" style="1" customWidth="1"/>
    <col min="9168" max="9168" width="6.77734375" style="1" customWidth="1"/>
    <col min="9169" max="9169" width="15.44140625" style="1" bestFit="1" customWidth="1"/>
    <col min="9170" max="9170" width="11.44140625" style="1"/>
    <col min="9171" max="9171" width="14.21875" style="1" bestFit="1" customWidth="1"/>
    <col min="9172" max="9172" width="11.77734375" style="1" bestFit="1" customWidth="1"/>
    <col min="9173" max="9173" width="13.21875" style="1" bestFit="1" customWidth="1"/>
    <col min="9174" max="9174" width="11.77734375" style="1" bestFit="1" customWidth="1"/>
    <col min="9175" max="9419" width="11.44140625" style="1"/>
    <col min="9420" max="9420" width="4.21875" style="1" customWidth="1"/>
    <col min="9421" max="9422" width="11.44140625" style="1"/>
    <col min="9423" max="9423" width="22" style="1" customWidth="1"/>
    <col min="9424" max="9424" width="6.77734375" style="1" customWidth="1"/>
    <col min="9425" max="9425" width="15.44140625" style="1" bestFit="1" customWidth="1"/>
    <col min="9426" max="9426" width="11.44140625" style="1"/>
    <col min="9427" max="9427" width="14.21875" style="1" bestFit="1" customWidth="1"/>
    <col min="9428" max="9428" width="11.77734375" style="1" bestFit="1" customWidth="1"/>
    <col min="9429" max="9429" width="13.21875" style="1" bestFit="1" customWidth="1"/>
    <col min="9430" max="9430" width="11.77734375" style="1" bestFit="1" customWidth="1"/>
    <col min="9431" max="9675" width="11.44140625" style="1"/>
    <col min="9676" max="9676" width="4.21875" style="1" customWidth="1"/>
    <col min="9677" max="9678" width="11.44140625" style="1"/>
    <col min="9679" max="9679" width="22" style="1" customWidth="1"/>
    <col min="9680" max="9680" width="6.77734375" style="1" customWidth="1"/>
    <col min="9681" max="9681" width="15.44140625" style="1" bestFit="1" customWidth="1"/>
    <col min="9682" max="9682" width="11.44140625" style="1"/>
    <col min="9683" max="9683" width="14.21875" style="1" bestFit="1" customWidth="1"/>
    <col min="9684" max="9684" width="11.77734375" style="1" bestFit="1" customWidth="1"/>
    <col min="9685" max="9685" width="13.21875" style="1" bestFit="1" customWidth="1"/>
    <col min="9686" max="9686" width="11.77734375" style="1" bestFit="1" customWidth="1"/>
    <col min="9687" max="9931" width="11.44140625" style="1"/>
    <col min="9932" max="9932" width="4.21875" style="1" customWidth="1"/>
    <col min="9933" max="9934" width="11.44140625" style="1"/>
    <col min="9935" max="9935" width="22" style="1" customWidth="1"/>
    <col min="9936" max="9936" width="6.77734375" style="1" customWidth="1"/>
    <col min="9937" max="9937" width="15.44140625" style="1" bestFit="1" customWidth="1"/>
    <col min="9938" max="9938" width="11.44140625" style="1"/>
    <col min="9939" max="9939" width="14.21875" style="1" bestFit="1" customWidth="1"/>
    <col min="9940" max="9940" width="11.77734375" style="1" bestFit="1" customWidth="1"/>
    <col min="9941" max="9941" width="13.21875" style="1" bestFit="1" customWidth="1"/>
    <col min="9942" max="9942" width="11.77734375" style="1" bestFit="1" customWidth="1"/>
    <col min="9943" max="10187" width="11.44140625" style="1"/>
    <col min="10188" max="10188" width="4.21875" style="1" customWidth="1"/>
    <col min="10189" max="10190" width="11.44140625" style="1"/>
    <col min="10191" max="10191" width="22" style="1" customWidth="1"/>
    <col min="10192" max="10192" width="6.77734375" style="1" customWidth="1"/>
    <col min="10193" max="10193" width="15.44140625" style="1" bestFit="1" customWidth="1"/>
    <col min="10194" max="10194" width="11.44140625" style="1"/>
    <col min="10195" max="10195" width="14.21875" style="1" bestFit="1" customWidth="1"/>
    <col min="10196" max="10196" width="11.77734375" style="1" bestFit="1" customWidth="1"/>
    <col min="10197" max="10197" width="13.21875" style="1" bestFit="1" customWidth="1"/>
    <col min="10198" max="10198" width="11.77734375" style="1" bestFit="1" customWidth="1"/>
    <col min="10199" max="10443" width="11.44140625" style="1"/>
    <col min="10444" max="10444" width="4.21875" style="1" customWidth="1"/>
    <col min="10445" max="10446" width="11.44140625" style="1"/>
    <col min="10447" max="10447" width="22" style="1" customWidth="1"/>
    <col min="10448" max="10448" width="6.77734375" style="1" customWidth="1"/>
    <col min="10449" max="10449" width="15.44140625" style="1" bestFit="1" customWidth="1"/>
    <col min="10450" max="10450" width="11.44140625" style="1"/>
    <col min="10451" max="10451" width="14.21875" style="1" bestFit="1" customWidth="1"/>
    <col min="10452" max="10452" width="11.77734375" style="1" bestFit="1" customWidth="1"/>
    <col min="10453" max="10453" width="13.21875" style="1" bestFit="1" customWidth="1"/>
    <col min="10454" max="10454" width="11.77734375" style="1" bestFit="1" customWidth="1"/>
    <col min="10455" max="10699" width="11.44140625" style="1"/>
    <col min="10700" max="10700" width="4.21875" style="1" customWidth="1"/>
    <col min="10701" max="10702" width="11.44140625" style="1"/>
    <col min="10703" max="10703" width="22" style="1" customWidth="1"/>
    <col min="10704" max="10704" width="6.77734375" style="1" customWidth="1"/>
    <col min="10705" max="10705" width="15.44140625" style="1" bestFit="1" customWidth="1"/>
    <col min="10706" max="10706" width="11.44140625" style="1"/>
    <col min="10707" max="10707" width="14.21875" style="1" bestFit="1" customWidth="1"/>
    <col min="10708" max="10708" width="11.77734375" style="1" bestFit="1" customWidth="1"/>
    <col min="10709" max="10709" width="13.21875" style="1" bestFit="1" customWidth="1"/>
    <col min="10710" max="10710" width="11.77734375" style="1" bestFit="1" customWidth="1"/>
    <col min="10711" max="10955" width="11.44140625" style="1"/>
    <col min="10956" max="10956" width="4.21875" style="1" customWidth="1"/>
    <col min="10957" max="10958" width="11.44140625" style="1"/>
    <col min="10959" max="10959" width="22" style="1" customWidth="1"/>
    <col min="10960" max="10960" width="6.77734375" style="1" customWidth="1"/>
    <col min="10961" max="10961" width="15.44140625" style="1" bestFit="1" customWidth="1"/>
    <col min="10962" max="10962" width="11.44140625" style="1"/>
    <col min="10963" max="10963" width="14.21875" style="1" bestFit="1" customWidth="1"/>
    <col min="10964" max="10964" width="11.77734375" style="1" bestFit="1" customWidth="1"/>
    <col min="10965" max="10965" width="13.21875" style="1" bestFit="1" customWidth="1"/>
    <col min="10966" max="10966" width="11.77734375" style="1" bestFit="1" customWidth="1"/>
    <col min="10967" max="11211" width="11.44140625" style="1"/>
    <col min="11212" max="11212" width="4.21875" style="1" customWidth="1"/>
    <col min="11213" max="11214" width="11.44140625" style="1"/>
    <col min="11215" max="11215" width="22" style="1" customWidth="1"/>
    <col min="11216" max="11216" width="6.77734375" style="1" customWidth="1"/>
    <col min="11217" max="11217" width="15.44140625" style="1" bestFit="1" customWidth="1"/>
    <col min="11218" max="11218" width="11.44140625" style="1"/>
    <col min="11219" max="11219" width="14.21875" style="1" bestFit="1" customWidth="1"/>
    <col min="11220" max="11220" width="11.77734375" style="1" bestFit="1" customWidth="1"/>
    <col min="11221" max="11221" width="13.21875" style="1" bestFit="1" customWidth="1"/>
    <col min="11222" max="11222" width="11.77734375" style="1" bestFit="1" customWidth="1"/>
    <col min="11223" max="11467" width="11.44140625" style="1"/>
    <col min="11468" max="11468" width="4.21875" style="1" customWidth="1"/>
    <col min="11469" max="11470" width="11.44140625" style="1"/>
    <col min="11471" max="11471" width="22" style="1" customWidth="1"/>
    <col min="11472" max="11472" width="6.77734375" style="1" customWidth="1"/>
    <col min="11473" max="11473" width="15.44140625" style="1" bestFit="1" customWidth="1"/>
    <col min="11474" max="11474" width="11.44140625" style="1"/>
    <col min="11475" max="11475" width="14.21875" style="1" bestFit="1" customWidth="1"/>
    <col min="11476" max="11476" width="11.77734375" style="1" bestFit="1" customWidth="1"/>
    <col min="11477" max="11477" width="13.21875" style="1" bestFit="1" customWidth="1"/>
    <col min="11478" max="11478" width="11.77734375" style="1" bestFit="1" customWidth="1"/>
    <col min="11479" max="11723" width="11.44140625" style="1"/>
    <col min="11724" max="11724" width="4.21875" style="1" customWidth="1"/>
    <col min="11725" max="11726" width="11.44140625" style="1"/>
    <col min="11727" max="11727" width="22" style="1" customWidth="1"/>
    <col min="11728" max="11728" width="6.77734375" style="1" customWidth="1"/>
    <col min="11729" max="11729" width="15.44140625" style="1" bestFit="1" customWidth="1"/>
    <col min="11730" max="11730" width="11.44140625" style="1"/>
    <col min="11731" max="11731" width="14.21875" style="1" bestFit="1" customWidth="1"/>
    <col min="11732" max="11732" width="11.77734375" style="1" bestFit="1" customWidth="1"/>
    <col min="11733" max="11733" width="13.21875" style="1" bestFit="1" customWidth="1"/>
    <col min="11734" max="11734" width="11.77734375" style="1" bestFit="1" customWidth="1"/>
    <col min="11735" max="11979" width="11.44140625" style="1"/>
    <col min="11980" max="11980" width="4.21875" style="1" customWidth="1"/>
    <col min="11981" max="11982" width="11.44140625" style="1"/>
    <col min="11983" max="11983" width="22" style="1" customWidth="1"/>
    <col min="11984" max="11984" width="6.77734375" style="1" customWidth="1"/>
    <col min="11985" max="11985" width="15.44140625" style="1" bestFit="1" customWidth="1"/>
    <col min="11986" max="11986" width="11.44140625" style="1"/>
    <col min="11987" max="11987" width="14.21875" style="1" bestFit="1" customWidth="1"/>
    <col min="11988" max="11988" width="11.77734375" style="1" bestFit="1" customWidth="1"/>
    <col min="11989" max="11989" width="13.21875" style="1" bestFit="1" customWidth="1"/>
    <col min="11990" max="11990" width="11.77734375" style="1" bestFit="1" customWidth="1"/>
    <col min="11991" max="12235" width="11.44140625" style="1"/>
    <col min="12236" max="12236" width="4.21875" style="1" customWidth="1"/>
    <col min="12237" max="12238" width="11.44140625" style="1"/>
    <col min="12239" max="12239" width="22" style="1" customWidth="1"/>
    <col min="12240" max="12240" width="6.77734375" style="1" customWidth="1"/>
    <col min="12241" max="12241" width="15.44140625" style="1" bestFit="1" customWidth="1"/>
    <col min="12242" max="12242" width="11.44140625" style="1"/>
    <col min="12243" max="12243" width="14.21875" style="1" bestFit="1" customWidth="1"/>
    <col min="12244" max="12244" width="11.77734375" style="1" bestFit="1" customWidth="1"/>
    <col min="12245" max="12245" width="13.21875" style="1" bestFit="1" customWidth="1"/>
    <col min="12246" max="12246" width="11.77734375" style="1" bestFit="1" customWidth="1"/>
    <col min="12247" max="12491" width="11.44140625" style="1"/>
    <col min="12492" max="12492" width="4.21875" style="1" customWidth="1"/>
    <col min="12493" max="12494" width="11.44140625" style="1"/>
    <col min="12495" max="12495" width="22" style="1" customWidth="1"/>
    <col min="12496" max="12496" width="6.77734375" style="1" customWidth="1"/>
    <col min="12497" max="12497" width="15.44140625" style="1" bestFit="1" customWidth="1"/>
    <col min="12498" max="12498" width="11.44140625" style="1"/>
    <col min="12499" max="12499" width="14.21875" style="1" bestFit="1" customWidth="1"/>
    <col min="12500" max="12500" width="11.77734375" style="1" bestFit="1" customWidth="1"/>
    <col min="12501" max="12501" width="13.21875" style="1" bestFit="1" customWidth="1"/>
    <col min="12502" max="12502" width="11.77734375" style="1" bestFit="1" customWidth="1"/>
    <col min="12503" max="12747" width="11.44140625" style="1"/>
    <col min="12748" max="12748" width="4.21875" style="1" customWidth="1"/>
    <col min="12749" max="12750" width="11.44140625" style="1"/>
    <col min="12751" max="12751" width="22" style="1" customWidth="1"/>
    <col min="12752" max="12752" width="6.77734375" style="1" customWidth="1"/>
    <col min="12753" max="12753" width="15.44140625" style="1" bestFit="1" customWidth="1"/>
    <col min="12754" max="12754" width="11.44140625" style="1"/>
    <col min="12755" max="12755" width="14.21875" style="1" bestFit="1" customWidth="1"/>
    <col min="12756" max="12756" width="11.77734375" style="1" bestFit="1" customWidth="1"/>
    <col min="12757" max="12757" width="13.21875" style="1" bestFit="1" customWidth="1"/>
    <col min="12758" max="12758" width="11.77734375" style="1" bestFit="1" customWidth="1"/>
    <col min="12759" max="13003" width="11.44140625" style="1"/>
    <col min="13004" max="13004" width="4.21875" style="1" customWidth="1"/>
    <col min="13005" max="13006" width="11.44140625" style="1"/>
    <col min="13007" max="13007" width="22" style="1" customWidth="1"/>
    <col min="13008" max="13008" width="6.77734375" style="1" customWidth="1"/>
    <col min="13009" max="13009" width="15.44140625" style="1" bestFit="1" customWidth="1"/>
    <col min="13010" max="13010" width="11.44140625" style="1"/>
    <col min="13011" max="13011" width="14.21875" style="1" bestFit="1" customWidth="1"/>
    <col min="13012" max="13012" width="11.77734375" style="1" bestFit="1" customWidth="1"/>
    <col min="13013" max="13013" width="13.21875" style="1" bestFit="1" customWidth="1"/>
    <col min="13014" max="13014" width="11.77734375" style="1" bestFit="1" customWidth="1"/>
    <col min="13015" max="13259" width="11.44140625" style="1"/>
    <col min="13260" max="13260" width="4.21875" style="1" customWidth="1"/>
    <col min="13261" max="13262" width="11.44140625" style="1"/>
    <col min="13263" max="13263" width="22" style="1" customWidth="1"/>
    <col min="13264" max="13264" width="6.77734375" style="1" customWidth="1"/>
    <col min="13265" max="13265" width="15.44140625" style="1" bestFit="1" customWidth="1"/>
    <col min="13266" max="13266" width="11.44140625" style="1"/>
    <col min="13267" max="13267" width="14.21875" style="1" bestFit="1" customWidth="1"/>
    <col min="13268" max="13268" width="11.77734375" style="1" bestFit="1" customWidth="1"/>
    <col min="13269" max="13269" width="13.21875" style="1" bestFit="1" customWidth="1"/>
    <col min="13270" max="13270" width="11.77734375" style="1" bestFit="1" customWidth="1"/>
    <col min="13271" max="13515" width="11.44140625" style="1"/>
    <col min="13516" max="13516" width="4.21875" style="1" customWidth="1"/>
    <col min="13517" max="13518" width="11.44140625" style="1"/>
    <col min="13519" max="13519" width="22" style="1" customWidth="1"/>
    <col min="13520" max="13520" width="6.77734375" style="1" customWidth="1"/>
    <col min="13521" max="13521" width="15.44140625" style="1" bestFit="1" customWidth="1"/>
    <col min="13522" max="13522" width="11.44140625" style="1"/>
    <col min="13523" max="13523" width="14.21875" style="1" bestFit="1" customWidth="1"/>
    <col min="13524" max="13524" width="11.77734375" style="1" bestFit="1" customWidth="1"/>
    <col min="13525" max="13525" width="13.21875" style="1" bestFit="1" customWidth="1"/>
    <col min="13526" max="13526" width="11.77734375" style="1" bestFit="1" customWidth="1"/>
    <col min="13527" max="13771" width="11.44140625" style="1"/>
    <col min="13772" max="13772" width="4.21875" style="1" customWidth="1"/>
    <col min="13773" max="13774" width="11.44140625" style="1"/>
    <col min="13775" max="13775" width="22" style="1" customWidth="1"/>
    <col min="13776" max="13776" width="6.77734375" style="1" customWidth="1"/>
    <col min="13777" max="13777" width="15.44140625" style="1" bestFit="1" customWidth="1"/>
    <col min="13778" max="13778" width="11.44140625" style="1"/>
    <col min="13779" max="13779" width="14.21875" style="1" bestFit="1" customWidth="1"/>
    <col min="13780" max="13780" width="11.77734375" style="1" bestFit="1" customWidth="1"/>
    <col min="13781" max="13781" width="13.21875" style="1" bestFit="1" customWidth="1"/>
    <col min="13782" max="13782" width="11.77734375" style="1" bestFit="1" customWidth="1"/>
    <col min="13783" max="14027" width="11.44140625" style="1"/>
    <col min="14028" max="14028" width="4.21875" style="1" customWidth="1"/>
    <col min="14029" max="14030" width="11.44140625" style="1"/>
    <col min="14031" max="14031" width="22" style="1" customWidth="1"/>
    <col min="14032" max="14032" width="6.77734375" style="1" customWidth="1"/>
    <col min="14033" max="14033" width="15.44140625" style="1" bestFit="1" customWidth="1"/>
    <col min="14034" max="14034" width="11.44140625" style="1"/>
    <col min="14035" max="14035" width="14.21875" style="1" bestFit="1" customWidth="1"/>
    <col min="14036" max="14036" width="11.77734375" style="1" bestFit="1" customWidth="1"/>
    <col min="14037" max="14037" width="13.21875" style="1" bestFit="1" customWidth="1"/>
    <col min="14038" max="14038" width="11.77734375" style="1" bestFit="1" customWidth="1"/>
    <col min="14039" max="14283" width="11.44140625" style="1"/>
    <col min="14284" max="14284" width="4.21875" style="1" customWidth="1"/>
    <col min="14285" max="14286" width="11.44140625" style="1"/>
    <col min="14287" max="14287" width="22" style="1" customWidth="1"/>
    <col min="14288" max="14288" width="6.77734375" style="1" customWidth="1"/>
    <col min="14289" max="14289" width="15.44140625" style="1" bestFit="1" customWidth="1"/>
    <col min="14290" max="14290" width="11.44140625" style="1"/>
    <col min="14291" max="14291" width="14.21875" style="1" bestFit="1" customWidth="1"/>
    <col min="14292" max="14292" width="11.77734375" style="1" bestFit="1" customWidth="1"/>
    <col min="14293" max="14293" width="13.21875" style="1" bestFit="1" customWidth="1"/>
    <col min="14294" max="14294" width="11.77734375" style="1" bestFit="1" customWidth="1"/>
    <col min="14295" max="14539" width="11.44140625" style="1"/>
    <col min="14540" max="14540" width="4.21875" style="1" customWidth="1"/>
    <col min="14541" max="14542" width="11.44140625" style="1"/>
    <col min="14543" max="14543" width="22" style="1" customWidth="1"/>
    <col min="14544" max="14544" width="6.77734375" style="1" customWidth="1"/>
    <col min="14545" max="14545" width="15.44140625" style="1" bestFit="1" customWidth="1"/>
    <col min="14546" max="14546" width="11.44140625" style="1"/>
    <col min="14547" max="14547" width="14.21875" style="1" bestFit="1" customWidth="1"/>
    <col min="14548" max="14548" width="11.77734375" style="1" bestFit="1" customWidth="1"/>
    <col min="14549" max="14549" width="13.21875" style="1" bestFit="1" customWidth="1"/>
    <col min="14550" max="14550" width="11.77734375" style="1" bestFit="1" customWidth="1"/>
    <col min="14551" max="14795" width="11.44140625" style="1"/>
    <col min="14796" max="14796" width="4.21875" style="1" customWidth="1"/>
    <col min="14797" max="14798" width="11.44140625" style="1"/>
    <col min="14799" max="14799" width="22" style="1" customWidth="1"/>
    <col min="14800" max="14800" width="6.77734375" style="1" customWidth="1"/>
    <col min="14801" max="14801" width="15.44140625" style="1" bestFit="1" customWidth="1"/>
    <col min="14802" max="14802" width="11.44140625" style="1"/>
    <col min="14803" max="14803" width="14.21875" style="1" bestFit="1" customWidth="1"/>
    <col min="14804" max="14804" width="11.77734375" style="1" bestFit="1" customWidth="1"/>
    <col min="14805" max="14805" width="13.21875" style="1" bestFit="1" customWidth="1"/>
    <col min="14806" max="14806" width="11.77734375" style="1" bestFit="1" customWidth="1"/>
    <col min="14807" max="15051" width="11.44140625" style="1"/>
    <col min="15052" max="15052" width="4.21875" style="1" customWidth="1"/>
    <col min="15053" max="15054" width="11.44140625" style="1"/>
    <col min="15055" max="15055" width="22" style="1" customWidth="1"/>
    <col min="15056" max="15056" width="6.77734375" style="1" customWidth="1"/>
    <col min="15057" max="15057" width="15.44140625" style="1" bestFit="1" customWidth="1"/>
    <col min="15058" max="15058" width="11.44140625" style="1"/>
    <col min="15059" max="15059" width="14.21875" style="1" bestFit="1" customWidth="1"/>
    <col min="15060" max="15060" width="11.77734375" style="1" bestFit="1" customWidth="1"/>
    <col min="15061" max="15061" width="13.21875" style="1" bestFit="1" customWidth="1"/>
    <col min="15062" max="15062" width="11.77734375" style="1" bestFit="1" customWidth="1"/>
    <col min="15063" max="15307" width="11.44140625" style="1"/>
    <col min="15308" max="15308" width="4.21875" style="1" customWidth="1"/>
    <col min="15309" max="15310" width="11.44140625" style="1"/>
    <col min="15311" max="15311" width="22" style="1" customWidth="1"/>
    <col min="15312" max="15312" width="6.77734375" style="1" customWidth="1"/>
    <col min="15313" max="15313" width="15.44140625" style="1" bestFit="1" customWidth="1"/>
    <col min="15314" max="15314" width="11.44140625" style="1"/>
    <col min="15315" max="15315" width="14.21875" style="1" bestFit="1" customWidth="1"/>
    <col min="15316" max="15316" width="11.77734375" style="1" bestFit="1" customWidth="1"/>
    <col min="15317" max="15317" width="13.21875" style="1" bestFit="1" customWidth="1"/>
    <col min="15318" max="15318" width="11.77734375" style="1" bestFit="1" customWidth="1"/>
    <col min="15319" max="15563" width="11.44140625" style="1"/>
    <col min="15564" max="15564" width="4.21875" style="1" customWidth="1"/>
    <col min="15565" max="15566" width="11.44140625" style="1"/>
    <col min="15567" max="15567" width="22" style="1" customWidth="1"/>
    <col min="15568" max="15568" width="6.77734375" style="1" customWidth="1"/>
    <col min="15569" max="15569" width="15.44140625" style="1" bestFit="1" customWidth="1"/>
    <col min="15570" max="15570" width="11.44140625" style="1"/>
    <col min="15571" max="15571" width="14.21875" style="1" bestFit="1" customWidth="1"/>
    <col min="15572" max="15572" width="11.77734375" style="1" bestFit="1" customWidth="1"/>
    <col min="15573" max="15573" width="13.21875" style="1" bestFit="1" customWidth="1"/>
    <col min="15574" max="15574" width="11.77734375" style="1" bestFit="1" customWidth="1"/>
    <col min="15575" max="15819" width="11.44140625" style="1"/>
    <col min="15820" max="15820" width="4.21875" style="1" customWidth="1"/>
    <col min="15821" max="15822" width="11.44140625" style="1"/>
    <col min="15823" max="15823" width="22" style="1" customWidth="1"/>
    <col min="15824" max="15824" width="6.77734375" style="1" customWidth="1"/>
    <col min="15825" max="15825" width="15.44140625" style="1" bestFit="1" customWidth="1"/>
    <col min="15826" max="15826" width="11.44140625" style="1"/>
    <col min="15827" max="15827" width="14.21875" style="1" bestFit="1" customWidth="1"/>
    <col min="15828" max="15828" width="11.77734375" style="1" bestFit="1" customWidth="1"/>
    <col min="15829" max="15829" width="13.21875" style="1" bestFit="1" customWidth="1"/>
    <col min="15830" max="15830" width="11.77734375" style="1" bestFit="1" customWidth="1"/>
    <col min="15831" max="16075" width="11.44140625" style="1"/>
    <col min="16076" max="16076" width="4.21875" style="1" customWidth="1"/>
    <col min="16077" max="16078" width="11.44140625" style="1"/>
    <col min="16079" max="16079" width="22" style="1" customWidth="1"/>
    <col min="16080" max="16080" width="6.77734375" style="1" customWidth="1"/>
    <col min="16081" max="16081" width="15.44140625" style="1" bestFit="1" customWidth="1"/>
    <col min="16082" max="16082" width="11.44140625" style="1"/>
    <col min="16083" max="16083" width="14.21875" style="1" bestFit="1" customWidth="1"/>
    <col min="16084" max="16084" width="11.77734375" style="1" bestFit="1" customWidth="1"/>
    <col min="16085" max="16085" width="13.21875" style="1" bestFit="1" customWidth="1"/>
    <col min="16086" max="16086" width="11.77734375" style="1" bestFit="1" customWidth="1"/>
    <col min="16087" max="16384" width="11.44140625" style="1"/>
  </cols>
  <sheetData>
    <row r="1" spans="1:13" ht="122.1" customHeight="1" thickTop="1" thickBot="1">
      <c r="A1" s="355" t="s">
        <v>36</v>
      </c>
      <c r="B1" s="356"/>
      <c r="C1" s="356"/>
      <c r="D1" s="356"/>
      <c r="E1" s="356"/>
      <c r="F1" s="356"/>
      <c r="G1" s="356"/>
      <c r="H1" s="357"/>
    </row>
    <row r="2" spans="1:13" ht="57" customHeight="1" thickTop="1" thickBot="1">
      <c r="A2" s="358" t="s">
        <v>643</v>
      </c>
      <c r="B2" s="359"/>
      <c r="C2" s="359"/>
      <c r="D2" s="360"/>
      <c r="E2" s="360"/>
      <c r="F2" s="360"/>
      <c r="G2" s="360"/>
      <c r="H2" s="361"/>
    </row>
    <row r="3" spans="1:13" ht="44.25" customHeight="1" thickTop="1" thickBot="1">
      <c r="A3" s="15" t="s">
        <v>1</v>
      </c>
      <c r="B3" s="362" t="s">
        <v>38</v>
      </c>
      <c r="C3" s="362"/>
      <c r="D3" s="363"/>
      <c r="E3" s="16" t="s">
        <v>39</v>
      </c>
      <c r="F3" s="17" t="s">
        <v>40</v>
      </c>
      <c r="G3" s="18" t="s">
        <v>41</v>
      </c>
      <c r="H3" s="19" t="s">
        <v>42</v>
      </c>
    </row>
    <row r="4" spans="1:13" ht="13.05" customHeight="1" thickTop="1">
      <c r="A4" s="20"/>
      <c r="B4" s="21"/>
      <c r="C4" s="21"/>
      <c r="D4" s="21"/>
      <c r="E4" s="22"/>
      <c r="F4" s="23"/>
      <c r="G4" s="24"/>
      <c r="H4" s="25"/>
    </row>
    <row r="5" spans="1:13" ht="13.05" customHeight="1">
      <c r="A5" s="26"/>
      <c r="B5" s="27" t="s">
        <v>43</v>
      </c>
      <c r="C5" s="28"/>
      <c r="D5" s="28"/>
      <c r="E5" s="29"/>
      <c r="F5" s="30"/>
      <c r="G5" s="31"/>
      <c r="H5" s="32"/>
    </row>
    <row r="6" spans="1:13" ht="34.950000000000003" customHeight="1">
      <c r="A6" s="372" t="s">
        <v>1525</v>
      </c>
      <c r="B6" s="373"/>
      <c r="C6" s="373"/>
      <c r="D6" s="373"/>
      <c r="E6" s="373"/>
      <c r="F6" s="373"/>
      <c r="G6" s="373"/>
      <c r="H6" s="374"/>
      <c r="L6" s="43"/>
    </row>
    <row r="7" spans="1:13" ht="13.05" customHeight="1">
      <c r="A7" s="26"/>
      <c r="B7" s="28"/>
      <c r="C7" s="28"/>
      <c r="D7" s="28"/>
      <c r="E7" s="29"/>
      <c r="F7" s="33"/>
      <c r="G7" s="34"/>
      <c r="H7" s="35"/>
      <c r="J7"/>
      <c r="K7" s="36"/>
      <c r="L7" s="36"/>
      <c r="M7" s="36"/>
    </row>
    <row r="8" spans="1:13" ht="13.05" customHeight="1">
      <c r="A8" s="84" t="s">
        <v>66</v>
      </c>
      <c r="B8" s="85" t="s">
        <v>352</v>
      </c>
      <c r="C8" s="86"/>
      <c r="D8" s="86"/>
      <c r="E8" s="87" t="s">
        <v>70</v>
      </c>
      <c r="F8" s="33"/>
      <c r="G8" s="34"/>
      <c r="H8" s="35"/>
      <c r="J8"/>
      <c r="K8" s="36"/>
      <c r="L8" s="36"/>
      <c r="M8" s="36"/>
    </row>
    <row r="9" spans="1:13" ht="13.05" customHeight="1">
      <c r="A9" s="84"/>
      <c r="B9" s="85"/>
      <c r="C9" s="86"/>
      <c r="D9" s="86"/>
      <c r="E9" s="87"/>
      <c r="F9" s="33"/>
      <c r="G9" s="34"/>
      <c r="H9" s="35"/>
      <c r="J9"/>
      <c r="K9" s="36"/>
      <c r="L9" s="36"/>
      <c r="M9" s="36"/>
    </row>
    <row r="10" spans="1:13" ht="13.05" customHeight="1">
      <c r="A10" s="84" t="s">
        <v>68</v>
      </c>
      <c r="B10" s="85" t="s">
        <v>67</v>
      </c>
      <c r="C10" s="86"/>
      <c r="D10" s="86"/>
      <c r="E10" s="87" t="s">
        <v>70</v>
      </c>
      <c r="F10" s="33"/>
      <c r="G10" s="34"/>
      <c r="H10" s="35"/>
      <c r="J10"/>
      <c r="K10" s="36"/>
      <c r="L10" s="36"/>
      <c r="M10" s="36"/>
    </row>
    <row r="11" spans="1:13" ht="13.05" customHeight="1">
      <c r="A11" s="84"/>
      <c r="B11" s="85"/>
      <c r="C11" s="86"/>
      <c r="D11" s="86"/>
      <c r="E11" s="87"/>
      <c r="F11" s="33"/>
      <c r="G11" s="34"/>
      <c r="H11" s="35"/>
      <c r="J11"/>
      <c r="K11" s="36"/>
      <c r="L11" s="36"/>
      <c r="M11" s="36"/>
    </row>
    <row r="12" spans="1:13" ht="13.05" customHeight="1">
      <c r="A12" s="84" t="s">
        <v>71</v>
      </c>
      <c r="B12" s="85" t="s">
        <v>353</v>
      </c>
      <c r="C12" s="86"/>
      <c r="D12" s="86"/>
      <c r="E12" s="87" t="s">
        <v>70</v>
      </c>
      <c r="F12" s="33"/>
      <c r="G12" s="34"/>
      <c r="H12" s="35"/>
      <c r="J12"/>
      <c r="K12" s="69"/>
      <c r="L12" s="69"/>
      <c r="M12" s="69"/>
    </row>
    <row r="13" spans="1:13" ht="13.05" customHeight="1">
      <c r="A13" s="84"/>
      <c r="B13" s="85"/>
      <c r="C13" s="86"/>
      <c r="D13" s="86"/>
      <c r="E13" s="87"/>
      <c r="F13" s="33"/>
      <c r="G13" s="34"/>
      <c r="H13" s="35"/>
      <c r="J13"/>
      <c r="K13" s="69"/>
      <c r="L13" s="69"/>
      <c r="M13" s="69"/>
    </row>
    <row r="14" spans="1:13" ht="13.05" customHeight="1">
      <c r="A14" s="84" t="s">
        <v>73</v>
      </c>
      <c r="B14" s="85" t="s">
        <v>482</v>
      </c>
      <c r="C14" s="86"/>
      <c r="D14" s="86"/>
      <c r="E14" s="87" t="s">
        <v>70</v>
      </c>
      <c r="F14" s="33"/>
      <c r="G14" s="34"/>
      <c r="H14" s="35"/>
      <c r="J14"/>
      <c r="K14" s="69"/>
      <c r="L14" s="69"/>
      <c r="M14" s="69"/>
    </row>
    <row r="15" spans="1:13" ht="13.05" customHeight="1">
      <c r="A15" s="84"/>
      <c r="B15" s="85"/>
      <c r="C15" s="86"/>
      <c r="D15" s="86"/>
      <c r="E15" s="87"/>
      <c r="F15" s="33"/>
      <c r="G15" s="34"/>
      <c r="H15" s="35"/>
      <c r="J15"/>
      <c r="K15" s="69"/>
      <c r="L15" s="69"/>
      <c r="M15" s="69"/>
    </row>
    <row r="16" spans="1:13" ht="13.05" customHeight="1">
      <c r="A16" s="84" t="s">
        <v>76</v>
      </c>
      <c r="B16" s="85" t="s">
        <v>644</v>
      </c>
      <c r="C16" s="86"/>
      <c r="D16" s="86"/>
      <c r="E16" s="87"/>
      <c r="F16" s="33"/>
      <c r="G16" s="34"/>
      <c r="H16" s="35"/>
      <c r="J16"/>
      <c r="K16" s="69"/>
      <c r="L16" s="69"/>
      <c r="M16" s="69"/>
    </row>
    <row r="17" spans="1:13" ht="13.05" customHeight="1">
      <c r="A17" s="84"/>
      <c r="B17" s="85"/>
      <c r="C17" s="86"/>
      <c r="D17" s="86"/>
      <c r="E17" s="87"/>
      <c r="F17" s="33"/>
      <c r="G17" s="34"/>
      <c r="H17" s="35"/>
      <c r="J17"/>
      <c r="K17" s="69"/>
      <c r="L17" s="69"/>
      <c r="M17" s="69"/>
    </row>
    <row r="18" spans="1:13" ht="13.05" customHeight="1">
      <c r="A18" s="88" t="s">
        <v>535</v>
      </c>
      <c r="B18" s="86" t="s">
        <v>645</v>
      </c>
      <c r="C18" s="86"/>
      <c r="D18" s="86"/>
      <c r="E18" s="87"/>
      <c r="F18" s="33"/>
      <c r="G18" s="34"/>
      <c r="H18" s="35"/>
      <c r="J18"/>
      <c r="K18" s="69"/>
      <c r="L18" s="69"/>
      <c r="M18" s="69"/>
    </row>
    <row r="19" spans="1:13" ht="13.05" customHeight="1">
      <c r="A19" s="88"/>
      <c r="B19" s="86"/>
      <c r="C19" s="86" t="s">
        <v>441</v>
      </c>
      <c r="D19" s="86"/>
      <c r="E19" s="87" t="s">
        <v>52</v>
      </c>
      <c r="F19" s="33"/>
      <c r="G19" s="34"/>
      <c r="H19" s="35"/>
      <c r="J19"/>
      <c r="K19" s="69"/>
      <c r="L19" s="69"/>
      <c r="M19" s="69"/>
    </row>
    <row r="20" spans="1:13" ht="13.05" customHeight="1">
      <c r="A20" s="88"/>
      <c r="B20" s="86"/>
      <c r="C20" s="86" t="s">
        <v>646</v>
      </c>
      <c r="D20" s="86"/>
      <c r="E20" s="87" t="s">
        <v>52</v>
      </c>
      <c r="F20" s="33"/>
      <c r="G20" s="34"/>
      <c r="H20" s="35"/>
      <c r="J20"/>
      <c r="K20" s="69"/>
      <c r="L20" s="69"/>
      <c r="M20" s="69"/>
    </row>
    <row r="21" spans="1:13" ht="13.05" customHeight="1">
      <c r="A21" s="88"/>
      <c r="B21" s="86"/>
      <c r="C21" s="86"/>
      <c r="D21" s="86"/>
      <c r="E21" s="87"/>
      <c r="F21" s="33"/>
      <c r="G21" s="34"/>
      <c r="H21" s="35"/>
      <c r="J21"/>
      <c r="K21" s="69"/>
      <c r="L21" s="14"/>
      <c r="M21" s="69"/>
    </row>
    <row r="22" spans="1:13" ht="13.05" customHeight="1">
      <c r="A22" s="88" t="s">
        <v>537</v>
      </c>
      <c r="B22" s="86" t="s">
        <v>647</v>
      </c>
      <c r="C22" s="86"/>
      <c r="D22" s="86"/>
      <c r="E22" s="87"/>
      <c r="F22" s="33"/>
      <c r="G22" s="34"/>
      <c r="H22" s="35"/>
      <c r="J22"/>
      <c r="K22" s="69"/>
      <c r="L22" s="73"/>
      <c r="M22" s="69"/>
    </row>
    <row r="23" spans="1:13" ht="13.05" customHeight="1">
      <c r="A23" s="88"/>
      <c r="B23" s="86"/>
      <c r="C23" s="86" t="s">
        <v>441</v>
      </c>
      <c r="D23" s="86"/>
      <c r="E23" s="87" t="s">
        <v>52</v>
      </c>
      <c r="F23" s="33"/>
      <c r="G23" s="34"/>
      <c r="H23" s="35"/>
      <c r="J23"/>
      <c r="K23" s="69"/>
      <c r="L23" s="43"/>
      <c r="M23" s="69"/>
    </row>
    <row r="24" spans="1:13" ht="13.05" customHeight="1">
      <c r="A24" s="88"/>
      <c r="B24" s="86"/>
      <c r="C24" s="86" t="s">
        <v>646</v>
      </c>
      <c r="D24" s="86"/>
      <c r="E24" s="87" t="s">
        <v>52</v>
      </c>
      <c r="F24" s="33"/>
      <c r="G24" s="34"/>
      <c r="H24" s="35"/>
      <c r="J24"/>
      <c r="K24" s="69"/>
      <c r="L24" s="43"/>
      <c r="M24" s="69"/>
    </row>
    <row r="25" spans="1:13" ht="13.05" customHeight="1">
      <c r="A25" s="88"/>
      <c r="B25" s="86"/>
      <c r="C25" s="86"/>
      <c r="D25" s="86"/>
      <c r="E25" s="87"/>
      <c r="F25" s="33"/>
      <c r="G25" s="34"/>
      <c r="H25" s="35"/>
      <c r="J25"/>
      <c r="K25" s="69"/>
      <c r="L25" s="73"/>
      <c r="M25" s="69"/>
    </row>
    <row r="26" spans="1:13" ht="13.05" customHeight="1">
      <c r="A26" s="88" t="s">
        <v>542</v>
      </c>
      <c r="B26" s="86" t="s">
        <v>648</v>
      </c>
      <c r="C26" s="86"/>
      <c r="D26" s="86"/>
      <c r="E26" s="87"/>
      <c r="F26" s="33"/>
      <c r="G26" s="34"/>
      <c r="H26" s="35"/>
      <c r="J26"/>
      <c r="K26" s="69"/>
      <c r="L26" s="43"/>
      <c r="M26" s="69"/>
    </row>
    <row r="27" spans="1:13" ht="13.05" customHeight="1">
      <c r="A27" s="88"/>
      <c r="B27" s="86"/>
      <c r="C27" s="86" t="s">
        <v>441</v>
      </c>
      <c r="D27" s="86"/>
      <c r="E27" s="87" t="s">
        <v>52</v>
      </c>
      <c r="F27" s="33"/>
      <c r="G27" s="34"/>
      <c r="H27" s="35"/>
      <c r="J27"/>
      <c r="K27" s="69"/>
      <c r="L27" s="43"/>
      <c r="M27" s="69"/>
    </row>
    <row r="28" spans="1:13" ht="13.05" customHeight="1">
      <c r="A28" s="88"/>
      <c r="B28" s="86"/>
      <c r="C28" s="86" t="s">
        <v>646</v>
      </c>
      <c r="D28" s="86"/>
      <c r="E28" s="87" t="s">
        <v>52</v>
      </c>
      <c r="F28" s="33"/>
      <c r="G28" s="34"/>
      <c r="H28" s="35"/>
      <c r="J28"/>
      <c r="K28" s="69"/>
      <c r="L28" s="73"/>
      <c r="M28" s="69"/>
    </row>
    <row r="29" spans="1:13" ht="13.05" customHeight="1">
      <c r="A29" s="88"/>
      <c r="B29" s="86"/>
      <c r="C29" s="86"/>
      <c r="D29" s="86"/>
      <c r="E29" s="87"/>
      <c r="F29" s="33"/>
      <c r="G29" s="34"/>
      <c r="H29" s="35"/>
      <c r="J29"/>
      <c r="K29" s="69"/>
      <c r="L29" s="102"/>
      <c r="M29" s="69"/>
    </row>
    <row r="30" spans="1:13" ht="13.05" customHeight="1">
      <c r="A30" s="88" t="s">
        <v>544</v>
      </c>
      <c r="B30" s="86" t="s">
        <v>649</v>
      </c>
      <c r="C30" s="86"/>
      <c r="D30" s="86"/>
      <c r="E30" s="87"/>
      <c r="F30" s="33"/>
      <c r="G30" s="34"/>
      <c r="H30" s="35"/>
      <c r="J30"/>
      <c r="K30" s="69"/>
      <c r="L30" s="73"/>
      <c r="M30" s="69"/>
    </row>
    <row r="31" spans="1:13" ht="13.05" customHeight="1">
      <c r="A31" s="88"/>
      <c r="B31" s="86"/>
      <c r="C31" s="86" t="s">
        <v>441</v>
      </c>
      <c r="D31" s="86"/>
      <c r="E31" s="87" t="s">
        <v>52</v>
      </c>
      <c r="F31" s="33"/>
      <c r="G31" s="34"/>
      <c r="H31" s="35"/>
      <c r="J31"/>
      <c r="K31" s="69"/>
      <c r="L31" s="102"/>
      <c r="M31" s="69"/>
    </row>
    <row r="32" spans="1:13" ht="13.05" customHeight="1">
      <c r="A32" s="88"/>
      <c r="B32" s="86"/>
      <c r="C32" s="86" t="s">
        <v>646</v>
      </c>
      <c r="D32" s="86"/>
      <c r="E32" s="87" t="s">
        <v>52</v>
      </c>
      <c r="F32" s="33"/>
      <c r="G32" s="34"/>
      <c r="H32" s="35"/>
      <c r="J32"/>
      <c r="K32" s="69"/>
      <c r="L32" s="73"/>
      <c r="M32" s="69"/>
    </row>
    <row r="33" spans="1:13" ht="13.05" customHeight="1">
      <c r="A33" s="88"/>
      <c r="B33" s="86"/>
      <c r="C33" s="86"/>
      <c r="D33" s="86"/>
      <c r="E33" s="87"/>
      <c r="F33" s="33"/>
      <c r="G33" s="34"/>
      <c r="H33" s="35"/>
      <c r="J33"/>
      <c r="K33" s="69"/>
      <c r="L33" s="103"/>
      <c r="M33" s="69"/>
    </row>
    <row r="34" spans="1:13" ht="13.05" customHeight="1">
      <c r="A34" s="88" t="s">
        <v>546</v>
      </c>
      <c r="B34" s="86" t="s">
        <v>650</v>
      </c>
      <c r="C34" s="86"/>
      <c r="D34" s="86"/>
      <c r="E34" s="87"/>
      <c r="F34" s="33"/>
      <c r="G34" s="34"/>
      <c r="H34" s="35"/>
      <c r="J34"/>
      <c r="K34" s="69"/>
      <c r="L34" s="73"/>
      <c r="M34" s="69"/>
    </row>
    <row r="35" spans="1:13" ht="13.05" customHeight="1">
      <c r="A35" s="88"/>
      <c r="B35" s="86"/>
      <c r="C35" s="86" t="s">
        <v>441</v>
      </c>
      <c r="D35" s="86"/>
      <c r="E35" s="87" t="s">
        <v>52</v>
      </c>
      <c r="F35" s="33"/>
      <c r="G35" s="34"/>
      <c r="H35" s="35"/>
      <c r="J35"/>
      <c r="K35" s="69"/>
      <c r="L35" s="14"/>
      <c r="M35" s="69"/>
    </row>
    <row r="36" spans="1:13" ht="13.05" customHeight="1">
      <c r="A36" s="88"/>
      <c r="B36" s="86"/>
      <c r="C36" s="86" t="s">
        <v>646</v>
      </c>
      <c r="D36" s="86"/>
      <c r="E36" s="87" t="s">
        <v>52</v>
      </c>
      <c r="F36" s="33"/>
      <c r="G36" s="34"/>
      <c r="H36" s="35"/>
      <c r="J36"/>
      <c r="K36" s="69"/>
      <c r="L36" s="73"/>
      <c r="M36" s="69"/>
    </row>
    <row r="37" spans="1:13" ht="13.05" customHeight="1">
      <c r="A37" s="88"/>
      <c r="B37" s="86"/>
      <c r="C37" s="86"/>
      <c r="D37" s="86"/>
      <c r="E37" s="87"/>
      <c r="F37" s="33"/>
      <c r="G37" s="34"/>
      <c r="H37" s="35"/>
      <c r="J37"/>
      <c r="K37" s="69"/>
      <c r="L37" s="43"/>
      <c r="M37" s="69"/>
    </row>
    <row r="38" spans="1:13" ht="13.05" customHeight="1">
      <c r="A38" s="88" t="s">
        <v>548</v>
      </c>
      <c r="B38" s="86" t="s">
        <v>651</v>
      </c>
      <c r="C38" s="86"/>
      <c r="D38" s="86"/>
      <c r="E38" s="87"/>
      <c r="F38" s="33"/>
      <c r="G38" s="34"/>
      <c r="H38" s="35"/>
      <c r="J38"/>
      <c r="K38" s="69"/>
      <c r="L38" s="43"/>
      <c r="M38" s="69"/>
    </row>
    <row r="39" spans="1:13" ht="13.05" customHeight="1">
      <c r="A39" s="88"/>
      <c r="B39" s="86"/>
      <c r="C39" s="86" t="s">
        <v>441</v>
      </c>
      <c r="D39" s="86"/>
      <c r="E39" s="87" t="s">
        <v>52</v>
      </c>
      <c r="F39" s="33"/>
      <c r="G39" s="34"/>
      <c r="H39" s="35"/>
      <c r="J39"/>
      <c r="K39" s="69"/>
      <c r="L39" s="43"/>
      <c r="M39" s="69"/>
    </row>
    <row r="40" spans="1:13" ht="13.05" customHeight="1">
      <c r="A40" s="88"/>
      <c r="B40" s="86"/>
      <c r="C40" s="86" t="s">
        <v>646</v>
      </c>
      <c r="D40" s="86"/>
      <c r="E40" s="87" t="s">
        <v>52</v>
      </c>
      <c r="F40" s="33"/>
      <c r="G40" s="34"/>
      <c r="H40" s="35"/>
      <c r="J40"/>
      <c r="K40" s="69"/>
      <c r="L40" s="73"/>
      <c r="M40" s="69"/>
    </row>
    <row r="41" spans="1:13" ht="13.05" customHeight="1">
      <c r="A41" s="88"/>
      <c r="B41" s="86"/>
      <c r="C41" s="86"/>
      <c r="D41" s="86"/>
      <c r="E41" s="87"/>
      <c r="F41" s="33"/>
      <c r="G41" s="34"/>
      <c r="H41" s="35"/>
      <c r="J41"/>
      <c r="K41" s="69"/>
      <c r="L41" s="102"/>
      <c r="M41" s="69"/>
    </row>
    <row r="42" spans="1:13" ht="13.05" customHeight="1">
      <c r="A42" s="88" t="s">
        <v>652</v>
      </c>
      <c r="B42" s="86" t="s">
        <v>653</v>
      </c>
      <c r="C42" s="86"/>
      <c r="D42" s="86"/>
      <c r="E42" s="87"/>
      <c r="F42" s="33"/>
      <c r="G42" s="34"/>
      <c r="H42" s="35"/>
      <c r="J42"/>
      <c r="K42" s="69"/>
      <c r="L42" s="69"/>
      <c r="M42" s="69"/>
    </row>
    <row r="43" spans="1:13" ht="13.05" customHeight="1">
      <c r="A43" s="88"/>
      <c r="B43" s="86"/>
      <c r="C43" s="86" t="s">
        <v>441</v>
      </c>
      <c r="D43" s="86"/>
      <c r="E43" s="87" t="s">
        <v>52</v>
      </c>
      <c r="F43" s="33"/>
      <c r="G43" s="34"/>
      <c r="H43" s="35"/>
      <c r="J43"/>
      <c r="K43" s="69"/>
      <c r="L43" s="69"/>
      <c r="M43" s="69"/>
    </row>
    <row r="44" spans="1:13" ht="13.05" customHeight="1">
      <c r="A44" s="88"/>
      <c r="B44" s="86"/>
      <c r="C44" s="86" t="s">
        <v>646</v>
      </c>
      <c r="D44" s="86"/>
      <c r="E44" s="87" t="s">
        <v>52</v>
      </c>
      <c r="F44" s="33"/>
      <c r="G44" s="34"/>
      <c r="H44" s="35"/>
      <c r="J44"/>
      <c r="K44" s="69"/>
      <c r="L44" s="69"/>
      <c r="M44" s="69"/>
    </row>
    <row r="45" spans="1:13" ht="13.05" customHeight="1">
      <c r="A45" s="88"/>
      <c r="B45" s="86"/>
      <c r="C45" s="86"/>
      <c r="D45" s="86"/>
      <c r="E45" s="87"/>
      <c r="F45" s="33"/>
      <c r="G45" s="34"/>
      <c r="H45" s="35"/>
      <c r="J45"/>
      <c r="K45" s="69"/>
      <c r="L45" s="69"/>
      <c r="M45" s="69"/>
    </row>
    <row r="46" spans="1:13" ht="13.05" customHeight="1">
      <c r="A46" s="88" t="s">
        <v>654</v>
      </c>
      <c r="B46" s="86" t="s">
        <v>655</v>
      </c>
      <c r="C46" s="86"/>
      <c r="D46" s="86"/>
      <c r="E46" s="87" t="s">
        <v>52</v>
      </c>
      <c r="F46" s="33"/>
      <c r="G46" s="34"/>
      <c r="H46" s="35"/>
      <c r="J46"/>
      <c r="K46" s="69"/>
      <c r="L46" s="69"/>
      <c r="M46" s="69"/>
    </row>
    <row r="47" spans="1:13" ht="13.05" customHeight="1">
      <c r="A47" s="88"/>
      <c r="B47" s="86"/>
      <c r="C47" s="86"/>
      <c r="D47" s="86"/>
      <c r="E47" s="87"/>
      <c r="F47" s="33"/>
      <c r="G47" s="34"/>
      <c r="H47" s="35"/>
      <c r="J47"/>
      <c r="K47" s="69"/>
      <c r="L47" s="69"/>
      <c r="M47" s="69"/>
    </row>
    <row r="48" spans="1:13" ht="13.05" customHeight="1">
      <c r="A48" s="88" t="s">
        <v>656</v>
      </c>
      <c r="B48" s="86" t="s">
        <v>657</v>
      </c>
      <c r="C48" s="86"/>
      <c r="D48" s="86"/>
      <c r="E48" s="87"/>
      <c r="F48" s="33"/>
      <c r="G48" s="34"/>
      <c r="H48" s="35"/>
      <c r="J48"/>
      <c r="K48" s="69"/>
      <c r="L48" s="69"/>
      <c r="M48" s="69"/>
    </row>
    <row r="49" spans="1:13" ht="13.05" customHeight="1">
      <c r="A49" s="88"/>
      <c r="B49" s="86"/>
      <c r="C49" s="86"/>
      <c r="D49" s="86"/>
      <c r="E49" s="87"/>
      <c r="F49" s="33"/>
      <c r="G49" s="34"/>
      <c r="H49" s="35"/>
      <c r="J49"/>
      <c r="K49" s="69"/>
      <c r="L49" s="69"/>
      <c r="M49" s="69"/>
    </row>
    <row r="50" spans="1:13" ht="29.55" customHeight="1">
      <c r="A50" s="88"/>
      <c r="B50" s="86"/>
      <c r="C50" s="364" t="s">
        <v>658</v>
      </c>
      <c r="D50" s="365"/>
      <c r="E50" s="87" t="s">
        <v>52</v>
      </c>
      <c r="F50" s="33"/>
      <c r="G50" s="34"/>
      <c r="H50" s="35"/>
      <c r="J50"/>
      <c r="K50" s="69"/>
      <c r="L50" s="69"/>
      <c r="M50" s="69"/>
    </row>
    <row r="51" spans="1:13" ht="13.05" customHeight="1">
      <c r="A51" s="88"/>
      <c r="B51" s="86"/>
      <c r="C51" s="86" t="s">
        <v>659</v>
      </c>
      <c r="D51" s="86"/>
      <c r="E51" s="87" t="s">
        <v>46</v>
      </c>
      <c r="F51" s="33"/>
      <c r="G51" s="34"/>
      <c r="H51" s="35"/>
      <c r="J51"/>
      <c r="K51" s="69"/>
      <c r="L51" s="69"/>
      <c r="M51" s="69"/>
    </row>
    <row r="52" spans="1:13" ht="29.55" customHeight="1">
      <c r="A52" s="88"/>
      <c r="B52" s="86"/>
      <c r="C52" s="364" t="s">
        <v>660</v>
      </c>
      <c r="D52" s="365"/>
      <c r="E52" s="87" t="s">
        <v>46</v>
      </c>
      <c r="F52" s="33"/>
      <c r="G52" s="34"/>
      <c r="H52" s="35"/>
      <c r="J52"/>
      <c r="K52" s="69"/>
      <c r="L52" s="69"/>
      <c r="M52" s="69"/>
    </row>
    <row r="53" spans="1:13" ht="13.05" customHeight="1">
      <c r="A53" s="88"/>
      <c r="B53" s="86"/>
      <c r="C53" s="86"/>
      <c r="D53" s="86"/>
      <c r="E53" s="87"/>
      <c r="F53" s="33"/>
      <c r="G53" s="34"/>
      <c r="H53" s="35"/>
      <c r="J53"/>
      <c r="K53" s="69"/>
      <c r="L53" s="69"/>
      <c r="M53" s="69"/>
    </row>
    <row r="54" spans="1:13" ht="13.05" customHeight="1">
      <c r="A54" s="88"/>
      <c r="B54" s="86"/>
      <c r="C54" s="86" t="s">
        <v>661</v>
      </c>
      <c r="D54" s="86"/>
      <c r="E54" s="87" t="s">
        <v>52</v>
      </c>
      <c r="F54" s="33"/>
      <c r="G54" s="34"/>
      <c r="H54" s="35"/>
      <c r="J54"/>
      <c r="K54" s="69"/>
      <c r="L54" s="69"/>
      <c r="M54" s="69"/>
    </row>
    <row r="55" spans="1:13" ht="29.55" customHeight="1">
      <c r="A55" s="88"/>
      <c r="B55" s="86"/>
      <c r="C55" s="364" t="s">
        <v>662</v>
      </c>
      <c r="D55" s="365"/>
      <c r="E55" s="87" t="s">
        <v>46</v>
      </c>
      <c r="F55" s="33"/>
      <c r="G55" s="34"/>
      <c r="H55" s="35"/>
      <c r="J55"/>
      <c r="K55" s="69"/>
      <c r="L55" s="69"/>
      <c r="M55" s="69"/>
    </row>
    <row r="56" spans="1:13" ht="13.05" customHeight="1">
      <c r="A56" s="88"/>
      <c r="B56" s="86"/>
      <c r="C56" s="86"/>
      <c r="D56" s="86"/>
      <c r="E56" s="87"/>
      <c r="F56" s="33"/>
      <c r="G56" s="34"/>
      <c r="H56" s="35"/>
      <c r="J56"/>
      <c r="K56" s="69"/>
      <c r="L56" s="69"/>
      <c r="M56" s="69"/>
    </row>
    <row r="57" spans="1:13" ht="13.05" customHeight="1">
      <c r="A57" s="88" t="s">
        <v>663</v>
      </c>
      <c r="B57" s="86" t="s">
        <v>664</v>
      </c>
      <c r="C57" s="86"/>
      <c r="D57" s="86"/>
      <c r="E57" s="87" t="s">
        <v>52</v>
      </c>
      <c r="F57" s="33"/>
      <c r="G57" s="34"/>
      <c r="H57" s="35"/>
      <c r="J57"/>
      <c r="K57" s="69"/>
      <c r="L57" s="69"/>
      <c r="M57" s="69"/>
    </row>
    <row r="58" spans="1:13" ht="13.05" customHeight="1">
      <c r="A58" s="88"/>
      <c r="B58" s="86"/>
      <c r="C58" s="86"/>
      <c r="D58" s="86"/>
      <c r="E58" s="87"/>
      <c r="F58" s="33"/>
      <c r="G58" s="34"/>
      <c r="H58" s="35"/>
      <c r="J58"/>
      <c r="K58" s="69"/>
      <c r="L58" s="69"/>
      <c r="M58" s="69"/>
    </row>
    <row r="59" spans="1:13" ht="13.05" customHeight="1">
      <c r="A59" s="88" t="s">
        <v>665</v>
      </c>
      <c r="B59" s="86" t="s">
        <v>666</v>
      </c>
      <c r="C59" s="86"/>
      <c r="D59" s="86"/>
      <c r="E59" s="87" t="s">
        <v>52</v>
      </c>
      <c r="F59" s="33"/>
      <c r="G59" s="34"/>
      <c r="H59" s="35"/>
      <c r="J59"/>
      <c r="K59" s="69"/>
      <c r="L59" s="69"/>
      <c r="M59" s="69"/>
    </row>
    <row r="60" spans="1:13" ht="13.05" customHeight="1">
      <c r="A60" s="88"/>
      <c r="B60" s="86"/>
      <c r="C60" s="86"/>
      <c r="D60" s="86"/>
      <c r="E60" s="87"/>
      <c r="F60" s="33"/>
      <c r="G60" s="34"/>
      <c r="H60" s="35"/>
      <c r="J60"/>
      <c r="K60" s="69"/>
      <c r="L60" s="69"/>
      <c r="M60" s="69"/>
    </row>
    <row r="61" spans="1:13" ht="13.05" customHeight="1">
      <c r="A61" s="88" t="s">
        <v>667</v>
      </c>
      <c r="B61" s="86" t="s">
        <v>668</v>
      </c>
      <c r="C61" s="86"/>
      <c r="D61" s="86"/>
      <c r="E61" s="87" t="s">
        <v>52</v>
      </c>
      <c r="F61" s="33"/>
      <c r="G61" s="34"/>
      <c r="H61" s="35"/>
      <c r="J61"/>
      <c r="K61" s="69"/>
      <c r="L61" s="69"/>
      <c r="M61" s="69"/>
    </row>
    <row r="62" spans="1:13" ht="13.05" customHeight="1">
      <c r="A62" s="88"/>
      <c r="B62" s="86"/>
      <c r="C62" s="86"/>
      <c r="D62" s="86"/>
      <c r="E62" s="87"/>
      <c r="F62" s="33"/>
      <c r="G62" s="34"/>
      <c r="H62" s="35"/>
      <c r="J62"/>
      <c r="K62" s="69"/>
      <c r="L62" s="69"/>
      <c r="M62" s="69"/>
    </row>
    <row r="63" spans="1:13" ht="13.05" customHeight="1">
      <c r="A63" s="88" t="s">
        <v>669</v>
      </c>
      <c r="B63" s="86" t="s">
        <v>670</v>
      </c>
      <c r="C63" s="86"/>
      <c r="D63" s="86"/>
      <c r="E63" s="87" t="s">
        <v>52</v>
      </c>
      <c r="F63" s="33"/>
      <c r="G63" s="34"/>
      <c r="H63" s="35"/>
      <c r="J63"/>
      <c r="K63" s="69"/>
      <c r="L63" s="69"/>
      <c r="M63" s="69"/>
    </row>
    <row r="64" spans="1:13" ht="13.05" customHeight="1">
      <c r="A64" s="88"/>
      <c r="B64" s="86"/>
      <c r="C64" s="86"/>
      <c r="D64" s="86"/>
      <c r="E64" s="87"/>
      <c r="F64" s="33"/>
      <c r="G64" s="34"/>
      <c r="H64" s="35"/>
      <c r="J64"/>
      <c r="K64" s="69"/>
      <c r="L64" s="69"/>
      <c r="M64" s="69"/>
    </row>
    <row r="65" spans="1:13" ht="13.05" customHeight="1">
      <c r="A65" s="88" t="s">
        <v>671</v>
      </c>
      <c r="B65" s="86" t="s">
        <v>672</v>
      </c>
      <c r="C65" s="86"/>
      <c r="D65" s="86"/>
      <c r="E65" s="87" t="s">
        <v>106</v>
      </c>
      <c r="F65" s="33"/>
      <c r="G65" s="34"/>
      <c r="H65" s="35"/>
      <c r="J65"/>
      <c r="K65" s="69"/>
      <c r="L65" s="69"/>
      <c r="M65" s="69"/>
    </row>
    <row r="66" spans="1:13" ht="13.05" customHeight="1">
      <c r="A66" s="88"/>
      <c r="B66" s="86"/>
      <c r="C66" s="86"/>
      <c r="D66" s="86"/>
      <c r="E66" s="87"/>
      <c r="F66" s="33"/>
      <c r="G66" s="34"/>
      <c r="H66" s="35"/>
      <c r="J66"/>
      <c r="K66" s="69"/>
      <c r="L66" s="69"/>
      <c r="M66" s="69"/>
    </row>
    <row r="67" spans="1:13" ht="13.05" customHeight="1">
      <c r="A67" s="88" t="s">
        <v>673</v>
      </c>
      <c r="B67" s="86" t="s">
        <v>674</v>
      </c>
      <c r="C67" s="86"/>
      <c r="D67" s="86"/>
      <c r="E67" s="87" t="s">
        <v>363</v>
      </c>
      <c r="F67" s="33"/>
      <c r="G67" s="34"/>
      <c r="H67" s="35"/>
      <c r="J67"/>
      <c r="K67" s="69"/>
      <c r="L67" s="69"/>
      <c r="M67" s="69"/>
    </row>
    <row r="68" spans="1:13" ht="13.05" customHeight="1">
      <c r="A68" s="88"/>
      <c r="B68" s="86"/>
      <c r="C68" s="86"/>
      <c r="D68" s="86"/>
      <c r="E68" s="87"/>
      <c r="F68" s="33"/>
      <c r="G68" s="34"/>
      <c r="H68" s="35"/>
      <c r="J68"/>
      <c r="K68" s="69"/>
      <c r="L68" s="69"/>
      <c r="M68" s="69"/>
    </row>
    <row r="69" spans="1:13" ht="13.05" customHeight="1">
      <c r="A69" s="88" t="s">
        <v>675</v>
      </c>
      <c r="B69" s="86" t="s">
        <v>676</v>
      </c>
      <c r="C69" s="86"/>
      <c r="D69" s="86"/>
      <c r="E69" s="87" t="s">
        <v>677</v>
      </c>
      <c r="F69" s="33"/>
      <c r="G69" s="34"/>
      <c r="H69" s="35"/>
      <c r="J69"/>
      <c r="K69" s="69"/>
      <c r="L69" s="69"/>
      <c r="M69" s="69"/>
    </row>
    <row r="70" spans="1:13" ht="13.05" customHeight="1">
      <c r="A70" s="88"/>
      <c r="B70" s="86"/>
      <c r="C70" s="86"/>
      <c r="D70" s="86"/>
      <c r="E70" s="87"/>
      <c r="F70" s="33"/>
      <c r="G70" s="34"/>
      <c r="H70" s="35"/>
      <c r="J70"/>
      <c r="K70" s="69"/>
      <c r="L70" s="69"/>
      <c r="M70" s="69"/>
    </row>
    <row r="71" spans="1:13" ht="13.05" customHeight="1">
      <c r="A71" s="88" t="s">
        <v>678</v>
      </c>
      <c r="B71" s="86" t="s">
        <v>679</v>
      </c>
      <c r="C71" s="86"/>
      <c r="D71" s="86"/>
      <c r="E71" s="87" t="s">
        <v>52</v>
      </c>
      <c r="F71" s="33"/>
      <c r="G71" s="34"/>
      <c r="H71" s="35"/>
      <c r="J71"/>
      <c r="K71" s="69"/>
      <c r="L71" s="69"/>
      <c r="M71" s="69"/>
    </row>
    <row r="72" spans="1:13" ht="13.05" customHeight="1">
      <c r="A72" s="88"/>
      <c r="B72" s="86"/>
      <c r="C72" s="86"/>
      <c r="D72" s="86"/>
      <c r="E72" s="87"/>
      <c r="F72" s="33"/>
      <c r="G72" s="34"/>
      <c r="H72" s="35"/>
      <c r="J72"/>
      <c r="K72" s="69"/>
      <c r="L72" s="69"/>
      <c r="M72" s="69"/>
    </row>
    <row r="73" spans="1:13" ht="13.05" customHeight="1">
      <c r="A73" s="84" t="s">
        <v>78</v>
      </c>
      <c r="B73" s="85" t="s">
        <v>680</v>
      </c>
      <c r="C73" s="86"/>
      <c r="D73" s="86"/>
      <c r="E73" s="87" t="s">
        <v>52</v>
      </c>
      <c r="F73" s="33"/>
      <c r="G73" s="34"/>
      <c r="H73" s="35"/>
      <c r="J73"/>
      <c r="K73" s="69"/>
      <c r="L73" s="69"/>
      <c r="M73" s="69"/>
    </row>
    <row r="74" spans="1:13" ht="13.05" customHeight="1">
      <c r="A74" s="37"/>
      <c r="B74" s="72" t="s">
        <v>75</v>
      </c>
      <c r="C74" s="13"/>
      <c r="D74" s="13"/>
      <c r="E74" s="39"/>
      <c r="F74" s="40"/>
      <c r="G74" s="41"/>
      <c r="H74" s="42"/>
      <c r="J74" s="36"/>
      <c r="K74" s="36"/>
      <c r="L74" s="36"/>
    </row>
    <row r="75" spans="1:13" ht="13.05" customHeight="1">
      <c r="A75" s="37"/>
      <c r="B75" s="38"/>
      <c r="C75" s="13"/>
      <c r="D75" s="13"/>
      <c r="E75" s="39"/>
      <c r="F75" s="40"/>
      <c r="G75" s="41"/>
      <c r="H75" s="42"/>
      <c r="J75" s="36"/>
      <c r="K75" s="36"/>
      <c r="L75" s="36"/>
    </row>
    <row r="76" spans="1:13" ht="13.05" customHeight="1">
      <c r="A76" s="37"/>
      <c r="B76" s="38"/>
      <c r="C76" s="13"/>
      <c r="D76" s="13"/>
      <c r="E76" s="39"/>
      <c r="F76" s="40"/>
      <c r="G76" s="41"/>
      <c r="H76" s="42"/>
      <c r="J76" s="36"/>
      <c r="K76" s="36"/>
      <c r="L76" s="36"/>
    </row>
    <row r="77" spans="1:13" ht="13.05" customHeight="1">
      <c r="A77" s="37"/>
      <c r="B77" s="38"/>
      <c r="C77" s="13"/>
      <c r="D77" s="13"/>
      <c r="E77" s="39"/>
      <c r="F77" s="40"/>
      <c r="G77" s="41"/>
      <c r="H77" s="42"/>
      <c r="J77" s="36"/>
      <c r="K77" s="36"/>
      <c r="L77" s="36"/>
    </row>
    <row r="78" spans="1:13" ht="13.05" customHeight="1">
      <c r="A78" s="37"/>
      <c r="B78" s="38"/>
      <c r="C78" s="13"/>
      <c r="D78" s="13"/>
      <c r="E78" s="39"/>
      <c r="F78" s="40"/>
      <c r="G78" s="41"/>
      <c r="H78" s="42"/>
      <c r="J78" s="69"/>
      <c r="K78" s="69"/>
      <c r="L78" s="69"/>
    </row>
    <row r="79" spans="1:13" ht="13.05" customHeight="1">
      <c r="A79" s="37"/>
      <c r="B79" s="38"/>
      <c r="C79" s="13"/>
      <c r="D79" s="13"/>
      <c r="E79" s="39"/>
      <c r="F79" s="40"/>
      <c r="G79" s="41"/>
      <c r="H79" s="42"/>
      <c r="J79" s="69"/>
      <c r="K79" s="69"/>
      <c r="L79" s="69"/>
    </row>
    <row r="80" spans="1:13" ht="13.05" customHeight="1">
      <c r="A80" s="37"/>
      <c r="B80" s="38"/>
      <c r="C80" s="13"/>
      <c r="D80" s="13"/>
      <c r="E80" s="39"/>
      <c r="F80" s="40"/>
      <c r="G80" s="41"/>
      <c r="H80" s="42"/>
      <c r="J80" s="69"/>
      <c r="K80" s="69"/>
      <c r="L80" s="69"/>
    </row>
    <row r="81" spans="1:13" ht="13.05" customHeight="1">
      <c r="A81" s="37"/>
      <c r="B81" s="38"/>
      <c r="C81" s="13"/>
      <c r="D81" s="13"/>
      <c r="E81" s="39"/>
      <c r="F81" s="40"/>
      <c r="G81" s="41"/>
      <c r="H81" s="42"/>
      <c r="J81" s="69"/>
      <c r="K81" s="69"/>
      <c r="L81" s="69"/>
    </row>
    <row r="82" spans="1:13" ht="13.05" customHeight="1">
      <c r="A82" s="37"/>
      <c r="B82" s="38"/>
      <c r="C82" s="13"/>
      <c r="D82" s="13"/>
      <c r="E82" s="39"/>
      <c r="F82" s="40"/>
      <c r="G82" s="41"/>
      <c r="H82" s="42"/>
      <c r="J82" s="69"/>
      <c r="K82" s="69"/>
      <c r="L82" s="69"/>
    </row>
    <row r="83" spans="1:13" ht="13.05" customHeight="1">
      <c r="A83" s="84"/>
      <c r="B83" s="85"/>
      <c r="C83" s="86"/>
      <c r="D83" s="86"/>
      <c r="E83" s="87"/>
      <c r="F83" s="33"/>
      <c r="G83" s="34"/>
      <c r="H83" s="35"/>
      <c r="J83"/>
      <c r="K83" s="69"/>
      <c r="L83" s="69"/>
      <c r="M83" s="69"/>
    </row>
    <row r="84" spans="1:13" ht="13.05" customHeight="1">
      <c r="A84" s="84" t="s">
        <v>81</v>
      </c>
      <c r="B84" s="85" t="s">
        <v>681</v>
      </c>
      <c r="C84" s="86"/>
      <c r="D84" s="86"/>
      <c r="E84" s="87"/>
      <c r="F84" s="33"/>
      <c r="G84" s="34"/>
      <c r="H84" s="35"/>
      <c r="J84"/>
      <c r="K84" s="69"/>
      <c r="L84" s="69"/>
      <c r="M84" s="69"/>
    </row>
    <row r="85" spans="1:13" ht="13.05" customHeight="1">
      <c r="A85" s="84"/>
      <c r="B85" s="85"/>
      <c r="C85" s="86"/>
      <c r="D85" s="86"/>
      <c r="E85" s="87"/>
      <c r="F85" s="33"/>
      <c r="G85" s="34"/>
      <c r="H85" s="35"/>
      <c r="J85"/>
      <c r="K85" s="69"/>
      <c r="L85" s="69"/>
      <c r="M85" s="69"/>
    </row>
    <row r="86" spans="1:13" ht="13.05" customHeight="1">
      <c r="A86" s="88" t="s">
        <v>396</v>
      </c>
      <c r="B86" s="86" t="s">
        <v>682</v>
      </c>
      <c r="C86" s="86"/>
      <c r="D86" s="86"/>
      <c r="E86" s="87"/>
      <c r="F86" s="33"/>
      <c r="G86" s="34"/>
      <c r="H86" s="35"/>
      <c r="J86"/>
      <c r="K86" s="69"/>
      <c r="L86" s="69"/>
      <c r="M86" s="69"/>
    </row>
    <row r="87" spans="1:13" ht="13.05" customHeight="1">
      <c r="A87" s="88"/>
      <c r="B87" s="86"/>
      <c r="C87" s="86" t="s">
        <v>441</v>
      </c>
      <c r="D87" s="86"/>
      <c r="E87" s="87" t="s">
        <v>52</v>
      </c>
      <c r="F87" s="33"/>
      <c r="G87" s="34"/>
      <c r="H87" s="35"/>
      <c r="J87"/>
      <c r="K87" s="69"/>
      <c r="L87" s="69"/>
      <c r="M87" s="69"/>
    </row>
    <row r="88" spans="1:13" ht="13.05" customHeight="1">
      <c r="A88" s="88"/>
      <c r="B88" s="86"/>
      <c r="C88" s="86" t="s">
        <v>646</v>
      </c>
      <c r="D88" s="86"/>
      <c r="E88" s="87" t="s">
        <v>52</v>
      </c>
      <c r="F88" s="33"/>
      <c r="G88" s="34"/>
      <c r="H88" s="35"/>
      <c r="J88"/>
      <c r="K88" s="69"/>
      <c r="L88" s="69"/>
      <c r="M88" s="69"/>
    </row>
    <row r="89" spans="1:13" ht="13.05" customHeight="1">
      <c r="A89" s="88"/>
      <c r="B89" s="86"/>
      <c r="C89" s="86"/>
      <c r="D89" s="86"/>
      <c r="E89" s="87"/>
      <c r="F89" s="33"/>
      <c r="G89" s="34"/>
      <c r="H89" s="35"/>
      <c r="J89"/>
      <c r="K89" s="69"/>
      <c r="L89" s="69"/>
      <c r="M89" s="69"/>
    </row>
    <row r="90" spans="1:13" ht="13.05" customHeight="1">
      <c r="A90" s="88" t="s">
        <v>398</v>
      </c>
      <c r="B90" s="86" t="s">
        <v>683</v>
      </c>
      <c r="C90" s="86"/>
      <c r="D90" s="86"/>
      <c r="E90" s="87"/>
      <c r="F90" s="33"/>
      <c r="G90" s="34"/>
      <c r="H90" s="35"/>
      <c r="J90"/>
      <c r="K90" s="69"/>
      <c r="L90" s="69"/>
      <c r="M90" s="69"/>
    </row>
    <row r="91" spans="1:13" ht="13.05" customHeight="1">
      <c r="A91" s="88"/>
      <c r="B91" s="86"/>
      <c r="C91" s="86" t="s">
        <v>441</v>
      </c>
      <c r="D91" s="86"/>
      <c r="E91" s="87" t="s">
        <v>52</v>
      </c>
      <c r="F91" s="33"/>
      <c r="G91" s="34"/>
      <c r="H91" s="35"/>
      <c r="J91"/>
      <c r="K91" s="69"/>
      <c r="L91" s="104"/>
      <c r="M91" s="69"/>
    </row>
    <row r="92" spans="1:13" ht="13.05" customHeight="1">
      <c r="A92" s="88"/>
      <c r="B92" s="86"/>
      <c r="C92" s="86" t="s">
        <v>646</v>
      </c>
      <c r="D92" s="86"/>
      <c r="E92" s="87" t="s">
        <v>52</v>
      </c>
      <c r="F92" s="33"/>
      <c r="G92" s="34"/>
      <c r="H92" s="35"/>
      <c r="J92"/>
      <c r="K92" s="69"/>
      <c r="L92" s="73"/>
      <c r="M92" s="69"/>
    </row>
    <row r="93" spans="1:13" ht="13.05" customHeight="1">
      <c r="A93" s="88"/>
      <c r="B93" s="86"/>
      <c r="C93" s="86"/>
      <c r="D93" s="86"/>
      <c r="E93" s="87"/>
      <c r="F93" s="33"/>
      <c r="G93" s="34"/>
      <c r="H93" s="35"/>
      <c r="J93"/>
      <c r="K93" s="69"/>
      <c r="L93" s="73"/>
      <c r="M93" s="69"/>
    </row>
    <row r="94" spans="1:13" ht="13.05" customHeight="1">
      <c r="A94" s="88" t="s">
        <v>400</v>
      </c>
      <c r="B94" s="86" t="s">
        <v>684</v>
      </c>
      <c r="C94" s="86"/>
      <c r="D94" s="86"/>
      <c r="E94" s="87"/>
      <c r="F94" s="33"/>
      <c r="G94" s="34"/>
      <c r="H94" s="35"/>
      <c r="J94"/>
      <c r="K94" s="69"/>
      <c r="L94" s="43"/>
      <c r="M94" s="69"/>
    </row>
    <row r="95" spans="1:13" ht="13.05" customHeight="1">
      <c r="A95" s="88"/>
      <c r="B95" s="86"/>
      <c r="C95" s="86" t="s">
        <v>441</v>
      </c>
      <c r="D95" s="86"/>
      <c r="E95" s="87" t="s">
        <v>52</v>
      </c>
      <c r="F95" s="33"/>
      <c r="G95" s="34"/>
      <c r="H95" s="35"/>
      <c r="J95"/>
      <c r="K95" s="69"/>
      <c r="L95" s="43"/>
      <c r="M95" s="69"/>
    </row>
    <row r="96" spans="1:13" ht="13.05" customHeight="1">
      <c r="A96" s="88"/>
      <c r="B96" s="86"/>
      <c r="C96" s="86" t="s">
        <v>646</v>
      </c>
      <c r="D96" s="86"/>
      <c r="E96" s="87" t="s">
        <v>52</v>
      </c>
      <c r="F96" s="33"/>
      <c r="G96" s="34"/>
      <c r="H96" s="35"/>
      <c r="J96"/>
      <c r="K96" s="69"/>
      <c r="L96" s="43"/>
      <c r="M96" s="69"/>
    </row>
    <row r="97" spans="1:13" ht="13.05" customHeight="1">
      <c r="A97" s="88"/>
      <c r="B97" s="86"/>
      <c r="C97" s="86"/>
      <c r="D97" s="86"/>
      <c r="E97" s="87"/>
      <c r="F97" s="33"/>
      <c r="G97" s="34"/>
      <c r="H97" s="35"/>
      <c r="J97"/>
      <c r="K97" s="69"/>
      <c r="L97" s="43"/>
      <c r="M97" s="69"/>
    </row>
    <row r="98" spans="1:13" ht="13.05" customHeight="1">
      <c r="A98" s="88" t="s">
        <v>401</v>
      </c>
      <c r="B98" s="86" t="s">
        <v>685</v>
      </c>
      <c r="C98" s="86"/>
      <c r="D98" s="86"/>
      <c r="E98" s="87"/>
      <c r="F98" s="33"/>
      <c r="G98" s="34"/>
      <c r="H98" s="35"/>
      <c r="J98"/>
      <c r="K98" s="69"/>
      <c r="L98" s="43"/>
      <c r="M98" s="69"/>
    </row>
    <row r="99" spans="1:13" ht="13.05" customHeight="1">
      <c r="A99" s="88"/>
      <c r="B99" s="86"/>
      <c r="C99" s="86" t="s">
        <v>441</v>
      </c>
      <c r="D99" s="86"/>
      <c r="E99" s="87" t="s">
        <v>52</v>
      </c>
      <c r="F99" s="33"/>
      <c r="G99" s="34"/>
      <c r="H99" s="35"/>
      <c r="J99"/>
      <c r="K99" s="69"/>
      <c r="L99" s="43"/>
      <c r="M99" s="69"/>
    </row>
    <row r="100" spans="1:13" ht="13.05" customHeight="1">
      <c r="A100" s="88"/>
      <c r="B100" s="86"/>
      <c r="C100" s="86" t="s">
        <v>646</v>
      </c>
      <c r="D100" s="86"/>
      <c r="E100" s="87" t="s">
        <v>52</v>
      </c>
      <c r="F100" s="33"/>
      <c r="G100" s="34"/>
      <c r="H100" s="35"/>
      <c r="J100"/>
      <c r="K100" s="69"/>
      <c r="L100" s="43"/>
      <c r="M100" s="69"/>
    </row>
    <row r="101" spans="1:13" ht="13.05" customHeight="1">
      <c r="A101" s="88"/>
      <c r="B101" s="86"/>
      <c r="C101" s="86"/>
      <c r="D101" s="86"/>
      <c r="E101" s="87"/>
      <c r="F101" s="33"/>
      <c r="G101" s="34"/>
      <c r="H101" s="35"/>
      <c r="J101"/>
      <c r="K101" s="69"/>
      <c r="L101" s="43"/>
      <c r="M101" s="69"/>
    </row>
    <row r="102" spans="1:13" ht="13.05" customHeight="1">
      <c r="A102" s="88" t="s">
        <v>403</v>
      </c>
      <c r="B102" s="86" t="s">
        <v>686</v>
      </c>
      <c r="C102" s="86"/>
      <c r="D102" s="86"/>
      <c r="E102" s="87" t="s">
        <v>52</v>
      </c>
      <c r="F102" s="33"/>
      <c r="G102" s="34"/>
      <c r="H102" s="35"/>
      <c r="J102"/>
      <c r="K102" s="69"/>
      <c r="L102" s="73"/>
      <c r="M102" s="69"/>
    </row>
    <row r="103" spans="1:13" ht="13.05" customHeight="1">
      <c r="A103" s="88"/>
      <c r="B103" s="86"/>
      <c r="C103" s="86"/>
      <c r="D103" s="86"/>
      <c r="E103" s="87"/>
      <c r="F103" s="33"/>
      <c r="G103" s="34"/>
      <c r="H103" s="35"/>
      <c r="J103"/>
      <c r="K103" s="69"/>
      <c r="L103" s="73"/>
      <c r="M103" s="69"/>
    </row>
    <row r="104" spans="1:13" ht="13.05" customHeight="1">
      <c r="A104" s="88" t="s">
        <v>405</v>
      </c>
      <c r="B104" s="86" t="s">
        <v>687</v>
      </c>
      <c r="C104" s="86"/>
      <c r="D104" s="86"/>
      <c r="E104" s="87"/>
      <c r="F104" s="33"/>
      <c r="G104" s="34"/>
      <c r="H104" s="35"/>
      <c r="J104"/>
      <c r="K104" s="69"/>
      <c r="L104" s="73"/>
      <c r="M104" s="69"/>
    </row>
    <row r="105" spans="1:13" ht="13.05" customHeight="1">
      <c r="A105" s="88"/>
      <c r="B105" s="86"/>
      <c r="C105" s="86"/>
      <c r="D105" s="86"/>
      <c r="E105" s="87"/>
      <c r="F105" s="33"/>
      <c r="G105" s="34"/>
      <c r="H105" s="35"/>
      <c r="J105"/>
      <c r="K105" s="69"/>
      <c r="L105" s="103"/>
      <c r="M105" s="69"/>
    </row>
    <row r="106" spans="1:13" ht="13.05" customHeight="1">
      <c r="A106" s="84" t="s">
        <v>83</v>
      </c>
      <c r="B106" s="85" t="s">
        <v>688</v>
      </c>
      <c r="C106" s="86"/>
      <c r="D106" s="86"/>
      <c r="E106" s="87"/>
      <c r="F106" s="33"/>
      <c r="G106" s="34"/>
      <c r="H106" s="35"/>
      <c r="J106"/>
      <c r="K106" s="69"/>
      <c r="L106" s="105"/>
      <c r="M106" s="69"/>
    </row>
    <row r="107" spans="1:13" ht="13.05" customHeight="1">
      <c r="A107" s="84"/>
      <c r="B107" s="85"/>
      <c r="C107" s="86" t="s">
        <v>689</v>
      </c>
      <c r="D107" s="86"/>
      <c r="E107" s="87"/>
      <c r="F107" s="33"/>
      <c r="G107" s="34"/>
      <c r="H107" s="35"/>
      <c r="J107"/>
      <c r="K107" s="69"/>
      <c r="L107" s="73"/>
      <c r="M107" s="69"/>
    </row>
    <row r="108" spans="1:13" ht="13.05" customHeight="1">
      <c r="A108" s="84"/>
      <c r="B108" s="85"/>
      <c r="C108" s="86"/>
      <c r="D108" s="86" t="s">
        <v>690</v>
      </c>
      <c r="E108" s="87" t="s">
        <v>123</v>
      </c>
      <c r="F108" s="33"/>
      <c r="G108" s="34"/>
      <c r="H108" s="35"/>
      <c r="J108"/>
      <c r="K108" s="69"/>
      <c r="L108" s="73"/>
      <c r="M108" s="69"/>
    </row>
    <row r="109" spans="1:13" ht="13.05" customHeight="1">
      <c r="A109" s="84"/>
      <c r="B109" s="85"/>
      <c r="C109" s="86"/>
      <c r="D109" s="86" t="s">
        <v>691</v>
      </c>
      <c r="E109" s="87" t="s">
        <v>123</v>
      </c>
      <c r="F109" s="33"/>
      <c r="G109" s="34"/>
      <c r="H109" s="35"/>
      <c r="J109"/>
      <c r="K109" s="69"/>
      <c r="L109" s="73"/>
      <c r="M109" s="69"/>
    </row>
    <row r="110" spans="1:13" ht="13.05" customHeight="1">
      <c r="A110" s="84"/>
      <c r="B110" s="85"/>
      <c r="C110" s="86" t="s">
        <v>692</v>
      </c>
      <c r="D110" s="86"/>
      <c r="E110" s="87"/>
      <c r="F110" s="33"/>
      <c r="G110" s="34"/>
      <c r="H110" s="35"/>
      <c r="J110"/>
      <c r="K110" s="69"/>
      <c r="L110" s="104"/>
      <c r="M110" s="69"/>
    </row>
    <row r="111" spans="1:13" ht="13.05" customHeight="1">
      <c r="A111" s="84"/>
      <c r="B111" s="85"/>
      <c r="C111" s="86"/>
      <c r="D111" s="86" t="s">
        <v>690</v>
      </c>
      <c r="E111" s="87" t="s">
        <v>123</v>
      </c>
      <c r="F111" s="33"/>
      <c r="G111" s="34"/>
      <c r="H111" s="35"/>
      <c r="J111"/>
      <c r="K111" s="69"/>
      <c r="L111" s="73"/>
      <c r="M111" s="69"/>
    </row>
    <row r="112" spans="1:13" ht="13.05" customHeight="1">
      <c r="A112" s="84"/>
      <c r="B112" s="85"/>
      <c r="C112" s="86"/>
      <c r="D112" s="86" t="s">
        <v>691</v>
      </c>
      <c r="E112" s="87" t="s">
        <v>123</v>
      </c>
      <c r="F112" s="33"/>
      <c r="G112" s="34"/>
      <c r="H112" s="35"/>
      <c r="J112"/>
      <c r="K112" s="69"/>
      <c r="L112" s="73"/>
      <c r="M112" s="69"/>
    </row>
    <row r="113" spans="1:13" ht="13.05" customHeight="1">
      <c r="A113" s="84"/>
      <c r="B113" s="85"/>
      <c r="C113" s="86" t="s">
        <v>693</v>
      </c>
      <c r="D113" s="86"/>
      <c r="E113" s="87" t="s">
        <v>123</v>
      </c>
      <c r="F113" s="33"/>
      <c r="G113" s="34"/>
      <c r="H113" s="35"/>
      <c r="J113"/>
      <c r="K113" s="69"/>
      <c r="L113" s="73"/>
      <c r="M113" s="69"/>
    </row>
    <row r="114" spans="1:13" ht="13.05" customHeight="1">
      <c r="A114" s="84"/>
      <c r="B114" s="85"/>
      <c r="C114" s="86" t="s">
        <v>694</v>
      </c>
      <c r="D114" s="86"/>
      <c r="E114" s="87" t="s">
        <v>123</v>
      </c>
      <c r="F114" s="33"/>
      <c r="G114" s="34"/>
      <c r="H114" s="35"/>
      <c r="J114"/>
      <c r="K114" s="69"/>
      <c r="L114" s="43"/>
      <c r="M114" s="69"/>
    </row>
    <row r="115" spans="1:13" ht="13.05" customHeight="1">
      <c r="A115" s="84"/>
      <c r="B115" s="85"/>
      <c r="C115" s="86" t="s">
        <v>695</v>
      </c>
      <c r="D115" s="86"/>
      <c r="E115" s="87" t="s">
        <v>123</v>
      </c>
      <c r="F115" s="33"/>
      <c r="G115" s="34"/>
      <c r="H115" s="35"/>
      <c r="J115"/>
      <c r="K115" s="69"/>
      <c r="L115" s="43"/>
      <c r="M115" s="69"/>
    </row>
    <row r="116" spans="1:13" ht="13.05" customHeight="1">
      <c r="A116" s="84"/>
      <c r="B116" s="85"/>
      <c r="C116" s="86" t="s">
        <v>696</v>
      </c>
      <c r="D116" s="86"/>
      <c r="E116" s="87"/>
      <c r="F116" s="33"/>
      <c r="G116" s="34"/>
      <c r="H116" s="35"/>
      <c r="J116"/>
      <c r="K116" s="69"/>
      <c r="L116" s="43"/>
      <c r="M116" s="69"/>
    </row>
    <row r="117" spans="1:13" ht="13.05" customHeight="1">
      <c r="A117" s="84"/>
      <c r="B117" s="85"/>
      <c r="C117" s="86"/>
      <c r="D117" s="86" t="s">
        <v>697</v>
      </c>
      <c r="E117" s="87" t="s">
        <v>93</v>
      </c>
      <c r="F117" s="33"/>
      <c r="G117" s="34"/>
      <c r="H117" s="35"/>
      <c r="J117"/>
      <c r="K117" s="69"/>
      <c r="L117" s="43"/>
      <c r="M117" s="69"/>
    </row>
    <row r="118" spans="1:13" ht="13.05" customHeight="1">
      <c r="A118" s="84"/>
      <c r="B118" s="85"/>
      <c r="C118" s="86"/>
      <c r="D118" s="86" t="s">
        <v>698</v>
      </c>
      <c r="E118" s="87" t="s">
        <v>93</v>
      </c>
      <c r="F118" s="33"/>
      <c r="G118" s="34"/>
      <c r="H118" s="35"/>
      <c r="J118"/>
      <c r="K118" s="69"/>
      <c r="L118" s="43"/>
      <c r="M118" s="69"/>
    </row>
    <row r="119" spans="1:13" ht="13.05" customHeight="1">
      <c r="A119" s="84"/>
      <c r="B119" s="85"/>
      <c r="C119" s="86"/>
      <c r="D119" s="86" t="s">
        <v>699</v>
      </c>
      <c r="E119" s="87" t="s">
        <v>93</v>
      </c>
      <c r="F119" s="33"/>
      <c r="G119" s="34"/>
      <c r="H119" s="35"/>
      <c r="J119"/>
      <c r="K119" s="69"/>
      <c r="L119" s="43"/>
      <c r="M119" s="69"/>
    </row>
    <row r="120" spans="1:13" ht="13.05" customHeight="1">
      <c r="A120" s="84"/>
      <c r="B120" s="85"/>
      <c r="C120" s="86"/>
      <c r="D120" s="86"/>
      <c r="E120" s="87"/>
      <c r="F120" s="33"/>
      <c r="G120" s="34"/>
      <c r="H120" s="35"/>
      <c r="J120"/>
      <c r="K120" s="69"/>
      <c r="L120" s="43"/>
      <c r="M120" s="69"/>
    </row>
    <row r="121" spans="1:13" ht="13.05" customHeight="1">
      <c r="A121" s="84" t="s">
        <v>136</v>
      </c>
      <c r="B121" s="85" t="s">
        <v>700</v>
      </c>
      <c r="C121" s="86"/>
      <c r="D121" s="86"/>
      <c r="E121" s="87"/>
      <c r="F121" s="33"/>
      <c r="G121" s="34"/>
      <c r="H121" s="35"/>
      <c r="J121"/>
      <c r="K121" s="69"/>
      <c r="L121" s="43"/>
      <c r="M121" s="69"/>
    </row>
    <row r="122" spans="1:13" ht="13.05" customHeight="1">
      <c r="A122" s="84"/>
      <c r="B122" s="85"/>
      <c r="C122" s="86"/>
      <c r="D122" s="86"/>
      <c r="E122" s="87"/>
      <c r="F122" s="33"/>
      <c r="G122" s="34"/>
      <c r="H122" s="35"/>
      <c r="J122"/>
      <c r="K122" s="69"/>
      <c r="L122" s="73"/>
      <c r="M122" s="69"/>
    </row>
    <row r="123" spans="1:13" ht="13.05" customHeight="1">
      <c r="A123" s="88" t="s">
        <v>455</v>
      </c>
      <c r="B123" s="86" t="s">
        <v>701</v>
      </c>
      <c r="C123" s="86"/>
      <c r="D123" s="86"/>
      <c r="E123" s="87"/>
      <c r="F123" s="33"/>
      <c r="G123" s="34"/>
      <c r="H123" s="35"/>
      <c r="J123"/>
      <c r="K123" s="69"/>
      <c r="L123" s="73"/>
      <c r="M123" s="69"/>
    </row>
    <row r="124" spans="1:13" ht="13.05" customHeight="1">
      <c r="A124" s="88"/>
      <c r="B124" s="86"/>
      <c r="C124" s="86" t="s">
        <v>702</v>
      </c>
      <c r="D124" s="86"/>
      <c r="E124" s="87" t="s">
        <v>703</v>
      </c>
      <c r="F124" s="33"/>
      <c r="G124" s="34"/>
      <c r="H124" s="35"/>
      <c r="J124"/>
      <c r="K124" s="69"/>
      <c r="L124" s="73"/>
      <c r="M124" s="69"/>
    </row>
    <row r="125" spans="1:13" ht="13.05" customHeight="1">
      <c r="A125" s="88"/>
      <c r="B125" s="86"/>
      <c r="C125" s="86" t="s">
        <v>704</v>
      </c>
      <c r="D125" s="86"/>
      <c r="E125" s="87" t="s">
        <v>52</v>
      </c>
      <c r="F125" s="33"/>
      <c r="G125" s="34"/>
      <c r="H125" s="35"/>
      <c r="J125"/>
      <c r="K125" s="69"/>
      <c r="L125" s="73"/>
      <c r="M125" s="69"/>
    </row>
    <row r="126" spans="1:13" ht="13.05" customHeight="1">
      <c r="A126" s="88"/>
      <c r="B126" s="86"/>
      <c r="C126" s="86"/>
      <c r="D126" s="86"/>
      <c r="E126" s="87"/>
      <c r="F126" s="33"/>
      <c r="G126" s="34"/>
      <c r="H126" s="35"/>
      <c r="J126"/>
      <c r="K126" s="69"/>
      <c r="L126" s="103"/>
      <c r="M126" s="69"/>
    </row>
    <row r="127" spans="1:13" ht="13.05" customHeight="1">
      <c r="A127" s="88" t="s">
        <v>457</v>
      </c>
      <c r="B127" s="86" t="s">
        <v>705</v>
      </c>
      <c r="C127" s="86"/>
      <c r="D127" s="86"/>
      <c r="E127" s="87" t="s">
        <v>93</v>
      </c>
      <c r="F127" s="33"/>
      <c r="G127" s="34"/>
      <c r="H127" s="35"/>
      <c r="J127"/>
      <c r="K127" s="69"/>
      <c r="L127" s="105"/>
      <c r="M127" s="69"/>
    </row>
    <row r="128" spans="1:13" ht="13.05" customHeight="1">
      <c r="A128" s="88"/>
      <c r="B128" s="86"/>
      <c r="C128" s="86"/>
      <c r="D128" s="86"/>
      <c r="E128" s="87"/>
      <c r="F128" s="33"/>
      <c r="G128" s="34"/>
      <c r="H128" s="35"/>
      <c r="J128"/>
      <c r="K128" s="69"/>
      <c r="L128" s="73"/>
      <c r="M128" s="69"/>
    </row>
    <row r="129" spans="1:13" ht="13.05" customHeight="1">
      <c r="A129" s="88" t="s">
        <v>459</v>
      </c>
      <c r="B129" s="86" t="s">
        <v>706</v>
      </c>
      <c r="C129" s="86"/>
      <c r="D129" s="86"/>
      <c r="E129" s="87" t="s">
        <v>123</v>
      </c>
      <c r="F129" s="33"/>
      <c r="G129" s="34"/>
      <c r="H129" s="35"/>
      <c r="J129"/>
      <c r="K129" s="69"/>
      <c r="L129" s="104"/>
      <c r="M129" s="69"/>
    </row>
    <row r="130" spans="1:13" ht="13.05" customHeight="1">
      <c r="A130" s="88"/>
      <c r="B130" s="86"/>
      <c r="C130" s="86"/>
      <c r="D130" s="86"/>
      <c r="E130" s="87"/>
      <c r="F130" s="33"/>
      <c r="G130" s="34"/>
      <c r="H130" s="35"/>
      <c r="J130"/>
      <c r="K130" s="69"/>
      <c r="L130" s="73"/>
      <c r="M130" s="69"/>
    </row>
    <row r="131" spans="1:13" ht="13.05" customHeight="1">
      <c r="A131" s="84" t="s">
        <v>464</v>
      </c>
      <c r="B131" s="85" t="s">
        <v>707</v>
      </c>
      <c r="C131" s="86"/>
      <c r="D131" s="86"/>
      <c r="E131" s="87" t="s">
        <v>52</v>
      </c>
      <c r="F131" s="33"/>
      <c r="G131" s="34"/>
      <c r="H131" s="35"/>
      <c r="J131"/>
      <c r="K131" s="69"/>
      <c r="L131" s="73"/>
      <c r="M131" s="69"/>
    </row>
    <row r="132" spans="1:13" ht="13.05" customHeight="1">
      <c r="A132" s="84"/>
      <c r="B132" s="85"/>
      <c r="C132" s="86"/>
      <c r="D132" s="86"/>
      <c r="E132" s="87"/>
      <c r="F132" s="33"/>
      <c r="G132" s="34"/>
      <c r="H132" s="35"/>
      <c r="J132"/>
      <c r="K132" s="69"/>
      <c r="L132" s="43"/>
      <c r="M132" s="69"/>
    </row>
    <row r="133" spans="1:13" ht="13.05" customHeight="1">
      <c r="A133" s="84" t="s">
        <v>471</v>
      </c>
      <c r="B133" s="85" t="s">
        <v>708</v>
      </c>
      <c r="C133" s="86"/>
      <c r="D133" s="86"/>
      <c r="E133" s="87" t="s">
        <v>46</v>
      </c>
      <c r="F133" s="33"/>
      <c r="G133" s="34"/>
      <c r="H133" s="35"/>
      <c r="J133"/>
      <c r="K133" s="69"/>
      <c r="L133" s="43"/>
      <c r="M133" s="69"/>
    </row>
    <row r="134" spans="1:13" ht="13.05" customHeight="1">
      <c r="A134" s="84"/>
      <c r="B134" s="85"/>
      <c r="C134" s="86"/>
      <c r="D134" s="86"/>
      <c r="E134" s="87"/>
      <c r="F134" s="33"/>
      <c r="G134" s="34"/>
      <c r="H134" s="35"/>
      <c r="J134"/>
      <c r="K134" s="69"/>
      <c r="L134" s="43"/>
      <c r="M134" s="69"/>
    </row>
    <row r="135" spans="1:13" ht="13.05" customHeight="1" thickBot="1">
      <c r="A135" s="49"/>
      <c r="B135" s="50"/>
      <c r="C135" s="50"/>
      <c r="D135" s="50"/>
      <c r="E135" s="51"/>
      <c r="F135" s="52"/>
      <c r="G135" s="53"/>
      <c r="H135" s="54"/>
    </row>
    <row r="136" spans="1:13" ht="20.100000000000001" customHeight="1" thickTop="1">
      <c r="A136" s="366" t="s">
        <v>62</v>
      </c>
      <c r="B136" s="367"/>
      <c r="C136" s="367"/>
      <c r="D136" s="368"/>
      <c r="E136" s="55"/>
      <c r="F136" s="56"/>
      <c r="G136" s="57"/>
      <c r="H136" s="58">
        <f>SUM(H7:H135)</f>
        <v>0</v>
      </c>
    </row>
    <row r="137" spans="1:13" ht="20.100000000000001" customHeight="1">
      <c r="A137" s="369" t="s">
        <v>63</v>
      </c>
      <c r="B137" s="370"/>
      <c r="C137" s="370"/>
      <c r="D137" s="371"/>
      <c r="E137" s="59"/>
      <c r="F137" s="60"/>
      <c r="G137" s="61"/>
      <c r="H137" s="62">
        <f>H136*0.2</f>
        <v>0</v>
      </c>
    </row>
    <row r="138" spans="1:13" ht="20.100000000000001" customHeight="1" thickBot="1">
      <c r="A138" s="352" t="s">
        <v>64</v>
      </c>
      <c r="B138" s="353"/>
      <c r="C138" s="353"/>
      <c r="D138" s="354"/>
      <c r="E138" s="63"/>
      <c r="F138" s="64"/>
      <c r="G138" s="65"/>
      <c r="H138" s="66">
        <f>H137+H136</f>
        <v>0</v>
      </c>
    </row>
    <row r="139" spans="1:13" ht="15.6" thickTop="1"/>
  </sheetData>
  <mergeCells count="10">
    <mergeCell ref="C50:D50"/>
    <mergeCell ref="C55:D55"/>
    <mergeCell ref="C52:D52"/>
    <mergeCell ref="A138:D138"/>
    <mergeCell ref="A1:H1"/>
    <mergeCell ref="A2:H2"/>
    <mergeCell ref="B3:D3"/>
    <mergeCell ref="A136:D136"/>
    <mergeCell ref="A137:D137"/>
    <mergeCell ref="A6:H6"/>
  </mergeCells>
  <phoneticPr fontId="15" type="noConversion"/>
  <pageMargins left="0.70866141732283472" right="0.70866141732283472" top="0.74803149606299213" bottom="0.74803149606299213" header="0.31496062992125984" footer="0.31496062992125984"/>
  <pageSetup paperSize="9" scale="63" fitToHeight="11" orientation="portrait" horizontalDpi="0" verticalDpi="0"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38B70-36C0-4DC7-AA1F-5DC604F0EEE4}">
  <sheetPr codeName="Feuil13">
    <pageSetUpPr fitToPage="1"/>
  </sheetPr>
  <dimension ref="A1:L100"/>
  <sheetViews>
    <sheetView tabSelected="1" zoomScale="70" zoomScaleNormal="70" workbookViewId="0">
      <selection activeCell="A6" sqref="A6:H6"/>
    </sheetView>
  </sheetViews>
  <sheetFormatPr baseColWidth="10" defaultColWidth="11.44140625" defaultRowHeight="15"/>
  <cols>
    <col min="1" max="1" width="9.77734375" style="1" customWidth="1"/>
    <col min="2" max="2" width="4.77734375" style="1" customWidth="1"/>
    <col min="3" max="3" width="22.77734375" style="1" customWidth="1"/>
    <col min="4" max="4" width="43.5546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709</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c r="C5" s="28"/>
      <c r="D5" s="28"/>
      <c r="E5" s="29"/>
      <c r="F5" s="30"/>
      <c r="G5" s="31"/>
      <c r="H5" s="32"/>
    </row>
    <row r="6" spans="1:12" ht="34.950000000000003" customHeight="1">
      <c r="A6" s="372"/>
      <c r="B6" s="373"/>
      <c r="C6" s="373"/>
      <c r="D6" s="373"/>
      <c r="E6" s="373"/>
      <c r="F6" s="373"/>
      <c r="G6" s="373"/>
      <c r="H6" s="374"/>
      <c r="J6" s="36"/>
      <c r="K6" s="36"/>
      <c r="L6" s="36"/>
    </row>
    <row r="7" spans="1:12" ht="13.05" customHeight="1">
      <c r="A7" s="26"/>
      <c r="B7" s="28"/>
      <c r="C7" s="28"/>
      <c r="D7" s="28"/>
      <c r="E7" s="29"/>
      <c r="F7" s="33"/>
      <c r="G7" s="34"/>
      <c r="H7" s="35"/>
      <c r="J7" s="36"/>
      <c r="K7" s="36"/>
      <c r="L7" s="36"/>
    </row>
    <row r="8" spans="1:12" ht="13.05" customHeight="1">
      <c r="A8" s="26"/>
      <c r="B8" s="28"/>
      <c r="C8" s="28"/>
      <c r="D8" s="28"/>
      <c r="E8" s="29"/>
      <c r="F8" s="33"/>
      <c r="G8" s="34"/>
      <c r="H8" s="35"/>
      <c r="J8" s="36"/>
      <c r="K8" s="36"/>
      <c r="L8" s="36"/>
    </row>
    <row r="9" spans="1:12" s="11" customFormat="1" ht="13.05" customHeight="1">
      <c r="A9" s="45" t="s">
        <v>66</v>
      </c>
      <c r="B9" s="38" t="s">
        <v>67</v>
      </c>
      <c r="C9" s="13"/>
      <c r="D9" s="13"/>
      <c r="E9" s="39" t="s">
        <v>70</v>
      </c>
      <c r="F9" s="40"/>
      <c r="G9" s="41"/>
      <c r="H9" s="42"/>
      <c r="J9" s="36"/>
      <c r="K9" s="36"/>
      <c r="L9" s="36"/>
    </row>
    <row r="10" spans="1:12" s="11" customFormat="1" ht="13.05" customHeight="1">
      <c r="A10" s="45"/>
      <c r="B10" s="38"/>
      <c r="C10" s="13"/>
      <c r="D10" s="13"/>
      <c r="E10" s="39"/>
      <c r="F10" s="40"/>
      <c r="G10" s="41"/>
      <c r="H10" s="42"/>
      <c r="J10" s="36"/>
      <c r="K10" s="36"/>
      <c r="L10" s="36"/>
    </row>
    <row r="11" spans="1:12" s="11" customFormat="1" ht="13.05" customHeight="1">
      <c r="A11" s="45" t="s">
        <v>68</v>
      </c>
      <c r="B11" s="38" t="s">
        <v>353</v>
      </c>
      <c r="C11" s="13"/>
      <c r="D11" s="13"/>
      <c r="E11" s="39" t="s">
        <v>70</v>
      </c>
      <c r="F11" s="40"/>
      <c r="G11" s="41"/>
      <c r="H11" s="42"/>
      <c r="J11" s="36"/>
      <c r="K11" s="36"/>
      <c r="L11" s="36"/>
    </row>
    <row r="12" spans="1:12" s="11" customFormat="1" ht="13.05" customHeight="1">
      <c r="A12" s="45"/>
      <c r="B12" s="38"/>
      <c r="C12" s="13"/>
      <c r="D12" s="13"/>
      <c r="E12" s="39"/>
      <c r="F12" s="40"/>
      <c r="G12" s="41"/>
      <c r="H12" s="42"/>
      <c r="J12" s="36"/>
      <c r="K12" s="36"/>
      <c r="L12" s="36"/>
    </row>
    <row r="13" spans="1:12" s="11" customFormat="1" ht="13.05" customHeight="1">
      <c r="A13" s="45" t="s">
        <v>71</v>
      </c>
      <c r="B13" s="38" t="s">
        <v>710</v>
      </c>
      <c r="C13" s="13"/>
      <c r="D13" s="13"/>
      <c r="E13" s="39" t="s">
        <v>70</v>
      </c>
      <c r="F13" s="40"/>
      <c r="G13" s="41"/>
      <c r="H13" s="42"/>
      <c r="J13" s="36"/>
      <c r="K13" s="36"/>
      <c r="L13" s="36"/>
    </row>
    <row r="14" spans="1:12" s="11" customFormat="1" ht="13.05" customHeight="1">
      <c r="A14" s="45"/>
      <c r="B14" s="38"/>
      <c r="C14" s="13"/>
      <c r="D14" s="13"/>
      <c r="E14" s="39"/>
      <c r="F14" s="40"/>
      <c r="G14" s="41"/>
      <c r="H14" s="42"/>
      <c r="J14" s="36"/>
      <c r="K14" s="36"/>
      <c r="L14" s="36"/>
    </row>
    <row r="15" spans="1:12" s="11" customFormat="1" ht="13.05" customHeight="1">
      <c r="A15" s="45" t="s">
        <v>73</v>
      </c>
      <c r="B15" s="38" t="s">
        <v>711</v>
      </c>
      <c r="C15" s="13"/>
      <c r="D15" s="13"/>
      <c r="E15" s="39" t="s">
        <v>363</v>
      </c>
      <c r="F15" s="40"/>
      <c r="G15" s="41"/>
      <c r="H15" s="42"/>
      <c r="J15" s="36"/>
      <c r="K15" s="36"/>
      <c r="L15" s="36"/>
    </row>
    <row r="16" spans="1:12" s="11" customFormat="1" ht="13.05" customHeight="1">
      <c r="A16" s="45"/>
      <c r="B16" s="38"/>
      <c r="C16" s="13"/>
      <c r="D16" s="13"/>
      <c r="E16" s="39"/>
      <c r="F16" s="40"/>
      <c r="G16" s="41"/>
      <c r="H16" s="42"/>
      <c r="J16" s="36"/>
      <c r="K16" s="36"/>
      <c r="L16" s="36"/>
    </row>
    <row r="17" spans="1:12" s="11" customFormat="1" ht="13.05" customHeight="1">
      <c r="A17" s="45" t="s">
        <v>76</v>
      </c>
      <c r="B17" s="38" t="s">
        <v>712</v>
      </c>
      <c r="C17" s="13"/>
      <c r="D17" s="13"/>
      <c r="E17" s="39" t="s">
        <v>52</v>
      </c>
      <c r="F17" s="40"/>
      <c r="G17" s="41"/>
      <c r="H17" s="42"/>
      <c r="J17" s="69"/>
      <c r="K17" s="69"/>
      <c r="L17" s="69"/>
    </row>
    <row r="18" spans="1:12" s="11" customFormat="1" ht="13.05" customHeight="1">
      <c r="A18" s="45"/>
      <c r="B18" s="38"/>
      <c r="C18" s="13"/>
      <c r="D18" s="13"/>
      <c r="E18" s="39"/>
      <c r="F18" s="40"/>
      <c r="G18" s="41"/>
      <c r="H18" s="42"/>
      <c r="J18" s="69"/>
      <c r="K18" s="69"/>
      <c r="L18" s="69"/>
    </row>
    <row r="19" spans="1:12" s="11" customFormat="1" ht="13.05" customHeight="1">
      <c r="A19" s="45" t="s">
        <v>78</v>
      </c>
      <c r="B19" s="38" t="s">
        <v>713</v>
      </c>
      <c r="C19" s="13"/>
      <c r="D19" s="13"/>
      <c r="E19" s="39" t="s">
        <v>52</v>
      </c>
      <c r="F19" s="40"/>
      <c r="G19" s="41"/>
      <c r="H19" s="42"/>
      <c r="J19" s="69"/>
      <c r="K19" s="69"/>
      <c r="L19" s="69"/>
    </row>
    <row r="20" spans="1:12" s="11" customFormat="1" ht="13.05" customHeight="1">
      <c r="A20" s="45"/>
      <c r="B20" s="38"/>
      <c r="C20" s="13"/>
      <c r="D20" s="13"/>
      <c r="E20" s="39"/>
      <c r="F20" s="40"/>
      <c r="G20" s="41"/>
      <c r="H20" s="42"/>
      <c r="J20" s="69"/>
      <c r="K20" s="69"/>
      <c r="L20" s="69"/>
    </row>
    <row r="21" spans="1:12" s="11" customFormat="1" ht="13.05" customHeight="1">
      <c r="A21" s="45" t="s">
        <v>81</v>
      </c>
      <c r="B21" s="38" t="s">
        <v>714</v>
      </c>
      <c r="C21" s="13"/>
      <c r="D21" s="13"/>
      <c r="E21" s="39"/>
      <c r="F21" s="40"/>
      <c r="G21" s="41"/>
      <c r="H21" s="42"/>
      <c r="J21" s="36"/>
      <c r="K21" s="36"/>
      <c r="L21" s="36"/>
    </row>
    <row r="22" spans="1:12" s="11" customFormat="1" ht="13.05" customHeight="1">
      <c r="A22" s="45"/>
      <c r="B22" s="38"/>
      <c r="C22" s="13"/>
      <c r="D22" s="13"/>
      <c r="E22" s="39"/>
      <c r="F22" s="40"/>
      <c r="G22" s="41"/>
      <c r="H22" s="42"/>
      <c r="J22" s="69"/>
      <c r="K22" s="69"/>
      <c r="L22" s="69"/>
    </row>
    <row r="23" spans="1:12" s="11" customFormat="1" ht="13.05" customHeight="1">
      <c r="A23" s="83" t="s">
        <v>396</v>
      </c>
      <c r="B23" s="13" t="s">
        <v>715</v>
      </c>
      <c r="C23" s="13"/>
      <c r="D23" s="13"/>
      <c r="E23" s="39" t="s">
        <v>52</v>
      </c>
      <c r="F23" s="40"/>
      <c r="G23" s="41"/>
      <c r="H23" s="42"/>
      <c r="J23" s="69"/>
      <c r="K23" s="69"/>
      <c r="L23" s="69"/>
    </row>
    <row r="24" spans="1:12" s="11" customFormat="1" ht="13.05" customHeight="1">
      <c r="A24" s="83"/>
      <c r="B24" s="13"/>
      <c r="C24" s="13"/>
      <c r="D24" s="13"/>
      <c r="E24" s="39"/>
      <c r="F24" s="40"/>
      <c r="G24" s="41"/>
      <c r="H24" s="42"/>
      <c r="J24" s="69"/>
      <c r="K24" s="69"/>
      <c r="L24" s="69"/>
    </row>
    <row r="25" spans="1:12" s="11" customFormat="1" ht="13.05" customHeight="1">
      <c r="A25" s="83" t="s">
        <v>398</v>
      </c>
      <c r="B25" s="13" t="s">
        <v>716</v>
      </c>
      <c r="C25" s="13"/>
      <c r="D25" s="13"/>
      <c r="E25" s="39" t="s">
        <v>52</v>
      </c>
      <c r="F25" s="40"/>
      <c r="G25" s="41"/>
      <c r="H25" s="42"/>
      <c r="J25" s="36"/>
      <c r="K25" s="36"/>
      <c r="L25" s="36"/>
    </row>
    <row r="26" spans="1:12" s="11" customFormat="1" ht="13.05" customHeight="1">
      <c r="A26" s="83"/>
      <c r="B26" s="13"/>
      <c r="C26" s="13"/>
      <c r="D26" s="13"/>
      <c r="E26" s="39"/>
      <c r="F26" s="40"/>
      <c r="G26" s="41"/>
      <c r="H26" s="42"/>
      <c r="J26" s="36"/>
      <c r="K26" s="36"/>
      <c r="L26" s="36"/>
    </row>
    <row r="27" spans="1:12" s="11" customFormat="1" ht="13.05" customHeight="1">
      <c r="A27" s="83" t="s">
        <v>400</v>
      </c>
      <c r="B27" s="13" t="s">
        <v>717</v>
      </c>
      <c r="C27" s="13"/>
      <c r="D27" s="13"/>
      <c r="E27" s="39" t="s">
        <v>52</v>
      </c>
      <c r="F27" s="40"/>
      <c r="G27" s="41"/>
      <c r="H27" s="42"/>
      <c r="J27" s="69"/>
      <c r="K27" s="69"/>
      <c r="L27" s="69"/>
    </row>
    <row r="28" spans="1:12" s="11" customFormat="1" ht="13.05" customHeight="1">
      <c r="A28" s="83"/>
      <c r="B28" s="13"/>
      <c r="C28" s="13"/>
      <c r="D28" s="13"/>
      <c r="E28" s="39"/>
      <c r="F28" s="40"/>
      <c r="G28" s="41"/>
      <c r="H28" s="42"/>
      <c r="J28" s="69"/>
      <c r="K28" s="69"/>
      <c r="L28" s="69"/>
    </row>
    <row r="29" spans="1:12" s="11" customFormat="1" ht="13.05" customHeight="1">
      <c r="A29" s="83" t="s">
        <v>401</v>
      </c>
      <c r="B29" s="13" t="s">
        <v>718</v>
      </c>
      <c r="C29" s="13"/>
      <c r="D29" s="13"/>
      <c r="E29" s="39" t="s">
        <v>52</v>
      </c>
      <c r="F29" s="40"/>
      <c r="G29" s="41"/>
      <c r="H29" s="42"/>
      <c r="J29" s="69"/>
      <c r="K29" s="69"/>
      <c r="L29" s="69"/>
    </row>
    <row r="30" spans="1:12" s="11" customFormat="1" ht="13.05" customHeight="1">
      <c r="A30" s="83"/>
      <c r="B30" s="13"/>
      <c r="C30" s="13"/>
      <c r="D30" s="13"/>
      <c r="E30" s="39"/>
      <c r="F30" s="40"/>
      <c r="G30" s="41"/>
      <c r="H30" s="42"/>
      <c r="J30" s="69"/>
      <c r="K30" s="69"/>
      <c r="L30" s="69"/>
    </row>
    <row r="31" spans="1:12" s="11" customFormat="1" ht="13.05" customHeight="1">
      <c r="A31" s="45" t="s">
        <v>83</v>
      </c>
      <c r="B31" s="38" t="s">
        <v>719</v>
      </c>
      <c r="C31" s="13"/>
      <c r="D31" s="13"/>
      <c r="E31" s="39"/>
      <c r="F31" s="40"/>
      <c r="G31" s="41"/>
      <c r="H31" s="42"/>
      <c r="J31" s="69"/>
      <c r="K31" s="69"/>
      <c r="L31" s="69"/>
    </row>
    <row r="32" spans="1:12" s="11" customFormat="1" ht="13.05" customHeight="1">
      <c r="A32" s="45"/>
      <c r="B32" s="38"/>
      <c r="C32" s="13"/>
      <c r="D32" s="13"/>
      <c r="E32" s="39"/>
      <c r="F32" s="40"/>
      <c r="G32" s="41"/>
      <c r="H32" s="42"/>
      <c r="J32" s="69"/>
      <c r="K32" s="69"/>
      <c r="L32" s="69"/>
    </row>
    <row r="33" spans="1:12" s="11" customFormat="1" ht="13.05" customHeight="1">
      <c r="A33" s="83" t="s">
        <v>85</v>
      </c>
      <c r="B33" s="13" t="s">
        <v>720</v>
      </c>
      <c r="C33" s="13"/>
      <c r="D33" s="13"/>
      <c r="E33" s="39" t="s">
        <v>52</v>
      </c>
      <c r="F33" s="40"/>
      <c r="G33" s="41"/>
      <c r="H33" s="42"/>
      <c r="J33" s="69"/>
      <c r="K33" s="69"/>
      <c r="L33" s="69"/>
    </row>
    <row r="34" spans="1:12" s="11" customFormat="1" ht="13.05" customHeight="1">
      <c r="A34" s="83"/>
      <c r="B34" s="13"/>
      <c r="C34" s="13"/>
      <c r="D34" s="13"/>
      <c r="E34" s="39"/>
      <c r="F34" s="40"/>
      <c r="G34" s="41"/>
      <c r="H34" s="42"/>
      <c r="J34" s="69"/>
      <c r="K34" s="69"/>
      <c r="L34" s="69"/>
    </row>
    <row r="35" spans="1:12" s="11" customFormat="1" ht="13.05" customHeight="1">
      <c r="A35" s="83" t="s">
        <v>87</v>
      </c>
      <c r="B35" s="13" t="s">
        <v>721</v>
      </c>
      <c r="C35" s="13"/>
      <c r="D35" s="13"/>
      <c r="E35" s="39"/>
      <c r="F35" s="40"/>
      <c r="G35" s="41"/>
      <c r="H35" s="42"/>
      <c r="J35" s="69"/>
      <c r="K35" s="69"/>
      <c r="L35" s="69"/>
    </row>
    <row r="36" spans="1:12" ht="13.05" customHeight="1">
      <c r="A36" s="44"/>
      <c r="B36" s="13"/>
      <c r="C36" s="13" t="s">
        <v>441</v>
      </c>
      <c r="D36" s="13"/>
      <c r="E36" s="39" t="s">
        <v>52</v>
      </c>
      <c r="F36" s="40"/>
      <c r="G36" s="41"/>
      <c r="H36" s="42"/>
      <c r="J36" s="36"/>
      <c r="K36" s="91"/>
      <c r="L36"/>
    </row>
    <row r="37" spans="1:12" ht="13.05" customHeight="1">
      <c r="A37" s="44"/>
      <c r="B37" s="13"/>
      <c r="C37" s="13" t="s">
        <v>722</v>
      </c>
      <c r="D37" s="13"/>
      <c r="E37" s="39" t="s">
        <v>123</v>
      </c>
      <c r="F37" s="40"/>
      <c r="G37" s="41"/>
      <c r="H37" s="42"/>
      <c r="J37" s="36"/>
      <c r="K37" s="92"/>
      <c r="L37"/>
    </row>
    <row r="38" spans="1:12" s="11" customFormat="1" ht="13.05" customHeight="1">
      <c r="A38" s="45"/>
      <c r="B38" s="38"/>
      <c r="C38" s="13"/>
      <c r="D38" s="13"/>
      <c r="E38" s="39"/>
      <c r="F38" s="40"/>
      <c r="G38" s="41"/>
      <c r="H38" s="42"/>
      <c r="J38" s="69"/>
      <c r="K38" s="69"/>
      <c r="L38" s="69"/>
    </row>
    <row r="39" spans="1:12" s="11" customFormat="1" ht="13.05" customHeight="1">
      <c r="A39" s="45" t="s">
        <v>136</v>
      </c>
      <c r="B39" s="38" t="s">
        <v>723</v>
      </c>
      <c r="C39" s="13"/>
      <c r="D39" s="13"/>
      <c r="E39" s="39"/>
      <c r="F39" s="40"/>
      <c r="G39" s="41"/>
      <c r="H39" s="42"/>
      <c r="J39" s="69"/>
      <c r="K39" s="69"/>
      <c r="L39" s="69"/>
    </row>
    <row r="40" spans="1:12" s="11" customFormat="1" ht="13.05" customHeight="1">
      <c r="A40" s="45"/>
      <c r="B40" s="38"/>
      <c r="C40" s="13"/>
      <c r="D40" s="13"/>
      <c r="E40" s="39"/>
      <c r="F40" s="40"/>
      <c r="G40" s="41"/>
      <c r="H40" s="42"/>
      <c r="J40" s="69"/>
      <c r="K40" s="69"/>
      <c r="L40" s="69"/>
    </row>
    <row r="41" spans="1:12" s="11" customFormat="1" ht="13.05" customHeight="1">
      <c r="A41" s="83" t="s">
        <v>455</v>
      </c>
      <c r="B41" s="13" t="s">
        <v>724</v>
      </c>
      <c r="C41" s="13"/>
      <c r="D41" s="13"/>
      <c r="E41" s="39" t="s">
        <v>52</v>
      </c>
      <c r="F41" s="40"/>
      <c r="G41" s="41"/>
      <c r="H41" s="42"/>
      <c r="J41" s="36"/>
      <c r="K41" s="36"/>
      <c r="L41" s="36"/>
    </row>
    <row r="42" spans="1:12" s="11" customFormat="1" ht="13.05" customHeight="1">
      <c r="A42" s="83"/>
      <c r="B42" s="13"/>
      <c r="C42" s="13"/>
      <c r="D42" s="13"/>
      <c r="E42" s="39"/>
      <c r="F42" s="40"/>
      <c r="G42" s="41"/>
      <c r="H42" s="42"/>
      <c r="J42" s="36"/>
      <c r="K42" s="108"/>
      <c r="L42" s="109"/>
    </row>
    <row r="43" spans="1:12" s="11" customFormat="1" ht="13.05" customHeight="1">
      <c r="A43" s="83" t="s">
        <v>457</v>
      </c>
      <c r="B43" s="13" t="s">
        <v>725</v>
      </c>
      <c r="C43" s="13"/>
      <c r="D43" s="13"/>
      <c r="E43" s="39" t="s">
        <v>52</v>
      </c>
      <c r="F43" s="40"/>
      <c r="G43" s="41"/>
      <c r="H43" s="42"/>
      <c r="J43" s="36"/>
      <c r="K43" s="36"/>
      <c r="L43" s="36"/>
    </row>
    <row r="44" spans="1:12" s="11" customFormat="1" ht="13.05" customHeight="1">
      <c r="A44" s="83"/>
      <c r="B44" s="13"/>
      <c r="C44" s="13"/>
      <c r="D44" s="13"/>
      <c r="E44" s="39"/>
      <c r="F44" s="40"/>
      <c r="G44" s="41"/>
      <c r="H44" s="42"/>
      <c r="J44" s="36"/>
      <c r="K44" s="36"/>
      <c r="L44" s="36"/>
    </row>
    <row r="45" spans="1:12" s="11" customFormat="1" ht="13.05" customHeight="1">
      <c r="A45" s="83" t="s">
        <v>459</v>
      </c>
      <c r="B45" s="13" t="s">
        <v>726</v>
      </c>
      <c r="C45" s="13"/>
      <c r="D45" s="13"/>
      <c r="E45" s="39"/>
      <c r="F45" s="40"/>
      <c r="G45" s="41"/>
      <c r="H45" s="42"/>
      <c r="J45" s="36"/>
      <c r="K45" s="36"/>
      <c r="L45" s="36"/>
    </row>
    <row r="46" spans="1:12" s="11" customFormat="1" ht="13.05" customHeight="1">
      <c r="A46" s="83"/>
      <c r="B46" s="13"/>
      <c r="C46" s="13" t="s">
        <v>727</v>
      </c>
      <c r="D46" s="13" t="s">
        <v>728</v>
      </c>
      <c r="E46" s="39" t="s">
        <v>52</v>
      </c>
      <c r="F46" s="40"/>
      <c r="G46" s="41"/>
      <c r="H46" s="42"/>
      <c r="J46" s="36"/>
      <c r="K46" s="36"/>
      <c r="L46" s="36"/>
    </row>
    <row r="47" spans="1:12" s="11" customFormat="1" ht="13.05" customHeight="1">
      <c r="A47" s="83"/>
      <c r="B47" s="13"/>
      <c r="C47" s="13"/>
      <c r="D47" s="13"/>
      <c r="E47" s="39"/>
      <c r="F47" s="40"/>
      <c r="G47" s="41"/>
      <c r="H47" s="42"/>
      <c r="J47" s="36"/>
      <c r="K47" s="36"/>
      <c r="L47" s="36"/>
    </row>
    <row r="48" spans="1:12" s="11" customFormat="1" ht="13.05" customHeight="1">
      <c r="A48" s="83" t="s">
        <v>729</v>
      </c>
      <c r="B48" s="13" t="s">
        <v>730</v>
      </c>
      <c r="C48" s="13"/>
      <c r="D48" s="13"/>
      <c r="E48" s="39" t="s">
        <v>52</v>
      </c>
      <c r="F48" s="40"/>
      <c r="G48" s="41"/>
      <c r="H48" s="42"/>
      <c r="J48" s="36"/>
      <c r="K48" s="36"/>
      <c r="L48" s="36"/>
    </row>
    <row r="49" spans="1:12" s="11" customFormat="1" ht="13.05" customHeight="1">
      <c r="A49" s="83"/>
      <c r="B49" s="13"/>
      <c r="C49" s="13"/>
      <c r="D49" s="13"/>
      <c r="E49" s="39"/>
      <c r="F49" s="40"/>
      <c r="G49" s="41"/>
      <c r="H49" s="42"/>
      <c r="J49" s="36"/>
      <c r="K49" s="36"/>
      <c r="L49" s="36"/>
    </row>
    <row r="50" spans="1:12" s="11" customFormat="1" ht="13.05" customHeight="1">
      <c r="A50" s="83" t="s">
        <v>731</v>
      </c>
      <c r="B50" s="13" t="s">
        <v>732</v>
      </c>
      <c r="C50" s="13"/>
      <c r="D50" s="13"/>
      <c r="E50" s="39"/>
      <c r="F50" s="40"/>
      <c r="G50" s="41"/>
      <c r="H50" s="42"/>
      <c r="J50" s="89"/>
      <c r="K50" s="89"/>
      <c r="L50" s="89"/>
    </row>
    <row r="51" spans="1:12" ht="13.05" customHeight="1">
      <c r="A51" s="44"/>
      <c r="B51" s="13"/>
      <c r="C51" s="13" t="s">
        <v>441</v>
      </c>
      <c r="D51" s="13"/>
      <c r="E51" s="39" t="s">
        <v>52</v>
      </c>
      <c r="F51" s="40"/>
      <c r="G51" s="41"/>
      <c r="H51" s="42"/>
      <c r="J51" s="36"/>
      <c r="K51" s="91"/>
      <c r="L51"/>
    </row>
    <row r="52" spans="1:12" ht="13.05" customHeight="1">
      <c r="A52" s="44"/>
      <c r="B52" s="13"/>
      <c r="C52" s="13" t="s">
        <v>733</v>
      </c>
      <c r="D52" s="13"/>
      <c r="E52" s="39" t="s">
        <v>123</v>
      </c>
      <c r="F52" s="40"/>
      <c r="G52" s="41"/>
      <c r="H52" s="42"/>
      <c r="J52" s="36"/>
      <c r="K52" s="92"/>
      <c r="L52"/>
    </row>
    <row r="53" spans="1:12" s="11" customFormat="1" ht="13.05" customHeight="1">
      <c r="A53" s="83"/>
      <c r="B53" s="13"/>
      <c r="C53" s="13"/>
      <c r="D53" s="13"/>
      <c r="E53" s="39"/>
      <c r="F53" s="40"/>
      <c r="G53" s="41"/>
      <c r="H53" s="42"/>
      <c r="J53" s="89"/>
      <c r="K53" s="89"/>
      <c r="L53" s="89"/>
    </row>
    <row r="54" spans="1:12" s="11" customFormat="1" ht="13.05" customHeight="1">
      <c r="A54" s="83" t="s">
        <v>734</v>
      </c>
      <c r="B54" s="13" t="s">
        <v>735</v>
      </c>
      <c r="C54" s="13"/>
      <c r="D54" s="13"/>
      <c r="E54" s="39"/>
      <c r="F54" s="40"/>
      <c r="G54" s="41"/>
      <c r="H54" s="42"/>
      <c r="J54" s="89"/>
      <c r="K54" s="89"/>
      <c r="L54" s="89"/>
    </row>
    <row r="55" spans="1:12" ht="13.05" customHeight="1">
      <c r="A55" s="44"/>
      <c r="B55" s="13"/>
      <c r="C55" s="13" t="s">
        <v>441</v>
      </c>
      <c r="D55" s="13"/>
      <c r="E55" s="39" t="s">
        <v>52</v>
      </c>
      <c r="F55" s="40"/>
      <c r="G55" s="41"/>
      <c r="H55" s="42"/>
      <c r="J55" s="36"/>
      <c r="K55" s="91"/>
      <c r="L55"/>
    </row>
    <row r="56" spans="1:12" ht="13.05" customHeight="1">
      <c r="A56" s="44"/>
      <c r="B56" s="13"/>
      <c r="C56" s="13" t="s">
        <v>722</v>
      </c>
      <c r="D56" s="13"/>
      <c r="E56" s="39" t="s">
        <v>123</v>
      </c>
      <c r="F56" s="40"/>
      <c r="G56" s="41"/>
      <c r="H56" s="42"/>
      <c r="J56" s="36"/>
      <c r="K56" s="92"/>
      <c r="L56"/>
    </row>
    <row r="57" spans="1:12" s="11" customFormat="1" ht="13.05" customHeight="1">
      <c r="A57" s="45"/>
      <c r="B57" s="38"/>
      <c r="C57" s="13"/>
      <c r="D57" s="13"/>
      <c r="E57" s="39"/>
      <c r="F57" s="40"/>
      <c r="G57" s="41"/>
      <c r="H57" s="42"/>
      <c r="J57" s="89"/>
      <c r="K57" s="89"/>
      <c r="L57" s="89"/>
    </row>
    <row r="58" spans="1:12" s="11" customFormat="1" ht="13.05" customHeight="1">
      <c r="A58" s="45" t="s">
        <v>464</v>
      </c>
      <c r="B58" s="38" t="s">
        <v>736</v>
      </c>
      <c r="C58" s="13"/>
      <c r="D58" s="13"/>
      <c r="E58" s="39" t="s">
        <v>46</v>
      </c>
      <c r="F58" s="40"/>
      <c r="G58" s="41"/>
      <c r="H58" s="42"/>
      <c r="J58" s="89"/>
      <c r="K58" s="89"/>
      <c r="L58" s="89"/>
    </row>
    <row r="59" spans="1:12" s="11" customFormat="1" ht="13.05" customHeight="1">
      <c r="A59" s="45"/>
      <c r="B59" s="38"/>
      <c r="C59" s="13"/>
      <c r="D59" s="13"/>
      <c r="E59" s="39"/>
      <c r="F59" s="40"/>
      <c r="G59" s="41"/>
      <c r="H59" s="42"/>
      <c r="J59" s="89"/>
      <c r="K59" s="89"/>
      <c r="L59" s="89"/>
    </row>
    <row r="60" spans="1:12" s="11" customFormat="1" ht="13.05" customHeight="1">
      <c r="A60" s="45" t="s">
        <v>471</v>
      </c>
      <c r="B60" s="38" t="s">
        <v>737</v>
      </c>
      <c r="C60" s="13"/>
      <c r="D60" s="13"/>
      <c r="E60" s="39"/>
      <c r="F60" s="40"/>
      <c r="G60" s="41"/>
      <c r="H60" s="42"/>
      <c r="J60" s="89"/>
      <c r="K60" s="89"/>
      <c r="L60" s="89"/>
    </row>
    <row r="61" spans="1:12" s="11" customFormat="1" ht="13.05" customHeight="1">
      <c r="A61" s="45"/>
      <c r="B61" s="38"/>
      <c r="C61" s="86" t="s">
        <v>738</v>
      </c>
      <c r="D61" s="13"/>
      <c r="E61" s="39" t="s">
        <v>93</v>
      </c>
      <c r="F61" s="40"/>
      <c r="G61" s="41"/>
      <c r="H61" s="42"/>
      <c r="J61" s="89"/>
      <c r="K61" s="89"/>
      <c r="L61" s="89"/>
    </row>
    <row r="62" spans="1:12" s="11" customFormat="1" ht="13.05" customHeight="1">
      <c r="A62" s="45"/>
      <c r="B62" s="38"/>
      <c r="C62" s="86" t="s">
        <v>739</v>
      </c>
      <c r="D62" s="13"/>
      <c r="E62" s="39" t="s">
        <v>93</v>
      </c>
      <c r="F62" s="40"/>
      <c r="G62" s="41"/>
      <c r="H62" s="42"/>
      <c r="J62" s="89"/>
      <c r="K62" s="89"/>
      <c r="L62" s="89"/>
    </row>
    <row r="63" spans="1:12" s="11" customFormat="1" ht="13.05" customHeight="1">
      <c r="A63" s="45"/>
      <c r="B63" s="38"/>
      <c r="C63" s="13"/>
      <c r="D63" s="13"/>
      <c r="E63" s="39"/>
      <c r="F63" s="40"/>
      <c r="G63" s="41"/>
      <c r="H63" s="42"/>
      <c r="J63" s="89"/>
      <c r="K63" s="89"/>
      <c r="L63" s="89"/>
    </row>
    <row r="64" spans="1:12" s="11" customFormat="1" ht="13.05" customHeight="1">
      <c r="A64" s="45" t="s">
        <v>473</v>
      </c>
      <c r="B64" s="38" t="s">
        <v>722</v>
      </c>
      <c r="C64" s="13"/>
      <c r="D64" s="13"/>
      <c r="E64" s="39" t="s">
        <v>123</v>
      </c>
      <c r="F64" s="40"/>
      <c r="G64" s="41"/>
      <c r="H64" s="42"/>
      <c r="J64" s="89"/>
      <c r="K64" s="89"/>
      <c r="L64" s="89"/>
    </row>
    <row r="65" spans="1:12" s="11" customFormat="1" ht="13.05" customHeight="1">
      <c r="A65" s="45"/>
      <c r="B65" s="38"/>
      <c r="C65" s="13"/>
      <c r="D65" s="13"/>
      <c r="E65" s="39"/>
      <c r="F65" s="40"/>
      <c r="G65" s="41"/>
      <c r="H65" s="42"/>
      <c r="J65" s="89"/>
      <c r="K65" s="89"/>
      <c r="L65" s="89"/>
    </row>
    <row r="66" spans="1:12" s="11" customFormat="1" ht="13.05" customHeight="1">
      <c r="A66" s="45" t="s">
        <v>475</v>
      </c>
      <c r="B66" s="38" t="s">
        <v>740</v>
      </c>
      <c r="C66" s="13"/>
      <c r="D66" s="13"/>
      <c r="E66" s="39" t="s">
        <v>46</v>
      </c>
      <c r="F66" s="40"/>
      <c r="G66" s="41"/>
      <c r="H66" s="42"/>
      <c r="J66" s="89"/>
      <c r="K66" s="89"/>
      <c r="L66" s="89"/>
    </row>
    <row r="67" spans="1:12" ht="13.05" customHeight="1">
      <c r="A67" s="45"/>
      <c r="B67" s="46"/>
      <c r="C67" s="47"/>
      <c r="D67" s="47"/>
      <c r="E67" s="48"/>
      <c r="F67" s="33"/>
      <c r="G67" s="34"/>
      <c r="H67" s="35"/>
      <c r="J67"/>
      <c r="K67"/>
      <c r="L67"/>
    </row>
    <row r="68" spans="1:12" ht="13.05" customHeight="1" thickBot="1">
      <c r="A68" s="49"/>
      <c r="B68" s="50"/>
      <c r="C68" s="50"/>
      <c r="D68" s="50"/>
      <c r="E68" s="51"/>
      <c r="F68" s="52"/>
      <c r="G68" s="53"/>
      <c r="H68" s="54"/>
      <c r="J68"/>
      <c r="K68"/>
      <c r="L68"/>
    </row>
    <row r="69" spans="1:12" ht="20.100000000000001" customHeight="1" thickTop="1">
      <c r="A69" s="366" t="s">
        <v>62</v>
      </c>
      <c r="B69" s="367"/>
      <c r="C69" s="367"/>
      <c r="D69" s="368"/>
      <c r="E69" s="55"/>
      <c r="F69" s="56"/>
      <c r="G69" s="57"/>
      <c r="H69" s="58"/>
      <c r="J69"/>
      <c r="K69"/>
      <c r="L69"/>
    </row>
    <row r="70" spans="1:12" ht="20.100000000000001" customHeight="1">
      <c r="A70" s="369" t="s">
        <v>63</v>
      </c>
      <c r="B70" s="370"/>
      <c r="C70" s="370"/>
      <c r="D70" s="371"/>
      <c r="E70" s="59"/>
      <c r="F70" s="60"/>
      <c r="G70" s="61"/>
      <c r="H70" s="62"/>
      <c r="J70"/>
      <c r="K70"/>
      <c r="L70"/>
    </row>
    <row r="71" spans="1:12" ht="20.100000000000001" customHeight="1" thickBot="1">
      <c r="A71" s="352" t="s">
        <v>64</v>
      </c>
      <c r="B71" s="353"/>
      <c r="C71" s="353"/>
      <c r="D71" s="354"/>
      <c r="E71" s="63"/>
      <c r="F71" s="64"/>
      <c r="G71" s="65"/>
      <c r="H71" s="66"/>
      <c r="J71"/>
      <c r="K71"/>
      <c r="L71"/>
    </row>
    <row r="72" spans="1:12" ht="15.6" thickTop="1">
      <c r="J72"/>
      <c r="K72"/>
      <c r="L72"/>
    </row>
    <row r="73" spans="1:12">
      <c r="J73"/>
      <c r="K73"/>
      <c r="L73"/>
    </row>
    <row r="74" spans="1:12" s="11" customFormat="1" ht="46.05" customHeight="1">
      <c r="A74" s="346" t="s">
        <v>457</v>
      </c>
      <c r="B74" s="405" t="s">
        <v>741</v>
      </c>
      <c r="C74" s="405"/>
      <c r="D74" s="405"/>
      <c r="E74" s="347" t="s">
        <v>52</v>
      </c>
      <c r="F74" s="348"/>
      <c r="G74" s="349"/>
      <c r="H74" s="349"/>
      <c r="J74" s="36"/>
      <c r="K74" s="36"/>
      <c r="L74" s="36"/>
    </row>
    <row r="75" spans="1:12">
      <c r="J75"/>
      <c r="K75"/>
      <c r="L75"/>
    </row>
    <row r="76" spans="1:12">
      <c r="J76"/>
      <c r="K76"/>
      <c r="L76"/>
    </row>
    <row r="77" spans="1:12">
      <c r="J77"/>
      <c r="K77"/>
      <c r="L77"/>
    </row>
    <row r="78" spans="1:12">
      <c r="J78"/>
      <c r="K78"/>
      <c r="L78"/>
    </row>
    <row r="79" spans="1:12">
      <c r="L79"/>
    </row>
    <row r="80" spans="1:12">
      <c r="L80"/>
    </row>
    <row r="81" spans="12:12">
      <c r="L81"/>
    </row>
    <row r="82" spans="12:12">
      <c r="L82"/>
    </row>
    <row r="83" spans="12:12">
      <c r="L83"/>
    </row>
    <row r="84" spans="12:12">
      <c r="L84"/>
    </row>
    <row r="85" spans="12:12">
      <c r="L85"/>
    </row>
    <row r="86" spans="12:12">
      <c r="L86"/>
    </row>
    <row r="87" spans="12:12">
      <c r="L87"/>
    </row>
    <row r="88" spans="12:12">
      <c r="L88"/>
    </row>
    <row r="89" spans="12:12">
      <c r="L89"/>
    </row>
    <row r="90" spans="12:12">
      <c r="L90"/>
    </row>
    <row r="91" spans="12:12">
      <c r="L91"/>
    </row>
    <row r="92" spans="12:12">
      <c r="L92"/>
    </row>
    <row r="93" spans="12:12">
      <c r="L93"/>
    </row>
    <row r="94" spans="12:12">
      <c r="L94"/>
    </row>
    <row r="95" spans="12:12">
      <c r="L95"/>
    </row>
    <row r="96" spans="12:12">
      <c r="L96"/>
    </row>
    <row r="97" spans="10:12">
      <c r="L97"/>
    </row>
    <row r="98" spans="10:12">
      <c r="L98"/>
    </row>
    <row r="99" spans="10:12">
      <c r="L99"/>
    </row>
    <row r="100" spans="10:12">
      <c r="J100" s="68"/>
      <c r="K100"/>
      <c r="L100"/>
    </row>
  </sheetData>
  <mergeCells count="8">
    <mergeCell ref="B74:D74"/>
    <mergeCell ref="A70:D70"/>
    <mergeCell ref="A71:D71"/>
    <mergeCell ref="A1:H1"/>
    <mergeCell ref="A2:H2"/>
    <mergeCell ref="B3:D3"/>
    <mergeCell ref="A69:D69"/>
    <mergeCell ref="A6:H6"/>
  </mergeCells>
  <phoneticPr fontId="15" type="noConversion"/>
  <pageMargins left="0.70866141732283472" right="0.70866141732283472" top="0.74803149606299213" bottom="0.74803149606299213" header="0.31496062992125984" footer="0.31496062992125984"/>
  <pageSetup paperSize="9" scale="61" fitToHeight="11" orientation="portrait" horizontalDpi="0" verticalDpi="0"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7C292A-1126-4511-8467-C1D48395565E}">
  <dimension ref="A1:I673"/>
  <sheetViews>
    <sheetView workbookViewId="0">
      <selection activeCell="J5" sqref="J5"/>
    </sheetView>
  </sheetViews>
  <sheetFormatPr baseColWidth="10" defaultColWidth="11.44140625" defaultRowHeight="14.4"/>
  <cols>
    <col min="3" max="3" width="112.77734375" customWidth="1"/>
  </cols>
  <sheetData>
    <row r="1" spans="1:9" ht="17.399999999999999">
      <c r="A1" s="160"/>
      <c r="B1" s="415" t="s">
        <v>772</v>
      </c>
      <c r="C1" s="416"/>
      <c r="D1" s="416"/>
      <c r="E1" s="416"/>
      <c r="F1" s="416"/>
      <c r="G1" s="416"/>
      <c r="H1" s="416"/>
      <c r="I1" s="417"/>
    </row>
    <row r="2" spans="1:9" ht="17.25" customHeight="1">
      <c r="A2" s="160"/>
      <c r="B2" s="418" t="str">
        <f>[2]PDG!B9</f>
        <v>LOT 13 COURANTS FORTS / COURANTS FAIBLES</v>
      </c>
      <c r="C2" s="419"/>
      <c r="D2" s="419"/>
      <c r="E2" s="419"/>
      <c r="F2" s="419"/>
      <c r="G2" s="419"/>
      <c r="H2" s="419"/>
      <c r="I2" s="420"/>
    </row>
    <row r="3" spans="1:9" ht="15.75" customHeight="1" thickBot="1">
      <c r="A3" s="160"/>
      <c r="B3" s="421" t="str">
        <f>CONCATENATE([2]PDG!F11," ",[2]PDG!F12," - ",[2]PDG!B17," ",[2]PDG!B18)</f>
        <v>Phase DCE - Indice 0</v>
      </c>
      <c r="C3" s="422"/>
      <c r="D3" s="422"/>
      <c r="E3" s="422"/>
      <c r="F3" s="422"/>
      <c r="G3" s="422"/>
      <c r="H3" s="422"/>
      <c r="I3" s="423"/>
    </row>
    <row r="4" spans="1:9" ht="51" thickBot="1">
      <c r="A4" s="170"/>
      <c r="B4" s="424" t="s">
        <v>774</v>
      </c>
      <c r="C4" s="425"/>
      <c r="D4" s="161" t="s">
        <v>48</v>
      </c>
      <c r="E4" s="298" t="s">
        <v>1227</v>
      </c>
      <c r="F4" s="163" t="s">
        <v>776</v>
      </c>
      <c r="G4" s="164" t="s">
        <v>777</v>
      </c>
      <c r="H4" s="164" t="s">
        <v>778</v>
      </c>
      <c r="I4" s="165" t="s">
        <v>779</v>
      </c>
    </row>
    <row r="5" spans="1:9" ht="159.75" customHeight="1" thickBot="1">
      <c r="A5" s="160"/>
      <c r="B5" s="426" t="s">
        <v>1527</v>
      </c>
      <c r="C5" s="427"/>
      <c r="D5" s="427"/>
      <c r="E5" s="427"/>
      <c r="F5" s="427"/>
      <c r="G5" s="427"/>
      <c r="H5" s="427"/>
      <c r="I5" s="428"/>
    </row>
    <row r="6" spans="1:9">
      <c r="A6" s="160"/>
      <c r="B6" s="173"/>
      <c r="C6" s="174"/>
      <c r="D6" s="173"/>
      <c r="E6" s="299"/>
      <c r="F6" s="300"/>
      <c r="G6" s="301"/>
      <c r="H6" s="178"/>
      <c r="I6" s="179"/>
    </row>
    <row r="7" spans="1:9">
      <c r="A7" s="189"/>
      <c r="B7" s="153">
        <v>1</v>
      </c>
      <c r="C7" s="154" t="s">
        <v>788</v>
      </c>
      <c r="D7" s="182"/>
      <c r="E7" s="302"/>
      <c r="F7" s="303"/>
      <c r="G7" s="304"/>
      <c r="H7" s="186"/>
      <c r="I7" s="187"/>
    </row>
    <row r="8" spans="1:9">
      <c r="A8" s="160"/>
      <c r="B8" s="155"/>
      <c r="C8" s="156"/>
      <c r="D8" s="190"/>
      <c r="E8" s="305"/>
      <c r="F8" s="300"/>
      <c r="G8" s="301"/>
      <c r="H8" s="192"/>
      <c r="I8" s="179"/>
    </row>
    <row r="9" spans="1:9">
      <c r="A9" s="160"/>
      <c r="B9" s="155"/>
      <c r="C9" s="156"/>
      <c r="D9" s="190"/>
      <c r="E9" s="305"/>
      <c r="F9" s="300"/>
      <c r="G9" s="301"/>
      <c r="H9" s="192"/>
      <c r="I9" s="179"/>
    </row>
    <row r="10" spans="1:9" ht="22.8">
      <c r="A10" s="160"/>
      <c r="B10" s="155"/>
      <c r="C10" s="156" t="s">
        <v>1228</v>
      </c>
      <c r="D10" s="190"/>
      <c r="E10" s="305"/>
      <c r="F10" s="300"/>
      <c r="G10" s="301"/>
      <c r="H10" s="192"/>
      <c r="I10" s="179"/>
    </row>
    <row r="11" spans="1:9">
      <c r="A11" s="160"/>
      <c r="B11" s="155"/>
      <c r="C11" s="156"/>
      <c r="D11" s="190"/>
      <c r="E11" s="305"/>
      <c r="F11" s="300"/>
      <c r="G11" s="301"/>
      <c r="H11" s="192"/>
      <c r="I11" s="179"/>
    </row>
    <row r="12" spans="1:9">
      <c r="A12" s="160"/>
      <c r="B12" s="155"/>
      <c r="C12" s="156"/>
      <c r="D12" s="190"/>
      <c r="E12" s="305"/>
      <c r="F12" s="300"/>
      <c r="G12" s="301"/>
      <c r="H12" s="192"/>
      <c r="I12" s="179"/>
    </row>
    <row r="13" spans="1:9">
      <c r="A13" s="194"/>
      <c r="B13" s="153">
        <v>2</v>
      </c>
      <c r="C13" s="154" t="s">
        <v>1229</v>
      </c>
      <c r="D13" s="182"/>
      <c r="E13" s="302"/>
      <c r="F13" s="303"/>
      <c r="G13" s="304"/>
      <c r="H13" s="186"/>
      <c r="I13" s="187">
        <f>SUM(H14:H57)</f>
        <v>0</v>
      </c>
    </row>
    <row r="14" spans="1:9">
      <c r="A14" s="193"/>
      <c r="B14" s="155"/>
      <c r="C14" s="156"/>
      <c r="D14" s="190"/>
      <c r="E14" s="305"/>
      <c r="F14" s="300"/>
      <c r="G14" s="301"/>
      <c r="H14" s="192"/>
      <c r="I14" s="179"/>
    </row>
    <row r="15" spans="1:9" ht="22.8">
      <c r="A15" s="193"/>
      <c r="B15" s="155"/>
      <c r="C15" s="306" t="s">
        <v>1230</v>
      </c>
      <c r="D15" s="190"/>
      <c r="E15" s="305"/>
      <c r="F15" s="300"/>
      <c r="G15" s="301"/>
      <c r="H15" s="192"/>
      <c r="I15" s="179"/>
    </row>
    <row r="16" spans="1:9">
      <c r="A16" s="193"/>
      <c r="B16" s="155"/>
      <c r="C16" s="156"/>
      <c r="D16" s="190"/>
      <c r="E16" s="305"/>
      <c r="F16" s="300"/>
      <c r="G16" s="301"/>
      <c r="H16" s="192"/>
      <c r="I16" s="179"/>
    </row>
    <row r="17" spans="1:9">
      <c r="A17" s="209"/>
      <c r="B17" s="157">
        <v>2.1</v>
      </c>
      <c r="C17" s="158" t="s">
        <v>1231</v>
      </c>
      <c r="D17" s="195"/>
      <c r="E17" s="307"/>
      <c r="F17" s="300"/>
      <c r="G17" s="301"/>
      <c r="H17" s="192">
        <f>SUM(G18:G26)</f>
        <v>0</v>
      </c>
      <c r="I17" s="179"/>
    </row>
    <row r="18" spans="1:9">
      <c r="A18" s="193"/>
      <c r="B18" s="155"/>
      <c r="C18" s="156"/>
      <c r="D18" s="190"/>
      <c r="E18" s="305"/>
      <c r="F18" s="300"/>
      <c r="G18" s="301"/>
      <c r="H18" s="192"/>
      <c r="I18" s="179"/>
    </row>
    <row r="19" spans="1:9">
      <c r="A19" s="193"/>
      <c r="B19" s="155"/>
      <c r="C19" s="156" t="s">
        <v>1232</v>
      </c>
      <c r="D19" s="190" t="s">
        <v>795</v>
      </c>
      <c r="E19" s="305"/>
      <c r="F19" s="300"/>
      <c r="G19" s="301"/>
      <c r="H19" s="192"/>
      <c r="I19" s="179"/>
    </row>
    <row r="20" spans="1:9">
      <c r="A20" s="193"/>
      <c r="B20" s="155"/>
      <c r="C20" s="197" t="s">
        <v>1233</v>
      </c>
      <c r="D20" s="190" t="s">
        <v>1234</v>
      </c>
      <c r="E20" s="305"/>
      <c r="F20" s="300"/>
      <c r="G20" s="301"/>
      <c r="H20" s="192"/>
      <c r="I20" s="179"/>
    </row>
    <row r="21" spans="1:9">
      <c r="A21" s="193"/>
      <c r="B21" s="155"/>
      <c r="C21" s="197" t="s">
        <v>1235</v>
      </c>
      <c r="D21" s="190" t="s">
        <v>1234</v>
      </c>
      <c r="E21" s="305"/>
      <c r="F21" s="300"/>
      <c r="G21" s="301"/>
      <c r="H21" s="192"/>
      <c r="I21" s="179"/>
    </row>
    <row r="22" spans="1:9">
      <c r="A22" s="193"/>
      <c r="B22" s="155"/>
      <c r="C22" s="197" t="s">
        <v>1236</v>
      </c>
      <c r="D22" s="190" t="s">
        <v>1234</v>
      </c>
      <c r="E22" s="305"/>
      <c r="F22" s="300"/>
      <c r="G22" s="301"/>
      <c r="H22" s="192"/>
      <c r="I22" s="179"/>
    </row>
    <row r="23" spans="1:9">
      <c r="A23" s="193"/>
      <c r="B23" s="155"/>
      <c r="C23" s="197" t="s">
        <v>1237</v>
      </c>
      <c r="D23" s="190" t="s">
        <v>1234</v>
      </c>
      <c r="E23" s="305"/>
      <c r="F23" s="300"/>
      <c r="G23" s="301"/>
      <c r="H23" s="192"/>
      <c r="I23" s="179"/>
    </row>
    <row r="24" spans="1:9">
      <c r="A24" s="193"/>
      <c r="B24" s="155"/>
      <c r="C24" s="197" t="s">
        <v>1238</v>
      </c>
      <c r="D24" s="190" t="s">
        <v>1234</v>
      </c>
      <c r="E24" s="305"/>
      <c r="F24" s="300"/>
      <c r="G24" s="301"/>
      <c r="H24" s="192"/>
      <c r="I24" s="179"/>
    </row>
    <row r="25" spans="1:9">
      <c r="A25" s="193"/>
      <c r="B25" s="155"/>
      <c r="C25" s="197"/>
      <c r="D25" s="190"/>
      <c r="E25" s="305"/>
      <c r="F25" s="300"/>
      <c r="G25" s="301"/>
      <c r="H25" s="192"/>
      <c r="I25" s="179"/>
    </row>
    <row r="26" spans="1:9">
      <c r="A26" s="193"/>
      <c r="B26" s="155"/>
      <c r="C26" s="156"/>
      <c r="D26" s="190"/>
      <c r="E26" s="305"/>
      <c r="F26" s="300"/>
      <c r="G26" s="301"/>
      <c r="H26" s="192"/>
      <c r="I26" s="179"/>
    </row>
    <row r="27" spans="1:9">
      <c r="A27" s="209"/>
      <c r="B27" s="157">
        <v>2.2000000000000002</v>
      </c>
      <c r="C27" s="158" t="s">
        <v>1239</v>
      </c>
      <c r="D27" s="195"/>
      <c r="E27" s="307"/>
      <c r="F27" s="300"/>
      <c r="G27" s="301"/>
      <c r="H27" s="192">
        <f>SUM(G28:G36)</f>
        <v>0</v>
      </c>
      <c r="I27" s="179"/>
    </row>
    <row r="28" spans="1:9">
      <c r="A28" s="193"/>
      <c r="B28" s="155"/>
      <c r="C28" s="156"/>
      <c r="D28" s="190"/>
      <c r="E28" s="305"/>
      <c r="F28" s="300"/>
      <c r="G28" s="301"/>
      <c r="H28" s="192"/>
      <c r="I28" s="179"/>
    </row>
    <row r="29" spans="1:9">
      <c r="A29" s="193"/>
      <c r="B29" s="155"/>
      <c r="C29" s="156" t="s">
        <v>1232</v>
      </c>
      <c r="D29" s="190" t="s">
        <v>795</v>
      </c>
      <c r="E29" s="305"/>
      <c r="F29" s="300"/>
      <c r="G29" s="301"/>
      <c r="H29" s="192"/>
      <c r="I29" s="179"/>
    </row>
    <row r="30" spans="1:9">
      <c r="A30" s="193"/>
      <c r="B30" s="155"/>
      <c r="C30" s="197" t="s">
        <v>1233</v>
      </c>
      <c r="D30" s="190" t="s">
        <v>1234</v>
      </c>
      <c r="E30" s="305"/>
      <c r="F30" s="300"/>
      <c r="G30" s="301"/>
      <c r="H30" s="192"/>
      <c r="I30" s="179"/>
    </row>
    <row r="31" spans="1:9">
      <c r="A31" s="193"/>
      <c r="B31" s="155"/>
      <c r="C31" s="197" t="s">
        <v>1235</v>
      </c>
      <c r="D31" s="190" t="s">
        <v>1234</v>
      </c>
      <c r="E31" s="305"/>
      <c r="F31" s="300"/>
      <c r="G31" s="301"/>
      <c r="H31" s="192"/>
      <c r="I31" s="179"/>
    </row>
    <row r="32" spans="1:9">
      <c r="A32" s="193"/>
      <c r="B32" s="155"/>
      <c r="C32" s="197" t="s">
        <v>1236</v>
      </c>
      <c r="D32" s="190" t="s">
        <v>1234</v>
      </c>
      <c r="E32" s="305"/>
      <c r="F32" s="300"/>
      <c r="G32" s="301"/>
      <c r="H32" s="192"/>
      <c r="I32" s="179"/>
    </row>
    <row r="33" spans="1:9">
      <c r="A33" s="193"/>
      <c r="B33" s="155"/>
      <c r="C33" s="197" t="s">
        <v>1237</v>
      </c>
      <c r="D33" s="190" t="s">
        <v>1234</v>
      </c>
      <c r="E33" s="305"/>
      <c r="F33" s="300"/>
      <c r="G33" s="301"/>
      <c r="H33" s="192"/>
      <c r="I33" s="179"/>
    </row>
    <row r="34" spans="1:9">
      <c r="A34" s="193"/>
      <c r="B34" s="155"/>
      <c r="C34" s="197" t="s">
        <v>1238</v>
      </c>
      <c r="D34" s="190" t="s">
        <v>1234</v>
      </c>
      <c r="E34" s="305"/>
      <c r="F34" s="300"/>
      <c r="G34" s="301"/>
      <c r="H34" s="192"/>
      <c r="I34" s="179"/>
    </row>
    <row r="35" spans="1:9">
      <c r="A35" s="193"/>
      <c r="B35" s="155"/>
      <c r="C35" s="197"/>
      <c r="D35" s="190"/>
      <c r="E35" s="305"/>
      <c r="F35" s="300"/>
      <c r="G35" s="301"/>
      <c r="H35" s="192"/>
      <c r="I35" s="179"/>
    </row>
    <row r="36" spans="1:9">
      <c r="A36" s="193"/>
      <c r="B36" s="155"/>
      <c r="C36" s="156"/>
      <c r="D36" s="190"/>
      <c r="E36" s="305"/>
      <c r="F36" s="300"/>
      <c r="G36" s="301"/>
      <c r="H36" s="192"/>
      <c r="I36" s="179"/>
    </row>
    <row r="37" spans="1:9">
      <c r="A37" s="209"/>
      <c r="B37" s="157">
        <v>2.2999999999999998</v>
      </c>
      <c r="C37" s="158" t="s">
        <v>1240</v>
      </c>
      <c r="D37" s="195"/>
      <c r="E37" s="307"/>
      <c r="F37" s="300"/>
      <c r="G37" s="301"/>
      <c r="H37" s="192">
        <f>SUM(G38:G45)</f>
        <v>0</v>
      </c>
      <c r="I37" s="179"/>
    </row>
    <row r="38" spans="1:9">
      <c r="A38" s="193"/>
      <c r="B38" s="155"/>
      <c r="C38" s="156"/>
      <c r="D38" s="190"/>
      <c r="E38" s="305"/>
      <c r="F38" s="300"/>
      <c r="G38" s="301"/>
      <c r="H38" s="192"/>
      <c r="I38" s="179"/>
    </row>
    <row r="39" spans="1:9">
      <c r="A39" s="193"/>
      <c r="B39" s="155"/>
      <c r="C39" s="156" t="s">
        <v>1232</v>
      </c>
      <c r="D39" s="190" t="s">
        <v>795</v>
      </c>
      <c r="E39" s="305"/>
      <c r="F39" s="300"/>
      <c r="G39" s="301"/>
      <c r="H39" s="192"/>
      <c r="I39" s="179"/>
    </row>
    <row r="40" spans="1:9">
      <c r="A40" s="193"/>
      <c r="B40" s="155"/>
      <c r="C40" s="197" t="s">
        <v>1233</v>
      </c>
      <c r="D40" s="190" t="s">
        <v>1234</v>
      </c>
      <c r="E40" s="305"/>
      <c r="F40" s="300"/>
      <c r="G40" s="301"/>
      <c r="H40" s="192"/>
      <c r="I40" s="179"/>
    </row>
    <row r="41" spans="1:9">
      <c r="A41" s="193"/>
      <c r="B41" s="155"/>
      <c r="C41" s="197" t="s">
        <v>1235</v>
      </c>
      <c r="D41" s="190" t="s">
        <v>1234</v>
      </c>
      <c r="E41" s="305"/>
      <c r="F41" s="300"/>
      <c r="G41" s="301"/>
      <c r="H41" s="192"/>
      <c r="I41" s="179"/>
    </row>
    <row r="42" spans="1:9">
      <c r="A42" s="193"/>
      <c r="B42" s="155"/>
      <c r="C42" s="197" t="s">
        <v>1236</v>
      </c>
      <c r="D42" s="190" t="s">
        <v>1234</v>
      </c>
      <c r="E42" s="305"/>
      <c r="F42" s="300"/>
      <c r="G42" s="301"/>
      <c r="H42" s="192"/>
      <c r="I42" s="179"/>
    </row>
    <row r="43" spans="1:9">
      <c r="A43" s="193"/>
      <c r="B43" s="155"/>
      <c r="C43" s="197" t="s">
        <v>1237</v>
      </c>
      <c r="D43" s="190" t="s">
        <v>1234</v>
      </c>
      <c r="E43" s="305"/>
      <c r="F43" s="300"/>
      <c r="G43" s="301"/>
      <c r="H43" s="192"/>
      <c r="I43" s="179"/>
    </row>
    <row r="44" spans="1:9">
      <c r="A44" s="193"/>
      <c r="B44" s="155"/>
      <c r="C44" s="197" t="s">
        <v>1238</v>
      </c>
      <c r="D44" s="190" t="s">
        <v>1234</v>
      </c>
      <c r="E44" s="305"/>
      <c r="F44" s="300"/>
      <c r="G44" s="301"/>
      <c r="H44" s="192"/>
      <c r="I44" s="179"/>
    </row>
    <row r="45" spans="1:9">
      <c r="A45" s="193"/>
      <c r="B45" s="155"/>
      <c r="C45" s="197"/>
      <c r="D45" s="190"/>
      <c r="E45" s="305"/>
      <c r="F45" s="300"/>
      <c r="G45" s="301"/>
      <c r="H45" s="192"/>
      <c r="I45" s="179"/>
    </row>
    <row r="46" spans="1:9">
      <c r="A46" s="193"/>
      <c r="B46" s="155"/>
      <c r="C46" s="156"/>
      <c r="D46" s="190"/>
      <c r="E46" s="305"/>
      <c r="F46" s="300"/>
      <c r="G46" s="301"/>
      <c r="H46" s="192"/>
      <c r="I46" s="179"/>
    </row>
    <row r="47" spans="1:9">
      <c r="A47" s="209"/>
      <c r="B47" s="157">
        <v>2.4</v>
      </c>
      <c r="C47" s="158" t="s">
        <v>1241</v>
      </c>
      <c r="D47" s="195"/>
      <c r="E47" s="307"/>
      <c r="F47" s="300"/>
      <c r="G47" s="301"/>
      <c r="H47" s="192">
        <f>SUM(G48:G54)</f>
        <v>0</v>
      </c>
      <c r="I47" s="179"/>
    </row>
    <row r="48" spans="1:9">
      <c r="A48" s="193"/>
      <c r="B48" s="155"/>
      <c r="C48" s="156"/>
      <c r="D48" s="190"/>
      <c r="E48" s="305"/>
      <c r="F48" s="300"/>
      <c r="G48" s="301"/>
      <c r="H48" s="192"/>
      <c r="I48" s="179"/>
    </row>
    <row r="49" spans="1:9">
      <c r="A49" s="193"/>
      <c r="B49" s="155"/>
      <c r="C49" s="156" t="s">
        <v>1232</v>
      </c>
      <c r="D49" s="190" t="s">
        <v>795</v>
      </c>
      <c r="E49" s="305"/>
      <c r="F49" s="300"/>
      <c r="G49" s="301"/>
      <c r="H49" s="192"/>
      <c r="I49" s="179"/>
    </row>
    <row r="50" spans="1:9">
      <c r="A50" s="193"/>
      <c r="B50" s="155"/>
      <c r="C50" s="197" t="s">
        <v>1233</v>
      </c>
      <c r="D50" s="190" t="s">
        <v>1234</v>
      </c>
      <c r="E50" s="305"/>
      <c r="F50" s="300"/>
      <c r="G50" s="301"/>
      <c r="H50" s="192"/>
      <c r="I50" s="179"/>
    </row>
    <row r="51" spans="1:9">
      <c r="A51" s="193"/>
      <c r="B51" s="155"/>
      <c r="C51" s="197" t="s">
        <v>1235</v>
      </c>
      <c r="D51" s="190" t="s">
        <v>1234</v>
      </c>
      <c r="E51" s="305"/>
      <c r="F51" s="300"/>
      <c r="G51" s="301"/>
      <c r="H51" s="192"/>
      <c r="I51" s="179"/>
    </row>
    <row r="52" spans="1:9">
      <c r="A52" s="193"/>
      <c r="B52" s="155"/>
      <c r="C52" s="197" t="s">
        <v>1236</v>
      </c>
      <c r="D52" s="190" t="s">
        <v>1234</v>
      </c>
      <c r="E52" s="305"/>
      <c r="F52" s="300"/>
      <c r="G52" s="301"/>
      <c r="H52" s="192"/>
      <c r="I52" s="179"/>
    </row>
    <row r="53" spans="1:9">
      <c r="A53" s="193"/>
      <c r="B53" s="155"/>
      <c r="C53" s="197" t="s">
        <v>1237</v>
      </c>
      <c r="D53" s="190" t="s">
        <v>1234</v>
      </c>
      <c r="E53" s="305"/>
      <c r="F53" s="300"/>
      <c r="G53" s="301"/>
      <c r="H53" s="192"/>
      <c r="I53" s="179"/>
    </row>
    <row r="54" spans="1:9">
      <c r="A54" s="193"/>
      <c r="B54" s="155"/>
      <c r="C54" s="197" t="s">
        <v>1238</v>
      </c>
      <c r="D54" s="190" t="s">
        <v>1234</v>
      </c>
      <c r="E54" s="305"/>
      <c r="F54" s="300"/>
      <c r="G54" s="301"/>
      <c r="H54" s="192"/>
      <c r="I54" s="179"/>
    </row>
    <row r="55" spans="1:9">
      <c r="A55" s="193"/>
      <c r="B55" s="155"/>
      <c r="C55" s="197"/>
      <c r="D55" s="190"/>
      <c r="E55" s="305"/>
      <c r="F55" s="300"/>
      <c r="G55" s="301"/>
      <c r="H55" s="192"/>
      <c r="I55" s="179"/>
    </row>
    <row r="56" spans="1:9">
      <c r="A56" s="193"/>
      <c r="B56" s="155"/>
      <c r="C56" s="156"/>
      <c r="D56" s="190"/>
      <c r="E56" s="305"/>
      <c r="F56" s="300"/>
      <c r="G56" s="301"/>
      <c r="H56" s="192"/>
      <c r="I56" s="179"/>
    </row>
    <row r="57" spans="1:9">
      <c r="A57" s="193"/>
      <c r="B57" s="155"/>
      <c r="C57" s="156"/>
      <c r="D57" s="190"/>
      <c r="E57" s="305"/>
      <c r="F57" s="300"/>
      <c r="G57" s="301"/>
      <c r="H57" s="192"/>
      <c r="I57" s="179"/>
    </row>
    <row r="58" spans="1:9">
      <c r="A58" s="189"/>
      <c r="B58" s="153">
        <v>3</v>
      </c>
      <c r="C58" s="154" t="s">
        <v>1242</v>
      </c>
      <c r="D58" s="182"/>
      <c r="E58" s="302"/>
      <c r="F58" s="303"/>
      <c r="G58" s="304"/>
      <c r="H58" s="186"/>
      <c r="I58" s="187">
        <f>SUM(H60:H308)</f>
        <v>0</v>
      </c>
    </row>
    <row r="59" spans="1:9">
      <c r="A59" s="160"/>
      <c r="B59" s="155"/>
      <c r="C59" s="156"/>
      <c r="D59" s="190"/>
      <c r="E59" s="305"/>
      <c r="F59" s="300"/>
      <c r="G59" s="301"/>
      <c r="H59" s="192"/>
      <c r="I59" s="179"/>
    </row>
    <row r="60" spans="1:9">
      <c r="A60" s="209"/>
      <c r="B60" s="157" t="str">
        <f>$B$58&amp;".1"</f>
        <v>3.1</v>
      </c>
      <c r="C60" s="158" t="s">
        <v>1243</v>
      </c>
      <c r="D60" s="195"/>
      <c r="E60" s="307"/>
      <c r="F60" s="300"/>
      <c r="G60" s="301"/>
      <c r="H60" s="192">
        <f>SUM(G61:G95)</f>
        <v>0</v>
      </c>
      <c r="I60" s="179"/>
    </row>
    <row r="61" spans="1:9">
      <c r="A61" s="193"/>
      <c r="B61" s="155"/>
      <c r="C61" s="156"/>
      <c r="D61" s="190"/>
      <c r="E61" s="305"/>
      <c r="F61" s="300"/>
      <c r="G61" s="301"/>
      <c r="H61" s="192"/>
      <c r="I61" s="179"/>
    </row>
    <row r="62" spans="1:9">
      <c r="A62" s="193"/>
      <c r="B62" s="155"/>
      <c r="C62" s="306" t="s">
        <v>1244</v>
      </c>
      <c r="D62" s="190"/>
      <c r="E62" s="305"/>
      <c r="F62" s="300"/>
      <c r="G62" s="301"/>
      <c r="H62" s="192"/>
      <c r="I62" s="179"/>
    </row>
    <row r="63" spans="1:9">
      <c r="A63" s="193"/>
      <c r="B63" s="155" t="s">
        <v>1245</v>
      </c>
      <c r="C63" s="156" t="s">
        <v>1246</v>
      </c>
      <c r="D63" s="190" t="s">
        <v>93</v>
      </c>
      <c r="E63" s="305"/>
      <c r="F63" s="300"/>
      <c r="G63" s="301"/>
      <c r="H63" s="192"/>
      <c r="I63" s="179"/>
    </row>
    <row r="64" spans="1:9">
      <c r="A64" s="193"/>
      <c r="B64" s="155"/>
      <c r="C64" s="306" t="s">
        <v>1247</v>
      </c>
      <c r="D64" s="190"/>
      <c r="E64" s="305"/>
      <c r="F64" s="300"/>
      <c r="G64" s="301"/>
      <c r="H64" s="192"/>
      <c r="I64" s="179"/>
    </row>
    <row r="65" spans="1:9">
      <c r="A65" s="193"/>
      <c r="B65" s="155" t="s">
        <v>1248</v>
      </c>
      <c r="C65" s="156" t="s">
        <v>1249</v>
      </c>
      <c r="D65" s="190" t="s">
        <v>93</v>
      </c>
      <c r="E65" s="305"/>
      <c r="F65" s="300"/>
      <c r="G65" s="301"/>
      <c r="H65" s="192"/>
      <c r="I65" s="179"/>
    </row>
    <row r="66" spans="1:9">
      <c r="A66" s="193"/>
      <c r="B66" s="155" t="s">
        <v>1250</v>
      </c>
      <c r="C66" s="156" t="s">
        <v>1251</v>
      </c>
      <c r="D66" s="190" t="s">
        <v>93</v>
      </c>
      <c r="E66" s="305"/>
      <c r="F66" s="300"/>
      <c r="G66" s="301"/>
      <c r="H66" s="192"/>
      <c r="I66" s="179"/>
    </row>
    <row r="67" spans="1:9">
      <c r="A67" s="193"/>
      <c r="B67" s="155" t="s">
        <v>1252</v>
      </c>
      <c r="C67" s="156" t="s">
        <v>1253</v>
      </c>
      <c r="D67" s="190" t="s">
        <v>93</v>
      </c>
      <c r="E67" s="305"/>
      <c r="F67" s="300"/>
      <c r="G67" s="301"/>
      <c r="H67" s="192"/>
      <c r="I67" s="179"/>
    </row>
    <row r="68" spans="1:9">
      <c r="A68" s="193"/>
      <c r="B68" s="155" t="s">
        <v>1254</v>
      </c>
      <c r="C68" s="156" t="s">
        <v>1255</v>
      </c>
      <c r="D68" s="190" t="s">
        <v>93</v>
      </c>
      <c r="E68" s="305"/>
      <c r="F68" s="300"/>
      <c r="G68" s="301"/>
      <c r="H68" s="192"/>
      <c r="I68" s="179"/>
    </row>
    <row r="69" spans="1:9">
      <c r="A69" s="193"/>
      <c r="B69" s="155"/>
      <c r="C69" s="306" t="s">
        <v>1256</v>
      </c>
      <c r="D69" s="190"/>
      <c r="E69" s="305"/>
      <c r="F69" s="300"/>
      <c r="G69" s="301"/>
      <c r="H69" s="192"/>
      <c r="I69" s="179"/>
    </row>
    <row r="70" spans="1:9">
      <c r="A70" s="193"/>
      <c r="B70" s="155" t="s">
        <v>1257</v>
      </c>
      <c r="C70" s="156" t="s">
        <v>1258</v>
      </c>
      <c r="D70" s="190" t="s">
        <v>93</v>
      </c>
      <c r="E70" s="305"/>
      <c r="F70" s="300"/>
      <c r="G70" s="301"/>
      <c r="H70" s="192"/>
      <c r="I70" s="179"/>
    </row>
    <row r="71" spans="1:9">
      <c r="A71" s="193"/>
      <c r="B71" s="155" t="s">
        <v>1259</v>
      </c>
      <c r="C71" s="156" t="s">
        <v>1260</v>
      </c>
      <c r="D71" s="190" t="s">
        <v>93</v>
      </c>
      <c r="E71" s="305"/>
      <c r="F71" s="300"/>
      <c r="G71" s="301"/>
      <c r="H71" s="192"/>
      <c r="I71" s="179"/>
    </row>
    <row r="72" spans="1:9">
      <c r="A72" s="193"/>
      <c r="B72" s="155" t="s">
        <v>1261</v>
      </c>
      <c r="C72" s="156" t="s">
        <v>1262</v>
      </c>
      <c r="D72" s="190" t="s">
        <v>93</v>
      </c>
      <c r="E72" s="305"/>
      <c r="F72" s="300"/>
      <c r="G72" s="301"/>
      <c r="H72" s="192"/>
      <c r="I72" s="179"/>
    </row>
    <row r="73" spans="1:9">
      <c r="A73" s="193"/>
      <c r="B73" s="155" t="s">
        <v>1263</v>
      </c>
      <c r="C73" s="156" t="s">
        <v>1264</v>
      </c>
      <c r="D73" s="190" t="s">
        <v>93</v>
      </c>
      <c r="E73" s="305"/>
      <c r="F73" s="300"/>
      <c r="G73" s="301"/>
      <c r="H73" s="192"/>
      <c r="I73" s="179"/>
    </row>
    <row r="74" spans="1:9">
      <c r="A74" s="193"/>
      <c r="B74" s="155"/>
      <c r="C74" s="306" t="s">
        <v>1265</v>
      </c>
      <c r="D74" s="190"/>
      <c r="E74" s="305"/>
      <c r="F74" s="300"/>
      <c r="G74" s="301"/>
      <c r="H74" s="192"/>
      <c r="I74" s="179"/>
    </row>
    <row r="75" spans="1:9">
      <c r="A75" s="193"/>
      <c r="B75" s="155" t="s">
        <v>1266</v>
      </c>
      <c r="C75" s="156" t="s">
        <v>1267</v>
      </c>
      <c r="D75" s="190" t="s">
        <v>93</v>
      </c>
      <c r="E75" s="305"/>
      <c r="F75" s="300"/>
      <c r="G75" s="301"/>
      <c r="H75" s="192"/>
      <c r="I75" s="179"/>
    </row>
    <row r="76" spans="1:9">
      <c r="A76" s="193"/>
      <c r="B76" s="155" t="s">
        <v>1268</v>
      </c>
      <c r="C76" s="156" t="s">
        <v>1269</v>
      </c>
      <c r="D76" s="190" t="s">
        <v>93</v>
      </c>
      <c r="E76" s="305"/>
      <c r="F76" s="300"/>
      <c r="G76" s="301"/>
      <c r="H76" s="192"/>
      <c r="I76" s="179"/>
    </row>
    <row r="77" spans="1:9">
      <c r="A77" s="193"/>
      <c r="B77" s="155" t="s">
        <v>1270</v>
      </c>
      <c r="C77" s="156" t="s">
        <v>1271</v>
      </c>
      <c r="D77" s="190" t="s">
        <v>93</v>
      </c>
      <c r="E77" s="305"/>
      <c r="F77" s="300"/>
      <c r="G77" s="301"/>
      <c r="H77" s="192"/>
      <c r="I77" s="179"/>
    </row>
    <row r="78" spans="1:9">
      <c r="A78" s="193"/>
      <c r="B78" s="155" t="s">
        <v>1272</v>
      </c>
      <c r="C78" s="156" t="s">
        <v>1273</v>
      </c>
      <c r="D78" s="190" t="s">
        <v>93</v>
      </c>
      <c r="E78" s="305"/>
      <c r="F78" s="300"/>
      <c r="G78" s="301"/>
      <c r="H78" s="192"/>
      <c r="I78" s="179"/>
    </row>
    <row r="79" spans="1:9">
      <c r="A79" s="193"/>
      <c r="B79" s="155" t="s">
        <v>1274</v>
      </c>
      <c r="C79" s="156" t="s">
        <v>1275</v>
      </c>
      <c r="D79" s="190" t="s">
        <v>93</v>
      </c>
      <c r="E79" s="305"/>
      <c r="F79" s="300"/>
      <c r="G79" s="301"/>
      <c r="H79" s="192"/>
      <c r="I79" s="179"/>
    </row>
    <row r="80" spans="1:9">
      <c r="A80" s="193"/>
      <c r="B80" s="155"/>
      <c r="C80" s="156" t="s">
        <v>1276</v>
      </c>
      <c r="D80" s="190" t="s">
        <v>93</v>
      </c>
      <c r="E80" s="305"/>
      <c r="F80" s="300"/>
      <c r="G80" s="301"/>
      <c r="H80" s="192"/>
      <c r="I80" s="179"/>
    </row>
    <row r="81" spans="1:9">
      <c r="A81" s="193"/>
      <c r="B81" s="155"/>
      <c r="C81" s="156" t="s">
        <v>1277</v>
      </c>
      <c r="D81" s="190" t="s">
        <v>93</v>
      </c>
      <c r="E81" s="305"/>
      <c r="F81" s="300"/>
      <c r="G81" s="301"/>
      <c r="H81" s="192"/>
      <c r="I81" s="179"/>
    </row>
    <row r="82" spans="1:9">
      <c r="A82" s="193"/>
      <c r="B82" s="155" t="s">
        <v>1278</v>
      </c>
      <c r="C82" s="156" t="s">
        <v>1279</v>
      </c>
      <c r="D82" s="190" t="s">
        <v>93</v>
      </c>
      <c r="E82" s="305"/>
      <c r="F82" s="300"/>
      <c r="G82" s="301"/>
      <c r="H82" s="192"/>
      <c r="I82" s="179"/>
    </row>
    <row r="83" spans="1:9">
      <c r="A83" s="193"/>
      <c r="B83" s="155" t="s">
        <v>1280</v>
      </c>
      <c r="C83" s="156" t="s">
        <v>1281</v>
      </c>
      <c r="D83" s="190" t="s">
        <v>93</v>
      </c>
      <c r="E83" s="305"/>
      <c r="F83" s="300"/>
      <c r="G83" s="301"/>
      <c r="H83" s="192"/>
      <c r="I83" s="179"/>
    </row>
    <row r="84" spans="1:9">
      <c r="A84" s="193"/>
      <c r="B84" s="155"/>
      <c r="C84" s="306" t="s">
        <v>1282</v>
      </c>
      <c r="D84" s="190"/>
      <c r="E84" s="305"/>
      <c r="F84" s="300"/>
      <c r="G84" s="301"/>
      <c r="H84" s="192"/>
      <c r="I84" s="179"/>
    </row>
    <row r="85" spans="1:9">
      <c r="A85" s="193"/>
      <c r="B85" s="155" t="s">
        <v>1283</v>
      </c>
      <c r="C85" s="156" t="s">
        <v>1284</v>
      </c>
      <c r="D85" s="190" t="s">
        <v>93</v>
      </c>
      <c r="E85" s="305"/>
      <c r="F85" s="300"/>
      <c r="G85" s="301"/>
      <c r="H85" s="192"/>
      <c r="I85" s="179"/>
    </row>
    <row r="86" spans="1:9">
      <c r="A86" s="193"/>
      <c r="B86" s="155" t="s">
        <v>1285</v>
      </c>
      <c r="C86" s="156" t="s">
        <v>1286</v>
      </c>
      <c r="D86" s="190" t="s">
        <v>93</v>
      </c>
      <c r="E86" s="305"/>
      <c r="F86" s="300"/>
      <c r="G86" s="301"/>
      <c r="H86" s="192"/>
      <c r="I86" s="179"/>
    </row>
    <row r="87" spans="1:9">
      <c r="A87" s="193"/>
      <c r="B87" s="155" t="s">
        <v>1287</v>
      </c>
      <c r="C87" s="156" t="s">
        <v>1288</v>
      </c>
      <c r="D87" s="190" t="s">
        <v>93</v>
      </c>
      <c r="E87" s="305"/>
      <c r="F87" s="300"/>
      <c r="G87" s="301"/>
      <c r="H87" s="192"/>
      <c r="I87" s="179"/>
    </row>
    <row r="88" spans="1:9">
      <c r="A88" s="193"/>
      <c r="B88" s="155" t="s">
        <v>1289</v>
      </c>
      <c r="C88" s="156" t="s">
        <v>1290</v>
      </c>
      <c r="D88" s="190" t="s">
        <v>93</v>
      </c>
      <c r="E88" s="305"/>
      <c r="F88" s="300"/>
      <c r="G88" s="301"/>
      <c r="H88" s="192"/>
      <c r="I88" s="179"/>
    </row>
    <row r="89" spans="1:9">
      <c r="A89" s="193"/>
      <c r="B89" s="155"/>
      <c r="C89" s="156" t="s">
        <v>1291</v>
      </c>
      <c r="D89" s="190" t="s">
        <v>123</v>
      </c>
      <c r="E89" s="305"/>
      <c r="F89" s="300"/>
      <c r="G89" s="301"/>
      <c r="H89" s="192"/>
      <c r="I89" s="179"/>
    </row>
    <row r="90" spans="1:9">
      <c r="A90" s="193"/>
      <c r="B90" s="155"/>
      <c r="C90" s="156" t="s">
        <v>1292</v>
      </c>
      <c r="D90" s="190" t="s">
        <v>123</v>
      </c>
      <c r="E90" s="305"/>
      <c r="F90" s="300"/>
      <c r="G90" s="301"/>
      <c r="H90" s="192"/>
      <c r="I90" s="179"/>
    </row>
    <row r="91" spans="1:9">
      <c r="A91" s="193"/>
      <c r="B91" s="155"/>
      <c r="C91" s="156" t="s">
        <v>1293</v>
      </c>
      <c r="D91" s="190" t="s">
        <v>123</v>
      </c>
      <c r="E91" s="305"/>
      <c r="F91" s="300"/>
      <c r="G91" s="301"/>
      <c r="H91" s="192"/>
      <c r="I91" s="179"/>
    </row>
    <row r="92" spans="1:9">
      <c r="A92" s="193"/>
      <c r="B92" s="155"/>
      <c r="C92" s="156" t="s">
        <v>1294</v>
      </c>
      <c r="D92" s="190" t="s">
        <v>123</v>
      </c>
      <c r="E92" s="305"/>
      <c r="F92" s="300"/>
      <c r="G92" s="301"/>
      <c r="H92" s="192"/>
      <c r="I92" s="179"/>
    </row>
    <row r="93" spans="1:9">
      <c r="A93" s="193"/>
      <c r="B93" s="155"/>
      <c r="C93" s="156" t="s">
        <v>1295</v>
      </c>
      <c r="D93" s="190" t="s">
        <v>123</v>
      </c>
      <c r="E93" s="305"/>
      <c r="F93" s="300"/>
      <c r="G93" s="301"/>
      <c r="H93" s="192"/>
      <c r="I93" s="179"/>
    </row>
    <row r="94" spans="1:9">
      <c r="A94" s="193"/>
      <c r="B94" s="155"/>
      <c r="C94" s="156" t="s">
        <v>1296</v>
      </c>
      <c r="D94" s="190" t="s">
        <v>123</v>
      </c>
      <c r="E94" s="305"/>
      <c r="F94" s="300"/>
      <c r="G94" s="301"/>
      <c r="H94" s="192"/>
      <c r="I94" s="179"/>
    </row>
    <row r="95" spans="1:9">
      <c r="A95" s="193"/>
      <c r="B95" s="155"/>
      <c r="C95" s="156" t="s">
        <v>1297</v>
      </c>
      <c r="D95" s="190" t="s">
        <v>123</v>
      </c>
      <c r="E95" s="305"/>
      <c r="F95" s="300"/>
      <c r="G95" s="301"/>
      <c r="H95" s="192"/>
      <c r="I95" s="179"/>
    </row>
    <row r="96" spans="1:9">
      <c r="A96" s="193"/>
      <c r="B96" s="155"/>
      <c r="C96" s="156"/>
      <c r="D96" s="190"/>
      <c r="E96" s="305"/>
      <c r="F96" s="300"/>
      <c r="G96" s="301"/>
      <c r="H96" s="192"/>
      <c r="I96" s="179"/>
    </row>
    <row r="97" spans="1:9">
      <c r="A97" s="308"/>
      <c r="B97" s="309"/>
      <c r="C97" s="158" t="s">
        <v>1298</v>
      </c>
      <c r="D97" s="190"/>
      <c r="E97" s="305"/>
      <c r="F97" s="300"/>
      <c r="G97" s="301"/>
      <c r="H97" s="310"/>
      <c r="I97" s="311"/>
    </row>
    <row r="98" spans="1:9">
      <c r="A98" s="308"/>
      <c r="B98" s="309"/>
      <c r="C98" s="306" t="s">
        <v>1299</v>
      </c>
      <c r="D98" s="312"/>
      <c r="E98" s="313"/>
      <c r="F98" s="300"/>
      <c r="G98" s="301"/>
      <c r="H98" s="310"/>
      <c r="I98" s="311"/>
    </row>
    <row r="99" spans="1:9">
      <c r="A99" s="308"/>
      <c r="B99" s="309"/>
      <c r="C99" s="314" t="s">
        <v>1300</v>
      </c>
      <c r="D99" s="312" t="s">
        <v>795</v>
      </c>
      <c r="E99" s="313"/>
      <c r="F99" s="300"/>
      <c r="G99" s="301"/>
      <c r="H99" s="310"/>
      <c r="I99" s="311"/>
    </row>
    <row r="100" spans="1:9">
      <c r="A100" s="308"/>
      <c r="B100" s="309"/>
      <c r="C100" s="314" t="s">
        <v>1301</v>
      </c>
      <c r="D100" s="312" t="s">
        <v>795</v>
      </c>
      <c r="E100" s="313"/>
      <c r="F100" s="300"/>
      <c r="G100" s="301"/>
      <c r="H100" s="310"/>
      <c r="I100" s="311"/>
    </row>
    <row r="101" spans="1:9">
      <c r="A101" s="308"/>
      <c r="B101" s="309"/>
      <c r="C101" s="315" t="s">
        <v>1302</v>
      </c>
      <c r="D101" s="312"/>
      <c r="E101" s="313"/>
      <c r="F101" s="300"/>
      <c r="G101" s="301"/>
      <c r="H101" s="310"/>
      <c r="I101" s="311"/>
    </row>
    <row r="102" spans="1:9">
      <c r="A102" s="308"/>
      <c r="B102" s="309"/>
      <c r="C102" s="314" t="s">
        <v>1303</v>
      </c>
      <c r="D102" s="312" t="s">
        <v>123</v>
      </c>
      <c r="E102" s="313"/>
      <c r="F102" s="300"/>
      <c r="G102" s="301"/>
      <c r="H102" s="310"/>
      <c r="I102" s="311"/>
    </row>
    <row r="103" spans="1:9">
      <c r="A103" s="308"/>
      <c r="B103" s="309"/>
      <c r="C103" s="314" t="s">
        <v>1304</v>
      </c>
      <c r="D103" s="312" t="s">
        <v>1234</v>
      </c>
      <c r="E103" s="313"/>
      <c r="F103" s="300"/>
      <c r="G103" s="301"/>
      <c r="H103" s="310"/>
      <c r="I103" s="311"/>
    </row>
    <row r="104" spans="1:9">
      <c r="A104" s="308"/>
      <c r="B104" s="309"/>
      <c r="C104" s="315" t="s">
        <v>1305</v>
      </c>
      <c r="D104" s="312"/>
      <c r="E104" s="313"/>
      <c r="F104" s="300"/>
      <c r="G104" s="301"/>
      <c r="H104" s="310"/>
      <c r="I104" s="311"/>
    </row>
    <row r="105" spans="1:9">
      <c r="A105" s="308"/>
      <c r="B105" s="309"/>
      <c r="C105" s="314" t="s">
        <v>1306</v>
      </c>
      <c r="D105" s="312" t="s">
        <v>795</v>
      </c>
      <c r="E105" s="313"/>
      <c r="F105" s="300"/>
      <c r="G105" s="301"/>
      <c r="H105" s="310"/>
      <c r="I105" s="311"/>
    </row>
    <row r="106" spans="1:9">
      <c r="A106" s="308"/>
      <c r="B106" s="309"/>
      <c r="C106" s="315" t="s">
        <v>1307</v>
      </c>
      <c r="D106" s="312"/>
      <c r="E106" s="313"/>
      <c r="F106" s="300"/>
      <c r="G106" s="301"/>
      <c r="H106" s="310"/>
      <c r="I106" s="311"/>
    </row>
    <row r="107" spans="1:9">
      <c r="A107" s="308"/>
      <c r="B107" s="309"/>
      <c r="C107" s="314" t="s">
        <v>1303</v>
      </c>
      <c r="D107" s="312" t="s">
        <v>123</v>
      </c>
      <c r="E107" s="313"/>
      <c r="F107" s="300"/>
      <c r="G107" s="301"/>
      <c r="H107" s="310"/>
      <c r="I107" s="311"/>
    </row>
    <row r="108" spans="1:9">
      <c r="A108" s="209"/>
      <c r="B108" s="157" t="str">
        <f>$B$58&amp;".2"</f>
        <v>3.2</v>
      </c>
      <c r="C108" s="158" t="s">
        <v>1308</v>
      </c>
      <c r="D108" s="195"/>
      <c r="E108" s="307"/>
      <c r="F108" s="300"/>
      <c r="G108" s="301"/>
      <c r="H108" s="192">
        <f>SUM(G109:G118)</f>
        <v>0</v>
      </c>
      <c r="I108" s="179"/>
    </row>
    <row r="109" spans="1:9">
      <c r="A109" s="193"/>
      <c r="B109" s="155"/>
      <c r="C109" s="156"/>
      <c r="D109" s="190"/>
      <c r="E109" s="305"/>
      <c r="F109" s="300"/>
      <c r="G109" s="301"/>
      <c r="H109" s="192"/>
      <c r="I109" s="179"/>
    </row>
    <row r="110" spans="1:9">
      <c r="A110" s="193"/>
      <c r="B110" s="155"/>
      <c r="C110" s="156" t="s">
        <v>1309</v>
      </c>
      <c r="D110" s="190" t="s">
        <v>795</v>
      </c>
      <c r="E110" s="305"/>
      <c r="F110" s="300"/>
      <c r="G110" s="301"/>
      <c r="H110" s="192"/>
      <c r="I110" s="179"/>
    </row>
    <row r="111" spans="1:9">
      <c r="A111" s="193"/>
      <c r="B111" s="155"/>
      <c r="C111" s="314" t="s">
        <v>1310</v>
      </c>
      <c r="D111" s="190" t="s">
        <v>795</v>
      </c>
      <c r="E111" s="305"/>
      <c r="F111" s="300"/>
      <c r="G111" s="301"/>
      <c r="H111" s="192"/>
      <c r="I111" s="179"/>
    </row>
    <row r="112" spans="1:9">
      <c r="A112" s="193"/>
      <c r="B112" s="155"/>
      <c r="C112" s="314" t="s">
        <v>1311</v>
      </c>
      <c r="D112" s="190" t="s">
        <v>1312</v>
      </c>
      <c r="E112" s="305"/>
      <c r="F112" s="300"/>
      <c r="G112" s="301"/>
      <c r="H112" s="192"/>
      <c r="I112" s="179"/>
    </row>
    <row r="113" spans="1:9">
      <c r="A113" s="193"/>
      <c r="B113" s="155"/>
      <c r="C113" s="314" t="s">
        <v>1313</v>
      </c>
      <c r="D113" s="190" t="s">
        <v>795</v>
      </c>
      <c r="E113" s="305"/>
      <c r="F113" s="300"/>
      <c r="G113" s="301"/>
      <c r="H113" s="192"/>
      <c r="I113" s="179"/>
    </row>
    <row r="114" spans="1:9">
      <c r="A114" s="193"/>
      <c r="B114" s="155"/>
      <c r="C114" s="156"/>
      <c r="D114" s="190"/>
      <c r="E114" s="305"/>
      <c r="F114" s="300"/>
      <c r="G114" s="301"/>
      <c r="H114" s="192"/>
      <c r="I114" s="179"/>
    </row>
    <row r="115" spans="1:9">
      <c r="A115" s="193"/>
      <c r="B115" s="155"/>
      <c r="C115" s="158" t="s">
        <v>1314</v>
      </c>
      <c r="D115" s="190"/>
      <c r="E115" s="305"/>
      <c r="F115" s="300"/>
      <c r="G115" s="301"/>
      <c r="H115" s="192"/>
      <c r="I115" s="179"/>
    </row>
    <row r="116" spans="1:9">
      <c r="A116" s="193"/>
      <c r="B116" s="155"/>
      <c r="C116" s="156" t="s">
        <v>1315</v>
      </c>
      <c r="D116" s="190" t="s">
        <v>93</v>
      </c>
      <c r="E116" s="305"/>
      <c r="F116" s="300"/>
      <c r="G116" s="301"/>
      <c r="H116" s="192"/>
      <c r="I116" s="179"/>
    </row>
    <row r="117" spans="1:9">
      <c r="A117" s="193"/>
      <c r="B117" s="155"/>
      <c r="C117" s="156" t="s">
        <v>1316</v>
      </c>
      <c r="D117" s="190" t="s">
        <v>93</v>
      </c>
      <c r="E117" s="305"/>
      <c r="F117" s="300"/>
      <c r="G117" s="301"/>
      <c r="H117" s="192"/>
      <c r="I117" s="179"/>
    </row>
    <row r="118" spans="1:9">
      <c r="A118" s="193"/>
      <c r="B118" s="155"/>
      <c r="C118" s="156" t="s">
        <v>1317</v>
      </c>
      <c r="D118" s="190" t="s">
        <v>93</v>
      </c>
      <c r="E118" s="305"/>
      <c r="F118" s="300"/>
      <c r="G118" s="301"/>
      <c r="H118" s="192"/>
      <c r="I118" s="179"/>
    </row>
    <row r="119" spans="1:9">
      <c r="A119" s="193"/>
      <c r="B119" s="155"/>
      <c r="C119" s="156"/>
      <c r="D119" s="190"/>
      <c r="E119" s="305"/>
      <c r="F119" s="300"/>
      <c r="G119" s="301"/>
      <c r="H119" s="192"/>
      <c r="I119" s="179"/>
    </row>
    <row r="120" spans="1:9">
      <c r="A120" s="209"/>
      <c r="B120" s="157" t="str">
        <f>$B$58&amp;".3"</f>
        <v>3.3</v>
      </c>
      <c r="C120" s="158" t="s">
        <v>1318</v>
      </c>
      <c r="D120" s="195"/>
      <c r="E120" s="307"/>
      <c r="F120" s="300"/>
      <c r="G120" s="301"/>
      <c r="H120" s="192">
        <f>SUM(G121:G140)</f>
        <v>0</v>
      </c>
      <c r="I120" s="179"/>
    </row>
    <row r="121" spans="1:9">
      <c r="A121" s="193"/>
      <c r="B121" s="155"/>
      <c r="C121" s="156"/>
      <c r="D121" s="190"/>
      <c r="E121" s="305"/>
      <c r="F121" s="300"/>
      <c r="G121" s="301"/>
      <c r="H121" s="192"/>
      <c r="I121" s="179"/>
    </row>
    <row r="122" spans="1:9">
      <c r="A122" s="193"/>
      <c r="B122" s="155"/>
      <c r="C122" s="156" t="s">
        <v>1319</v>
      </c>
      <c r="D122" s="190" t="s">
        <v>795</v>
      </c>
      <c r="E122" s="305"/>
      <c r="F122" s="300"/>
      <c r="G122" s="301"/>
      <c r="H122" s="192"/>
      <c r="I122" s="179"/>
    </row>
    <row r="123" spans="1:9">
      <c r="A123" s="193"/>
      <c r="B123" s="155"/>
      <c r="C123" s="197" t="s">
        <v>1320</v>
      </c>
      <c r="D123" s="190" t="s">
        <v>1234</v>
      </c>
      <c r="E123" s="305"/>
      <c r="F123" s="300"/>
      <c r="G123" s="301"/>
      <c r="H123" s="192"/>
      <c r="I123" s="179"/>
    </row>
    <row r="124" spans="1:9">
      <c r="A124" s="193"/>
      <c r="B124" s="155"/>
      <c r="C124" s="197" t="s">
        <v>1321</v>
      </c>
      <c r="D124" s="190" t="s">
        <v>1234</v>
      </c>
      <c r="E124" s="305"/>
      <c r="F124" s="300"/>
      <c r="G124" s="301"/>
      <c r="H124" s="192"/>
      <c r="I124" s="179"/>
    </row>
    <row r="125" spans="1:9">
      <c r="A125" s="193"/>
      <c r="B125" s="155"/>
      <c r="C125" s="197" t="s">
        <v>1322</v>
      </c>
      <c r="D125" s="190" t="s">
        <v>1234</v>
      </c>
      <c r="E125" s="305"/>
      <c r="F125" s="300"/>
      <c r="G125" s="301"/>
      <c r="H125" s="192"/>
      <c r="I125" s="179"/>
    </row>
    <row r="126" spans="1:9">
      <c r="A126" s="193"/>
      <c r="B126" s="155"/>
      <c r="C126" s="197" t="s">
        <v>1323</v>
      </c>
      <c r="D126" s="190" t="s">
        <v>1234</v>
      </c>
      <c r="E126" s="305"/>
      <c r="F126" s="300"/>
      <c r="G126" s="301"/>
      <c r="H126" s="192"/>
      <c r="I126" s="179"/>
    </row>
    <row r="127" spans="1:9">
      <c r="A127" s="193"/>
      <c r="B127" s="155"/>
      <c r="C127" s="197" t="s">
        <v>1324</v>
      </c>
      <c r="D127" s="190" t="s">
        <v>1234</v>
      </c>
      <c r="E127" s="305"/>
      <c r="F127" s="300"/>
      <c r="G127" s="301"/>
      <c r="H127" s="192"/>
      <c r="I127" s="179"/>
    </row>
    <row r="128" spans="1:9">
      <c r="A128" s="193"/>
      <c r="B128" s="155"/>
      <c r="C128" s="156" t="s">
        <v>1238</v>
      </c>
      <c r="D128" s="190" t="s">
        <v>1234</v>
      </c>
      <c r="E128" s="305"/>
      <c r="F128" s="300"/>
      <c r="G128" s="301"/>
      <c r="H128" s="192"/>
      <c r="I128" s="179"/>
    </row>
    <row r="129" spans="1:9">
      <c r="A129" s="193"/>
      <c r="B129" s="155"/>
      <c r="C129" s="156"/>
      <c r="D129" s="190"/>
      <c r="E129" s="305"/>
      <c r="F129" s="300"/>
      <c r="G129" s="301"/>
      <c r="H129" s="192"/>
      <c r="I129" s="179"/>
    </row>
    <row r="130" spans="1:9">
      <c r="A130" s="193"/>
      <c r="B130" s="155"/>
      <c r="C130" s="158" t="s">
        <v>1325</v>
      </c>
      <c r="D130" s="190"/>
      <c r="E130" s="305"/>
      <c r="F130" s="300"/>
      <c r="G130" s="301"/>
      <c r="H130" s="192"/>
      <c r="I130" s="179"/>
    </row>
    <row r="131" spans="1:9">
      <c r="A131" s="193"/>
      <c r="B131" s="155"/>
      <c r="C131" s="197" t="s">
        <v>1326</v>
      </c>
      <c r="D131" s="190" t="s">
        <v>123</v>
      </c>
      <c r="E131" s="305"/>
      <c r="F131" s="300"/>
      <c r="G131" s="301"/>
      <c r="H131" s="192"/>
      <c r="I131" s="179"/>
    </row>
    <row r="132" spans="1:9">
      <c r="A132" s="193"/>
      <c r="B132" s="155"/>
      <c r="C132" s="197" t="s">
        <v>1327</v>
      </c>
      <c r="D132" s="190" t="s">
        <v>123</v>
      </c>
      <c r="E132" s="316"/>
      <c r="F132" s="300"/>
      <c r="G132" s="301"/>
      <c r="H132" s="192"/>
      <c r="I132" s="179"/>
    </row>
    <row r="133" spans="1:9">
      <c r="A133" s="193"/>
      <c r="B133" s="155"/>
      <c r="C133" s="197" t="s">
        <v>1328</v>
      </c>
      <c r="D133" s="190" t="s">
        <v>123</v>
      </c>
      <c r="E133" s="316"/>
      <c r="F133" s="300"/>
      <c r="G133" s="301"/>
      <c r="H133" s="192"/>
      <c r="I133" s="179"/>
    </row>
    <row r="134" spans="1:9">
      <c r="A134" s="193"/>
      <c r="B134" s="155"/>
      <c r="C134" s="197" t="s">
        <v>1329</v>
      </c>
      <c r="D134" s="190" t="s">
        <v>123</v>
      </c>
      <c r="E134" s="305"/>
      <c r="F134" s="300"/>
      <c r="G134" s="301"/>
      <c r="H134" s="192"/>
      <c r="I134" s="179"/>
    </row>
    <row r="135" spans="1:9">
      <c r="A135" s="193"/>
      <c r="B135" s="155"/>
      <c r="C135" s="197" t="s">
        <v>1330</v>
      </c>
      <c r="D135" s="190" t="s">
        <v>123</v>
      </c>
      <c r="E135" s="305"/>
      <c r="F135" s="300"/>
      <c r="G135" s="301"/>
      <c r="H135" s="192"/>
      <c r="I135" s="179"/>
    </row>
    <row r="136" spans="1:9">
      <c r="A136" s="193"/>
      <c r="B136" s="155"/>
      <c r="C136" s="197" t="s">
        <v>1331</v>
      </c>
      <c r="D136" s="190" t="s">
        <v>123</v>
      </c>
      <c r="E136" s="305"/>
      <c r="F136" s="300"/>
      <c r="G136" s="301"/>
      <c r="H136" s="192"/>
      <c r="I136" s="179"/>
    </row>
    <row r="137" spans="1:9">
      <c r="A137" s="193"/>
      <c r="B137" s="155"/>
      <c r="C137" s="156" t="s">
        <v>1332</v>
      </c>
      <c r="D137" s="190" t="s">
        <v>123</v>
      </c>
      <c r="E137" s="305"/>
      <c r="F137" s="300"/>
      <c r="G137" s="301"/>
      <c r="H137" s="192"/>
      <c r="I137" s="179"/>
    </row>
    <row r="138" spans="1:9">
      <c r="A138" s="193"/>
      <c r="B138" s="155"/>
      <c r="C138" s="197" t="s">
        <v>1333</v>
      </c>
      <c r="D138" s="190" t="s">
        <v>123</v>
      </c>
      <c r="E138" s="305"/>
      <c r="F138" s="300"/>
      <c r="G138" s="301"/>
      <c r="H138" s="192"/>
      <c r="I138" s="179"/>
    </row>
    <row r="139" spans="1:9">
      <c r="A139" s="193"/>
      <c r="B139" s="155"/>
      <c r="C139" s="156" t="s">
        <v>1334</v>
      </c>
      <c r="D139" s="190" t="s">
        <v>123</v>
      </c>
      <c r="E139" s="305"/>
      <c r="F139" s="300"/>
      <c r="G139" s="301"/>
      <c r="H139" s="192"/>
      <c r="I139" s="179"/>
    </row>
    <row r="140" spans="1:9">
      <c r="A140" s="193"/>
      <c r="B140" s="155"/>
      <c r="C140" s="156"/>
      <c r="D140" s="190"/>
      <c r="E140" s="305"/>
      <c r="F140" s="300"/>
      <c r="G140" s="301"/>
      <c r="H140" s="192"/>
      <c r="I140" s="179"/>
    </row>
    <row r="141" spans="1:9">
      <c r="A141" s="193"/>
      <c r="B141" s="155"/>
      <c r="C141" s="156"/>
      <c r="D141" s="190"/>
      <c r="E141" s="305"/>
      <c r="F141" s="300"/>
      <c r="G141" s="301"/>
      <c r="H141" s="192"/>
      <c r="I141" s="179"/>
    </row>
    <row r="142" spans="1:9">
      <c r="A142" s="209"/>
      <c r="B142" s="157" t="str">
        <f>$B$58&amp;".4"</f>
        <v>3.4</v>
      </c>
      <c r="C142" s="158" t="s">
        <v>1335</v>
      </c>
      <c r="D142" s="195" t="s">
        <v>106</v>
      </c>
      <c r="E142" s="307"/>
      <c r="F142" s="300"/>
      <c r="G142" s="301"/>
      <c r="H142" s="192">
        <f>SUM(G143:G145)</f>
        <v>0</v>
      </c>
      <c r="I142" s="179"/>
    </row>
    <row r="143" spans="1:9">
      <c r="A143" s="193"/>
      <c r="B143" s="155"/>
      <c r="C143" s="156"/>
      <c r="D143" s="190"/>
      <c r="E143" s="305"/>
      <c r="F143" s="300"/>
      <c r="G143" s="301"/>
      <c r="H143" s="192"/>
      <c r="I143" s="179"/>
    </row>
    <row r="144" spans="1:9">
      <c r="A144" s="193"/>
      <c r="B144" s="155"/>
      <c r="C144" s="197" t="s">
        <v>1336</v>
      </c>
      <c r="D144" s="190" t="s">
        <v>795</v>
      </c>
      <c r="E144" s="305"/>
      <c r="F144" s="300"/>
      <c r="G144" s="301"/>
      <c r="H144" s="192"/>
      <c r="I144" s="179"/>
    </row>
    <row r="145" spans="1:9">
      <c r="A145" s="193"/>
      <c r="B145" s="155"/>
      <c r="C145" s="156" t="s">
        <v>1337</v>
      </c>
      <c r="D145" s="190" t="s">
        <v>1234</v>
      </c>
      <c r="E145" s="305"/>
      <c r="F145" s="300"/>
      <c r="G145" s="301"/>
      <c r="H145" s="192"/>
      <c r="I145" s="179"/>
    </row>
    <row r="146" spans="1:9">
      <c r="A146" s="193"/>
      <c r="B146" s="155"/>
      <c r="C146" s="156"/>
      <c r="D146" s="190"/>
      <c r="E146" s="305"/>
      <c r="F146" s="300"/>
      <c r="G146" s="301"/>
      <c r="H146" s="192"/>
      <c r="I146" s="179"/>
    </row>
    <row r="147" spans="1:9">
      <c r="A147" s="193"/>
      <c r="B147" s="155"/>
      <c r="C147" s="156"/>
      <c r="D147" s="190"/>
      <c r="E147" s="305"/>
      <c r="F147" s="300"/>
      <c r="G147" s="301"/>
      <c r="H147" s="192"/>
      <c r="I147" s="179"/>
    </row>
    <row r="148" spans="1:9">
      <c r="A148" s="209"/>
      <c r="B148" s="157" t="str">
        <f>$B$58&amp;".5"</f>
        <v>3.5</v>
      </c>
      <c r="C148" s="158" t="s">
        <v>1338</v>
      </c>
      <c r="D148" s="195"/>
      <c r="E148" s="307"/>
      <c r="F148" s="300"/>
      <c r="G148" s="301"/>
      <c r="H148" s="192">
        <f>SUM(G149:G153)</f>
        <v>0</v>
      </c>
      <c r="I148" s="179"/>
    </row>
    <row r="149" spans="1:9">
      <c r="A149" s="193"/>
      <c r="B149" s="155"/>
      <c r="C149" s="156"/>
      <c r="D149" s="190"/>
      <c r="E149" s="305"/>
      <c r="F149" s="300"/>
      <c r="G149" s="301"/>
      <c r="H149" s="192"/>
      <c r="I149" s="179"/>
    </row>
    <row r="150" spans="1:9">
      <c r="A150" s="193"/>
      <c r="B150" s="155"/>
      <c r="C150" s="156" t="s">
        <v>1339</v>
      </c>
      <c r="D150" s="190" t="s">
        <v>93</v>
      </c>
      <c r="E150" s="305"/>
      <c r="F150" s="300"/>
      <c r="G150" s="301"/>
      <c r="H150" s="192"/>
      <c r="I150" s="179"/>
    </row>
    <row r="151" spans="1:9">
      <c r="A151" s="193"/>
      <c r="B151" s="155"/>
      <c r="C151" s="156" t="s">
        <v>1340</v>
      </c>
      <c r="D151" s="190" t="s">
        <v>795</v>
      </c>
      <c r="E151" s="305"/>
      <c r="F151" s="300"/>
      <c r="G151" s="301"/>
      <c r="H151" s="192"/>
      <c r="I151" s="179"/>
    </row>
    <row r="152" spans="1:9">
      <c r="A152" s="193"/>
      <c r="B152" s="155"/>
      <c r="C152" s="156" t="s">
        <v>1337</v>
      </c>
      <c r="D152" s="190" t="s">
        <v>795</v>
      </c>
      <c r="E152" s="305"/>
      <c r="F152" s="300"/>
      <c r="G152" s="301"/>
      <c r="H152" s="192"/>
      <c r="I152" s="179"/>
    </row>
    <row r="153" spans="1:9">
      <c r="A153" s="193"/>
      <c r="B153" s="155"/>
      <c r="C153" s="156"/>
      <c r="D153" s="190"/>
      <c r="E153" s="305"/>
      <c r="F153" s="300"/>
      <c r="G153" s="301"/>
      <c r="H153" s="192"/>
      <c r="I153" s="179"/>
    </row>
    <row r="154" spans="1:9">
      <c r="A154" s="193"/>
      <c r="B154" s="155"/>
      <c r="C154" s="156"/>
      <c r="D154" s="190"/>
      <c r="E154" s="305"/>
      <c r="F154" s="300"/>
      <c r="G154" s="301"/>
      <c r="H154" s="192"/>
      <c r="I154" s="179"/>
    </row>
    <row r="155" spans="1:9">
      <c r="A155" s="209"/>
      <c r="B155" s="157" t="str">
        <f>$B$58&amp;".6"</f>
        <v>3.6</v>
      </c>
      <c r="C155" s="158" t="s">
        <v>1341</v>
      </c>
      <c r="D155" s="195"/>
      <c r="E155" s="307"/>
      <c r="F155" s="300"/>
      <c r="G155" s="301"/>
      <c r="H155" s="192">
        <f>SUM(G156:G168)</f>
        <v>0</v>
      </c>
      <c r="I155" s="179"/>
    </row>
    <row r="156" spans="1:9">
      <c r="A156" s="193"/>
      <c r="B156" s="155"/>
      <c r="C156" s="156"/>
      <c r="D156" s="190"/>
      <c r="E156" s="305"/>
      <c r="F156" s="300"/>
      <c r="G156" s="301"/>
      <c r="H156" s="192"/>
      <c r="I156" s="179"/>
    </row>
    <row r="157" spans="1:9">
      <c r="A157" s="193"/>
      <c r="B157" s="155"/>
      <c r="C157" s="156" t="s">
        <v>1342</v>
      </c>
      <c r="D157" s="190" t="s">
        <v>123</v>
      </c>
      <c r="E157" s="305"/>
      <c r="F157" s="300"/>
      <c r="G157" s="301"/>
      <c r="H157" s="192"/>
      <c r="I157" s="179"/>
    </row>
    <row r="158" spans="1:9">
      <c r="A158" s="193"/>
      <c r="B158" s="155"/>
      <c r="C158" s="156" t="s">
        <v>1343</v>
      </c>
      <c r="D158" s="190" t="s">
        <v>123</v>
      </c>
      <c r="E158" s="305"/>
      <c r="F158" s="300"/>
      <c r="G158" s="301"/>
      <c r="H158" s="192"/>
      <c r="I158" s="179"/>
    </row>
    <row r="159" spans="1:9">
      <c r="A159" s="193"/>
      <c r="B159" s="155"/>
      <c r="C159" s="156" t="s">
        <v>1344</v>
      </c>
      <c r="D159" s="190" t="s">
        <v>123</v>
      </c>
      <c r="E159" s="305"/>
      <c r="F159" s="300"/>
      <c r="G159" s="301"/>
      <c r="H159" s="192"/>
      <c r="I159" s="179"/>
    </row>
    <row r="160" spans="1:9">
      <c r="A160" s="193"/>
      <c r="B160" s="155"/>
      <c r="C160" s="156" t="s">
        <v>1345</v>
      </c>
      <c r="D160" s="190" t="s">
        <v>123</v>
      </c>
      <c r="E160" s="305"/>
      <c r="F160" s="300"/>
      <c r="G160" s="301"/>
      <c r="H160" s="192"/>
      <c r="I160" s="179"/>
    </row>
    <row r="161" spans="1:9">
      <c r="A161" s="193"/>
      <c r="B161" s="155"/>
      <c r="C161" s="156" t="s">
        <v>1346</v>
      </c>
      <c r="D161" s="190" t="s">
        <v>123</v>
      </c>
      <c r="E161" s="305"/>
      <c r="F161" s="300"/>
      <c r="G161" s="301"/>
      <c r="H161" s="192"/>
      <c r="I161" s="179"/>
    </row>
    <row r="162" spans="1:9">
      <c r="A162" s="193"/>
      <c r="B162" s="155"/>
      <c r="C162" s="156" t="s">
        <v>1347</v>
      </c>
      <c r="D162" s="190" t="s">
        <v>123</v>
      </c>
      <c r="E162" s="305"/>
      <c r="F162" s="300"/>
      <c r="G162" s="301"/>
      <c r="H162" s="192"/>
      <c r="I162" s="179"/>
    </row>
    <row r="163" spans="1:9">
      <c r="A163" s="193"/>
      <c r="B163" s="155"/>
      <c r="C163" s="156" t="s">
        <v>1348</v>
      </c>
      <c r="D163" s="190" t="s">
        <v>123</v>
      </c>
      <c r="E163" s="305"/>
      <c r="F163" s="300"/>
      <c r="G163" s="301"/>
      <c r="H163" s="192"/>
      <c r="I163" s="179"/>
    </row>
    <row r="164" spans="1:9" ht="22.8">
      <c r="A164" s="193"/>
      <c r="B164" s="155"/>
      <c r="C164" s="156" t="s">
        <v>1349</v>
      </c>
      <c r="D164" s="190" t="s">
        <v>123</v>
      </c>
      <c r="E164" s="305"/>
      <c r="F164" s="300"/>
      <c r="G164" s="301"/>
      <c r="H164" s="192"/>
      <c r="I164" s="179"/>
    </row>
    <row r="165" spans="1:9" ht="22.8">
      <c r="A165" s="193"/>
      <c r="B165" s="155"/>
      <c r="C165" s="156" t="s">
        <v>1350</v>
      </c>
      <c r="D165" s="190" t="s">
        <v>123</v>
      </c>
      <c r="E165" s="305"/>
      <c r="F165" s="300"/>
      <c r="G165" s="301"/>
      <c r="H165" s="192"/>
      <c r="I165" s="179"/>
    </row>
    <row r="166" spans="1:9">
      <c r="A166" s="193"/>
      <c r="B166" s="155"/>
      <c r="C166" s="156" t="s">
        <v>1351</v>
      </c>
      <c r="D166" s="190" t="s">
        <v>1234</v>
      </c>
      <c r="E166" s="305"/>
      <c r="F166" s="300"/>
      <c r="G166" s="301"/>
      <c r="H166" s="192"/>
      <c r="I166" s="179"/>
    </row>
    <row r="167" spans="1:9">
      <c r="A167" s="193"/>
      <c r="B167" s="155"/>
      <c r="C167" s="156" t="s">
        <v>1352</v>
      </c>
      <c r="D167" s="190" t="s">
        <v>1234</v>
      </c>
      <c r="E167" s="305"/>
      <c r="F167" s="300"/>
      <c r="G167" s="301"/>
      <c r="H167" s="192"/>
      <c r="I167" s="179"/>
    </row>
    <row r="168" spans="1:9">
      <c r="A168" s="193"/>
      <c r="B168" s="155"/>
      <c r="C168" s="156" t="s">
        <v>1353</v>
      </c>
      <c r="D168" s="190" t="s">
        <v>1234</v>
      </c>
      <c r="E168" s="305"/>
      <c r="F168" s="300"/>
      <c r="G168" s="301"/>
      <c r="H168" s="192"/>
      <c r="I168" s="179"/>
    </row>
    <row r="169" spans="1:9">
      <c r="A169" s="193"/>
      <c r="B169" s="155"/>
      <c r="C169" s="156"/>
      <c r="D169" s="190"/>
      <c r="E169" s="305"/>
      <c r="F169" s="300"/>
      <c r="G169" s="301"/>
      <c r="H169" s="192"/>
      <c r="I169" s="179"/>
    </row>
    <row r="170" spans="1:9">
      <c r="A170" s="193"/>
      <c r="B170" s="155"/>
      <c r="C170" s="156"/>
      <c r="D170" s="190"/>
      <c r="E170" s="305"/>
      <c r="F170" s="300"/>
      <c r="G170" s="301"/>
      <c r="H170" s="192"/>
      <c r="I170" s="179"/>
    </row>
    <row r="171" spans="1:9">
      <c r="A171" s="209"/>
      <c r="B171" s="157" t="str">
        <f>$B$58&amp;".7"</f>
        <v>3.7</v>
      </c>
      <c r="C171" s="158" t="s">
        <v>1354</v>
      </c>
      <c r="D171" s="195"/>
      <c r="E171" s="307"/>
      <c r="F171" s="300"/>
      <c r="G171" s="301"/>
      <c r="H171" s="192">
        <f>SUM(G172:G182)</f>
        <v>0</v>
      </c>
      <c r="I171" s="179"/>
    </row>
    <row r="172" spans="1:9">
      <c r="A172" s="193"/>
      <c r="B172" s="155"/>
      <c r="C172" s="156"/>
      <c r="D172" s="190"/>
      <c r="E172" s="305"/>
      <c r="F172" s="300"/>
      <c r="G172" s="301"/>
      <c r="H172" s="192"/>
      <c r="I172" s="179"/>
    </row>
    <row r="173" spans="1:9">
      <c r="A173" s="193"/>
      <c r="B173" s="155"/>
      <c r="C173" s="156" t="s">
        <v>1355</v>
      </c>
      <c r="D173" s="190" t="s">
        <v>1234</v>
      </c>
      <c r="E173" s="305"/>
      <c r="F173" s="300"/>
      <c r="G173" s="301"/>
      <c r="H173" s="192"/>
      <c r="I173" s="179"/>
    </row>
    <row r="174" spans="1:9">
      <c r="A174" s="193"/>
      <c r="B174" s="155"/>
      <c r="C174" s="197" t="s">
        <v>1356</v>
      </c>
      <c r="D174" s="190" t="s">
        <v>1234</v>
      </c>
      <c r="E174" s="305"/>
      <c r="F174" s="300"/>
      <c r="G174" s="301"/>
      <c r="H174" s="192"/>
      <c r="I174" s="179"/>
    </row>
    <row r="175" spans="1:9">
      <c r="A175" s="193"/>
      <c r="B175" s="155"/>
      <c r="C175" s="197" t="s">
        <v>1357</v>
      </c>
      <c r="D175" s="190" t="s">
        <v>123</v>
      </c>
      <c r="E175" s="305"/>
      <c r="F175" s="300"/>
      <c r="G175" s="301"/>
      <c r="H175" s="192"/>
      <c r="I175" s="179"/>
    </row>
    <row r="176" spans="1:9">
      <c r="A176" s="193"/>
      <c r="B176" s="155"/>
      <c r="C176" s="197" t="s">
        <v>1358</v>
      </c>
      <c r="D176" s="190" t="s">
        <v>123</v>
      </c>
      <c r="E176" s="305"/>
      <c r="F176" s="300"/>
      <c r="G176" s="301"/>
      <c r="H176" s="192"/>
      <c r="I176" s="179"/>
    </row>
    <row r="177" spans="1:9">
      <c r="A177" s="193"/>
      <c r="B177" s="155"/>
      <c r="C177" s="197" t="s">
        <v>1359</v>
      </c>
      <c r="D177" s="190" t="s">
        <v>123</v>
      </c>
      <c r="E177" s="305"/>
      <c r="F177" s="300"/>
      <c r="G177" s="301"/>
      <c r="H177" s="192"/>
      <c r="I177" s="179"/>
    </row>
    <row r="178" spans="1:9">
      <c r="A178" s="193"/>
      <c r="B178" s="155"/>
      <c r="C178" s="197" t="s">
        <v>1360</v>
      </c>
      <c r="D178" s="190" t="s">
        <v>123</v>
      </c>
      <c r="E178" s="305"/>
      <c r="F178" s="300"/>
      <c r="G178" s="301"/>
      <c r="H178" s="192"/>
      <c r="I178" s="179"/>
    </row>
    <row r="179" spans="1:9">
      <c r="A179" s="193"/>
      <c r="B179" s="155"/>
      <c r="C179" s="197" t="s">
        <v>1361</v>
      </c>
      <c r="D179" s="190" t="s">
        <v>123</v>
      </c>
      <c r="E179" s="305"/>
      <c r="F179" s="300"/>
      <c r="G179" s="301"/>
      <c r="H179" s="192"/>
      <c r="I179" s="179"/>
    </row>
    <row r="180" spans="1:9">
      <c r="A180" s="193"/>
      <c r="B180" s="155"/>
      <c r="C180" s="197" t="s">
        <v>1362</v>
      </c>
      <c r="D180" s="190" t="s">
        <v>123</v>
      </c>
      <c r="E180" s="305"/>
      <c r="F180" s="300"/>
      <c r="G180" s="301"/>
      <c r="H180" s="192"/>
      <c r="I180" s="179"/>
    </row>
    <row r="181" spans="1:9">
      <c r="A181" s="193"/>
      <c r="B181" s="155"/>
      <c r="C181" s="197" t="s">
        <v>1363</v>
      </c>
      <c r="D181" s="190" t="s">
        <v>123</v>
      </c>
      <c r="E181" s="305"/>
      <c r="F181" s="300"/>
      <c r="G181" s="301"/>
      <c r="H181" s="192"/>
      <c r="I181" s="179"/>
    </row>
    <row r="182" spans="1:9">
      <c r="A182" s="193"/>
      <c r="B182" s="155"/>
      <c r="C182" s="156"/>
      <c r="D182" s="190"/>
      <c r="E182" s="305"/>
      <c r="F182" s="300"/>
      <c r="G182" s="301"/>
      <c r="H182" s="192"/>
      <c r="I182" s="179"/>
    </row>
    <row r="183" spans="1:9">
      <c r="A183" s="193"/>
      <c r="B183" s="155"/>
      <c r="C183" s="156"/>
      <c r="D183" s="190"/>
      <c r="E183" s="305"/>
      <c r="F183" s="300"/>
      <c r="G183" s="301"/>
      <c r="H183" s="192"/>
      <c r="I183" s="179"/>
    </row>
    <row r="184" spans="1:9">
      <c r="A184" s="209"/>
      <c r="B184" s="157" t="str">
        <f>$B$58&amp;".8"</f>
        <v>3.8</v>
      </c>
      <c r="C184" s="158" t="s">
        <v>1364</v>
      </c>
      <c r="D184" s="195"/>
      <c r="E184" s="307"/>
      <c r="F184" s="300"/>
      <c r="G184" s="301"/>
      <c r="H184" s="192">
        <f>SUM(G185:G196)</f>
        <v>0</v>
      </c>
      <c r="I184" s="179"/>
    </row>
    <row r="185" spans="1:9">
      <c r="A185" s="193"/>
      <c r="B185" s="155"/>
      <c r="C185" s="156"/>
      <c r="D185" s="190"/>
      <c r="E185" s="305"/>
      <c r="F185" s="300"/>
      <c r="G185" s="301"/>
      <c r="H185" s="192"/>
      <c r="I185" s="179"/>
    </row>
    <row r="186" spans="1:9">
      <c r="A186" s="193"/>
      <c r="B186" s="155"/>
      <c r="C186" s="156" t="s">
        <v>1365</v>
      </c>
      <c r="D186" s="190" t="s">
        <v>93</v>
      </c>
      <c r="E186" s="305"/>
      <c r="F186" s="300"/>
      <c r="G186" s="301"/>
      <c r="H186" s="192"/>
      <c r="I186" s="179"/>
    </row>
    <row r="187" spans="1:9">
      <c r="A187" s="193"/>
      <c r="B187" s="155"/>
      <c r="C187" s="156" t="s">
        <v>1366</v>
      </c>
      <c r="D187" s="190" t="s">
        <v>93</v>
      </c>
      <c r="E187" s="305"/>
      <c r="F187" s="300"/>
      <c r="G187" s="301"/>
      <c r="H187" s="192"/>
      <c r="I187" s="179"/>
    </row>
    <row r="188" spans="1:9">
      <c r="A188" s="193"/>
      <c r="B188" s="155"/>
      <c r="C188" s="156" t="s">
        <v>1367</v>
      </c>
      <c r="D188" s="190" t="s">
        <v>93</v>
      </c>
      <c r="E188" s="305"/>
      <c r="F188" s="300"/>
      <c r="G188" s="301"/>
      <c r="H188" s="192"/>
      <c r="I188" s="179"/>
    </row>
    <row r="189" spans="1:9">
      <c r="A189" s="193"/>
      <c r="B189" s="155"/>
      <c r="C189" s="156" t="s">
        <v>1368</v>
      </c>
      <c r="D189" s="190" t="s">
        <v>93</v>
      </c>
      <c r="E189" s="305"/>
      <c r="F189" s="300"/>
      <c r="G189" s="301"/>
      <c r="H189" s="192"/>
      <c r="I189" s="179"/>
    </row>
    <row r="190" spans="1:9">
      <c r="A190" s="193"/>
      <c r="B190" s="155"/>
      <c r="C190" s="156" t="s">
        <v>1369</v>
      </c>
      <c r="D190" s="190" t="s">
        <v>93</v>
      </c>
      <c r="E190" s="305"/>
      <c r="F190" s="300"/>
      <c r="G190" s="301"/>
      <c r="H190" s="192"/>
      <c r="I190" s="179"/>
    </row>
    <row r="191" spans="1:9">
      <c r="A191" s="193"/>
      <c r="B191" s="155"/>
      <c r="C191" s="156" t="s">
        <v>1370</v>
      </c>
      <c r="D191" s="190" t="s">
        <v>93</v>
      </c>
      <c r="E191" s="305"/>
      <c r="F191" s="300"/>
      <c r="G191" s="301"/>
      <c r="H191" s="192"/>
      <c r="I191" s="179"/>
    </row>
    <row r="192" spans="1:9">
      <c r="A192" s="193"/>
      <c r="B192" s="155"/>
      <c r="C192" s="156" t="s">
        <v>1371</v>
      </c>
      <c r="D192" s="190" t="s">
        <v>93</v>
      </c>
      <c r="E192" s="305"/>
      <c r="F192" s="300"/>
      <c r="G192" s="301"/>
      <c r="H192" s="192"/>
      <c r="I192" s="179"/>
    </row>
    <row r="193" spans="1:9">
      <c r="A193" s="193"/>
      <c r="B193" s="155"/>
      <c r="C193" s="156" t="s">
        <v>1372</v>
      </c>
      <c r="D193" s="190" t="s">
        <v>93</v>
      </c>
      <c r="E193" s="305"/>
      <c r="F193" s="300"/>
      <c r="G193" s="301"/>
      <c r="H193" s="192"/>
      <c r="I193" s="179"/>
    </row>
    <row r="194" spans="1:9">
      <c r="A194" s="193"/>
      <c r="B194" s="155"/>
      <c r="C194" s="156" t="s">
        <v>1373</v>
      </c>
      <c r="D194" s="190" t="s">
        <v>93</v>
      </c>
      <c r="E194" s="305"/>
      <c r="F194" s="300"/>
      <c r="G194" s="301"/>
      <c r="H194" s="192"/>
      <c r="I194" s="179"/>
    </row>
    <row r="195" spans="1:9">
      <c r="A195" s="193"/>
      <c r="B195" s="155"/>
      <c r="C195" s="156"/>
      <c r="D195" s="190"/>
      <c r="E195" s="305"/>
      <c r="F195" s="300"/>
      <c r="G195" s="301"/>
      <c r="H195" s="192"/>
      <c r="I195" s="179"/>
    </row>
    <row r="196" spans="1:9">
      <c r="A196" s="193"/>
      <c r="B196" s="155"/>
      <c r="C196" s="156"/>
      <c r="D196" s="190"/>
      <c r="E196" s="305"/>
      <c r="F196" s="300"/>
      <c r="G196" s="301"/>
      <c r="H196" s="192"/>
      <c r="I196" s="179"/>
    </row>
    <row r="197" spans="1:9">
      <c r="A197" s="193"/>
      <c r="B197" s="157" t="str">
        <f>$B$58&amp;".9"</f>
        <v>3.9</v>
      </c>
      <c r="C197" s="158" t="s">
        <v>1374</v>
      </c>
      <c r="D197" s="190"/>
      <c r="E197" s="305"/>
      <c r="F197" s="300"/>
      <c r="G197" s="301"/>
      <c r="H197" s="192">
        <f>SUM(G198:G212)</f>
        <v>0</v>
      </c>
      <c r="I197" s="179"/>
    </row>
    <row r="198" spans="1:9">
      <c r="A198" s="193"/>
      <c r="B198" s="155"/>
      <c r="C198" s="156"/>
      <c r="D198" s="190"/>
      <c r="E198" s="305"/>
      <c r="F198" s="300"/>
      <c r="G198" s="301"/>
      <c r="H198" s="192"/>
      <c r="I198" s="179"/>
    </row>
    <row r="199" spans="1:9">
      <c r="A199" s="193"/>
      <c r="B199" s="157"/>
      <c r="C199" s="158" t="s">
        <v>1375</v>
      </c>
      <c r="D199" s="190"/>
      <c r="E199" s="305"/>
      <c r="F199" s="300"/>
      <c r="G199" s="301"/>
      <c r="H199" s="192"/>
      <c r="I199" s="179"/>
    </row>
    <row r="200" spans="1:9">
      <c r="A200" s="193"/>
      <c r="B200" s="155"/>
      <c r="C200" s="156" t="s">
        <v>1376</v>
      </c>
      <c r="D200" s="190" t="s">
        <v>93</v>
      </c>
      <c r="E200" s="305"/>
      <c r="F200" s="300"/>
      <c r="G200" s="301"/>
      <c r="H200" s="192"/>
      <c r="I200" s="179"/>
    </row>
    <row r="201" spans="1:9">
      <c r="A201" s="193"/>
      <c r="B201" s="155"/>
      <c r="C201" s="156" t="s">
        <v>1377</v>
      </c>
      <c r="D201" s="190" t="s">
        <v>93</v>
      </c>
      <c r="E201" s="305"/>
      <c r="F201" s="300"/>
      <c r="G201" s="301"/>
      <c r="H201" s="192"/>
      <c r="I201" s="179"/>
    </row>
    <row r="202" spans="1:9">
      <c r="A202" s="193"/>
      <c r="B202" s="155"/>
      <c r="C202" s="156" t="s">
        <v>1378</v>
      </c>
      <c r="D202" s="190" t="s">
        <v>93</v>
      </c>
      <c r="E202" s="305"/>
      <c r="F202" s="300"/>
      <c r="G202" s="301"/>
      <c r="H202" s="192"/>
      <c r="I202" s="179"/>
    </row>
    <row r="203" spans="1:9">
      <c r="A203" s="193"/>
      <c r="B203" s="155"/>
      <c r="C203" s="156" t="s">
        <v>1378</v>
      </c>
      <c r="D203" s="190" t="s">
        <v>93</v>
      </c>
      <c r="E203" s="305"/>
      <c r="F203" s="300"/>
      <c r="G203" s="301"/>
      <c r="H203" s="192"/>
      <c r="I203" s="179"/>
    </row>
    <row r="204" spans="1:9">
      <c r="A204" s="193"/>
      <c r="B204" s="155"/>
      <c r="C204" s="156" t="s">
        <v>1378</v>
      </c>
      <c r="D204" s="190" t="s">
        <v>93</v>
      </c>
      <c r="E204" s="305"/>
      <c r="F204" s="300"/>
      <c r="G204" s="301"/>
      <c r="H204" s="192"/>
      <c r="I204" s="179"/>
    </row>
    <row r="205" spans="1:9">
      <c r="A205" s="193"/>
      <c r="B205" s="155"/>
      <c r="C205" s="156" t="s">
        <v>1378</v>
      </c>
      <c r="D205" s="190" t="s">
        <v>93</v>
      </c>
      <c r="E205" s="305"/>
      <c r="F205" s="300"/>
      <c r="G205" s="301"/>
      <c r="H205" s="192"/>
      <c r="I205" s="179"/>
    </row>
    <row r="206" spans="1:9">
      <c r="A206" s="193"/>
      <c r="B206" s="155"/>
      <c r="C206" s="156" t="s">
        <v>1378</v>
      </c>
      <c r="D206" s="190" t="s">
        <v>93</v>
      </c>
      <c r="E206" s="305"/>
      <c r="F206" s="300"/>
      <c r="G206" s="301"/>
      <c r="H206" s="192"/>
      <c r="I206" s="179"/>
    </row>
    <row r="207" spans="1:9">
      <c r="A207" s="193"/>
      <c r="B207" s="155"/>
      <c r="C207" s="197"/>
      <c r="D207" s="190"/>
      <c r="E207" s="305"/>
      <c r="F207" s="300"/>
      <c r="G207" s="301"/>
      <c r="H207" s="192"/>
      <c r="I207" s="179"/>
    </row>
    <row r="208" spans="1:9">
      <c r="A208" s="193"/>
      <c r="B208" s="155"/>
      <c r="C208" s="158" t="s">
        <v>1379</v>
      </c>
      <c r="D208" s="190"/>
      <c r="E208" s="305"/>
      <c r="F208" s="300"/>
      <c r="G208" s="301"/>
      <c r="H208" s="192"/>
      <c r="I208" s="179"/>
    </row>
    <row r="209" spans="1:9">
      <c r="A209" s="193"/>
      <c r="B209" s="155"/>
      <c r="C209" s="156" t="s">
        <v>1380</v>
      </c>
      <c r="D209" s="190" t="s">
        <v>93</v>
      </c>
      <c r="E209" s="305"/>
      <c r="F209" s="300"/>
      <c r="G209" s="301"/>
      <c r="H209" s="192"/>
      <c r="I209" s="179"/>
    </row>
    <row r="210" spans="1:9">
      <c r="A210" s="193"/>
      <c r="B210" s="155"/>
      <c r="C210" s="156" t="s">
        <v>1381</v>
      </c>
      <c r="D210" s="190" t="s">
        <v>93</v>
      </c>
      <c r="E210" s="305"/>
      <c r="F210" s="300"/>
      <c r="G210" s="301"/>
      <c r="H210" s="192"/>
      <c r="I210" s="179"/>
    </row>
    <row r="211" spans="1:9">
      <c r="A211" s="193"/>
      <c r="B211" s="155"/>
      <c r="C211" s="156" t="s">
        <v>1378</v>
      </c>
      <c r="D211" s="190" t="s">
        <v>93</v>
      </c>
      <c r="E211" s="305"/>
      <c r="F211" s="300"/>
      <c r="G211" s="301"/>
      <c r="H211" s="192"/>
      <c r="I211" s="179"/>
    </row>
    <row r="212" spans="1:9">
      <c r="A212" s="193"/>
      <c r="B212" s="155"/>
      <c r="C212" s="156"/>
      <c r="D212" s="190"/>
      <c r="E212" s="305"/>
      <c r="F212" s="300"/>
      <c r="G212" s="301"/>
      <c r="H212" s="192"/>
      <c r="I212" s="179"/>
    </row>
    <row r="213" spans="1:9">
      <c r="A213" s="193"/>
      <c r="B213" s="155"/>
      <c r="C213" s="156"/>
      <c r="D213" s="190"/>
      <c r="E213" s="305"/>
      <c r="F213" s="300"/>
      <c r="G213" s="301"/>
      <c r="H213" s="192"/>
      <c r="I213" s="179"/>
    </row>
    <row r="214" spans="1:9">
      <c r="A214" s="193"/>
      <c r="B214" s="157" t="str">
        <f>$B$58&amp;".10"</f>
        <v>3.10</v>
      </c>
      <c r="C214" s="158" t="s">
        <v>1382</v>
      </c>
      <c r="D214" s="190"/>
      <c r="E214" s="305"/>
      <c r="F214" s="300"/>
      <c r="G214" s="301"/>
      <c r="H214" s="192">
        <f>SUM(G215:G223)</f>
        <v>0</v>
      </c>
      <c r="I214" s="179"/>
    </row>
    <row r="215" spans="1:9">
      <c r="A215" s="193"/>
      <c r="B215" s="155"/>
      <c r="C215" s="156"/>
      <c r="D215" s="190"/>
      <c r="E215" s="305"/>
      <c r="F215" s="300"/>
      <c r="G215" s="301"/>
      <c r="H215" s="192"/>
      <c r="I215" s="179"/>
    </row>
    <row r="216" spans="1:9">
      <c r="A216" s="193"/>
      <c r="B216" s="155"/>
      <c r="C216" s="197" t="s">
        <v>1383</v>
      </c>
      <c r="D216" s="190" t="s">
        <v>93</v>
      </c>
      <c r="E216" s="305"/>
      <c r="F216" s="300"/>
      <c r="G216" s="301"/>
      <c r="H216" s="192"/>
      <c r="I216" s="179"/>
    </row>
    <row r="217" spans="1:9">
      <c r="A217" s="193"/>
      <c r="B217" s="155"/>
      <c r="C217" s="197" t="s">
        <v>1384</v>
      </c>
      <c r="D217" s="190" t="s">
        <v>93</v>
      </c>
      <c r="E217" s="305"/>
      <c r="F217" s="300"/>
      <c r="G217" s="301"/>
      <c r="H217" s="192"/>
      <c r="I217" s="179"/>
    </row>
    <row r="218" spans="1:9">
      <c r="A218" s="193"/>
      <c r="B218" s="155"/>
      <c r="C218" s="197" t="s">
        <v>1385</v>
      </c>
      <c r="D218" s="190" t="s">
        <v>93</v>
      </c>
      <c r="E218" s="305"/>
      <c r="F218" s="300"/>
      <c r="G218" s="301"/>
      <c r="H218" s="192"/>
      <c r="I218" s="179"/>
    </row>
    <row r="219" spans="1:9">
      <c r="A219" s="193"/>
      <c r="B219" s="155"/>
      <c r="C219" s="197" t="s">
        <v>1386</v>
      </c>
      <c r="D219" s="190" t="s">
        <v>93</v>
      </c>
      <c r="E219" s="305"/>
      <c r="F219" s="300"/>
      <c r="G219" s="301"/>
      <c r="H219" s="192"/>
      <c r="I219" s="179"/>
    </row>
    <row r="220" spans="1:9">
      <c r="A220" s="193"/>
      <c r="B220" s="155"/>
      <c r="C220" s="156" t="s">
        <v>1387</v>
      </c>
      <c r="D220" s="190" t="s">
        <v>93</v>
      </c>
      <c r="E220" s="305"/>
      <c r="F220" s="300"/>
      <c r="G220" s="301"/>
      <c r="H220" s="192"/>
      <c r="I220" s="179"/>
    </row>
    <row r="221" spans="1:9">
      <c r="A221" s="193"/>
      <c r="B221" s="155"/>
      <c r="C221" s="156" t="s">
        <v>1388</v>
      </c>
      <c r="D221" s="190" t="s">
        <v>1234</v>
      </c>
      <c r="E221" s="305"/>
      <c r="F221" s="300"/>
      <c r="G221" s="301"/>
      <c r="H221" s="192"/>
      <c r="I221" s="179"/>
    </row>
    <row r="222" spans="1:9">
      <c r="A222" s="193"/>
      <c r="B222" s="155"/>
      <c r="C222" s="156" t="s">
        <v>1389</v>
      </c>
      <c r="D222" s="190" t="s">
        <v>1234</v>
      </c>
      <c r="E222" s="305"/>
      <c r="F222" s="300"/>
      <c r="G222" s="301"/>
      <c r="H222" s="192"/>
      <c r="I222" s="179"/>
    </row>
    <row r="223" spans="1:9">
      <c r="A223" s="193"/>
      <c r="B223" s="155"/>
      <c r="C223" s="156"/>
      <c r="D223" s="190"/>
      <c r="E223" s="305"/>
      <c r="F223" s="300"/>
      <c r="G223" s="301"/>
      <c r="H223" s="192"/>
      <c r="I223" s="179"/>
    </row>
    <row r="224" spans="1:9">
      <c r="A224" s="193"/>
      <c r="B224" s="155"/>
      <c r="C224" s="156"/>
      <c r="D224" s="190"/>
      <c r="E224" s="305"/>
      <c r="F224" s="300"/>
      <c r="G224" s="301"/>
      <c r="H224" s="192"/>
      <c r="I224" s="179"/>
    </row>
    <row r="225" spans="1:9">
      <c r="A225" s="209"/>
      <c r="B225" s="157" t="str">
        <f>$B$58&amp;".11"</f>
        <v>3.11</v>
      </c>
      <c r="C225" s="158" t="s">
        <v>1390</v>
      </c>
      <c r="D225" s="195"/>
      <c r="E225" s="307"/>
      <c r="F225" s="300"/>
      <c r="G225" s="301"/>
      <c r="H225" s="192">
        <f>SUM(G226:G235)</f>
        <v>0</v>
      </c>
      <c r="I225" s="179"/>
    </row>
    <row r="226" spans="1:9">
      <c r="A226" s="193"/>
      <c r="B226" s="155"/>
      <c r="C226" s="156"/>
      <c r="D226" s="190"/>
      <c r="E226" s="305"/>
      <c r="F226" s="300"/>
      <c r="G226" s="301"/>
      <c r="H226" s="192"/>
      <c r="I226" s="179"/>
    </row>
    <row r="227" spans="1:9">
      <c r="A227" s="193"/>
      <c r="B227" s="155"/>
      <c r="C227" s="158" t="s">
        <v>1391</v>
      </c>
      <c r="D227" s="190"/>
      <c r="E227" s="305"/>
      <c r="F227" s="300"/>
      <c r="G227" s="301"/>
      <c r="H227" s="192"/>
      <c r="I227" s="179"/>
    </row>
    <row r="228" spans="1:9">
      <c r="A228" s="193"/>
      <c r="B228" s="155" t="s">
        <v>1392</v>
      </c>
      <c r="C228" s="156" t="s">
        <v>1393</v>
      </c>
      <c r="D228" s="190" t="s">
        <v>93</v>
      </c>
      <c r="E228" s="305"/>
      <c r="F228" s="300"/>
      <c r="G228" s="301"/>
      <c r="H228" s="192"/>
      <c r="I228" s="179"/>
    </row>
    <row r="229" spans="1:9">
      <c r="A229" s="193"/>
      <c r="B229" s="155" t="s">
        <v>1394</v>
      </c>
      <c r="C229" s="156" t="s">
        <v>1395</v>
      </c>
      <c r="D229" s="190" t="s">
        <v>93</v>
      </c>
      <c r="E229" s="305"/>
      <c r="F229" s="300"/>
      <c r="G229" s="301"/>
      <c r="H229" s="192"/>
      <c r="I229" s="179"/>
    </row>
    <row r="230" spans="1:9">
      <c r="A230" s="193"/>
      <c r="B230" s="155" t="s">
        <v>1396</v>
      </c>
      <c r="C230" s="156" t="s">
        <v>1397</v>
      </c>
      <c r="D230" s="190" t="s">
        <v>93</v>
      </c>
      <c r="E230" s="305"/>
      <c r="F230" s="300"/>
      <c r="G230" s="301"/>
      <c r="H230" s="192"/>
      <c r="I230" s="179"/>
    </row>
    <row r="231" spans="1:9">
      <c r="A231" s="193"/>
      <c r="B231" s="155" t="s">
        <v>1398</v>
      </c>
      <c r="C231" s="156" t="s">
        <v>1399</v>
      </c>
      <c r="D231" s="190" t="s">
        <v>93</v>
      </c>
      <c r="E231" s="305"/>
      <c r="F231" s="300"/>
      <c r="G231" s="301"/>
      <c r="H231" s="192"/>
      <c r="I231" s="179"/>
    </row>
    <row r="232" spans="1:9">
      <c r="A232" s="193"/>
      <c r="B232" s="155" t="s">
        <v>1400</v>
      </c>
      <c r="C232" s="156" t="s">
        <v>1401</v>
      </c>
      <c r="D232" s="190" t="s">
        <v>93</v>
      </c>
      <c r="E232" s="305"/>
      <c r="F232" s="300"/>
      <c r="G232" s="301"/>
      <c r="H232" s="192"/>
      <c r="I232" s="179"/>
    </row>
    <row r="233" spans="1:9">
      <c r="A233" s="193"/>
      <c r="B233" s="155"/>
      <c r="C233" s="156" t="s">
        <v>1402</v>
      </c>
      <c r="D233" s="190" t="s">
        <v>123</v>
      </c>
      <c r="E233" s="305"/>
      <c r="F233" s="300"/>
      <c r="G233" s="301"/>
      <c r="H233" s="192"/>
      <c r="I233" s="179"/>
    </row>
    <row r="234" spans="1:9">
      <c r="A234" s="193"/>
      <c r="B234" s="155"/>
      <c r="C234" s="156"/>
      <c r="D234" s="190"/>
      <c r="E234" s="317"/>
      <c r="F234" s="300"/>
      <c r="G234" s="301"/>
      <c r="H234" s="192"/>
      <c r="I234" s="179"/>
    </row>
    <row r="235" spans="1:9">
      <c r="A235" s="193"/>
      <c r="B235" s="155"/>
      <c r="C235" s="156"/>
      <c r="D235" s="190"/>
      <c r="E235" s="305"/>
      <c r="F235" s="300"/>
      <c r="G235" s="301"/>
      <c r="H235" s="192"/>
      <c r="I235" s="179"/>
    </row>
    <row r="236" spans="1:9">
      <c r="A236" s="209"/>
      <c r="B236" s="157" t="str">
        <f>$B$58&amp;".12"</f>
        <v>3.12</v>
      </c>
      <c r="C236" s="158" t="s">
        <v>1403</v>
      </c>
      <c r="D236" s="195"/>
      <c r="E236" s="307"/>
      <c r="F236" s="300"/>
      <c r="G236" s="301"/>
      <c r="H236" s="192">
        <f>SUM(G237:G242)</f>
        <v>0</v>
      </c>
      <c r="I236" s="179"/>
    </row>
    <row r="237" spans="1:9">
      <c r="A237" s="193"/>
      <c r="B237" s="155"/>
      <c r="C237" s="156"/>
      <c r="D237" s="190"/>
      <c r="E237" s="305"/>
      <c r="F237" s="300"/>
      <c r="G237" s="301"/>
      <c r="H237" s="192"/>
      <c r="I237" s="179"/>
    </row>
    <row r="238" spans="1:9">
      <c r="A238" s="193"/>
      <c r="B238" s="155"/>
      <c r="C238" s="156" t="s">
        <v>1404</v>
      </c>
      <c r="D238" s="190" t="s">
        <v>93</v>
      </c>
      <c r="E238" s="305"/>
      <c r="F238" s="300"/>
      <c r="G238" s="301"/>
      <c r="H238" s="192"/>
      <c r="I238" s="179"/>
    </row>
    <row r="239" spans="1:9">
      <c r="A239" s="193"/>
      <c r="B239" s="155"/>
      <c r="C239" s="156" t="s">
        <v>1405</v>
      </c>
      <c r="D239" s="190" t="s">
        <v>795</v>
      </c>
      <c r="E239" s="305"/>
      <c r="F239" s="300"/>
      <c r="G239" s="301"/>
      <c r="H239" s="192"/>
      <c r="I239" s="179"/>
    </row>
    <row r="240" spans="1:9">
      <c r="A240" s="193"/>
      <c r="B240" s="155"/>
      <c r="C240" s="156" t="s">
        <v>1406</v>
      </c>
      <c r="D240" s="190" t="s">
        <v>795</v>
      </c>
      <c r="E240" s="305"/>
      <c r="F240" s="300"/>
      <c r="G240" s="301"/>
      <c r="H240" s="192"/>
      <c r="I240" s="179"/>
    </row>
    <row r="241" spans="1:9">
      <c r="A241" s="193"/>
      <c r="B241" s="155"/>
      <c r="C241" s="156" t="s">
        <v>1407</v>
      </c>
      <c r="D241" s="190" t="s">
        <v>123</v>
      </c>
      <c r="E241" s="305"/>
      <c r="F241" s="300"/>
      <c r="G241" s="301"/>
      <c r="H241" s="192"/>
      <c r="I241" s="179"/>
    </row>
    <row r="242" spans="1:9">
      <c r="A242" s="193"/>
      <c r="B242" s="155"/>
      <c r="C242" s="156" t="s">
        <v>891</v>
      </c>
      <c r="D242" s="190" t="s">
        <v>1234</v>
      </c>
      <c r="E242" s="305"/>
      <c r="F242" s="300"/>
      <c r="G242" s="301"/>
      <c r="H242" s="192"/>
      <c r="I242" s="179"/>
    </row>
    <row r="243" spans="1:9">
      <c r="A243" s="193"/>
      <c r="B243" s="155"/>
      <c r="C243" s="156"/>
      <c r="D243" s="190"/>
      <c r="E243" s="305"/>
      <c r="F243" s="300"/>
      <c r="G243" s="301"/>
      <c r="H243" s="192"/>
      <c r="I243" s="179"/>
    </row>
    <row r="244" spans="1:9">
      <c r="A244" s="193"/>
      <c r="B244" s="155"/>
      <c r="C244" s="156"/>
      <c r="D244" s="190"/>
      <c r="E244" s="305"/>
      <c r="F244" s="300"/>
      <c r="G244" s="301"/>
      <c r="H244" s="192"/>
      <c r="I244" s="179"/>
    </row>
    <row r="245" spans="1:9">
      <c r="A245" s="209"/>
      <c r="B245" s="157" t="str">
        <f>$B$58&amp;".13"</f>
        <v>3.13</v>
      </c>
      <c r="C245" s="158" t="s">
        <v>1408</v>
      </c>
      <c r="D245" s="195"/>
      <c r="E245" s="307"/>
      <c r="F245" s="300"/>
      <c r="G245" s="301"/>
      <c r="H245" s="192">
        <f>SUM(G246:G293)</f>
        <v>0</v>
      </c>
      <c r="I245" s="179"/>
    </row>
    <row r="246" spans="1:9">
      <c r="A246" s="193"/>
      <c r="B246" s="155"/>
      <c r="C246" s="156"/>
      <c r="D246" s="190"/>
      <c r="E246" s="305"/>
      <c r="F246" s="300"/>
      <c r="G246" s="301"/>
      <c r="H246" s="192"/>
      <c r="I246" s="179"/>
    </row>
    <row r="247" spans="1:9">
      <c r="A247" s="193"/>
      <c r="B247" s="155"/>
      <c r="C247" s="197" t="s">
        <v>1409</v>
      </c>
      <c r="D247" s="190"/>
      <c r="E247" s="305"/>
      <c r="F247" s="300"/>
      <c r="G247" s="301"/>
      <c r="H247" s="192"/>
      <c r="I247" s="179"/>
    </row>
    <row r="248" spans="1:9">
      <c r="A248" s="193"/>
      <c r="B248" s="155">
        <v>200259</v>
      </c>
      <c r="C248" s="197" t="s">
        <v>1410</v>
      </c>
      <c r="D248" s="190" t="s">
        <v>93</v>
      </c>
      <c r="E248" s="305"/>
      <c r="F248" s="300"/>
      <c r="G248" s="301"/>
      <c r="H248" s="192"/>
      <c r="I248" s="179"/>
    </row>
    <row r="249" spans="1:9">
      <c r="A249" s="193"/>
      <c r="B249" s="155">
        <v>200074</v>
      </c>
      <c r="C249" s="197" t="s">
        <v>1411</v>
      </c>
      <c r="D249" s="190" t="s">
        <v>93</v>
      </c>
      <c r="E249" s="305"/>
      <c r="F249" s="300"/>
      <c r="G249" s="301"/>
      <c r="H249" s="192"/>
      <c r="I249" s="179"/>
    </row>
    <row r="250" spans="1:9">
      <c r="A250" s="193"/>
      <c r="B250" s="155">
        <v>150068</v>
      </c>
      <c r="C250" s="197" t="s">
        <v>1412</v>
      </c>
      <c r="D250" s="190" t="s">
        <v>93</v>
      </c>
      <c r="E250" s="305"/>
      <c r="F250" s="300"/>
      <c r="G250" s="301"/>
      <c r="H250" s="192"/>
      <c r="I250" s="179"/>
    </row>
    <row r="251" spans="1:9">
      <c r="A251" s="193"/>
      <c r="B251" s="155">
        <v>120819</v>
      </c>
      <c r="C251" s="197" t="s">
        <v>1413</v>
      </c>
      <c r="D251" s="190" t="s">
        <v>93</v>
      </c>
      <c r="E251" s="305"/>
      <c r="F251" s="300"/>
      <c r="G251" s="301"/>
      <c r="H251" s="192"/>
      <c r="I251" s="179"/>
    </row>
    <row r="252" spans="1:9">
      <c r="A252" s="193"/>
      <c r="B252" s="155">
        <v>110915</v>
      </c>
      <c r="C252" s="197" t="s">
        <v>1414</v>
      </c>
      <c r="D252" s="190" t="s">
        <v>93</v>
      </c>
      <c r="E252" s="305"/>
      <c r="F252" s="300"/>
      <c r="G252" s="301"/>
      <c r="H252" s="192"/>
      <c r="I252" s="179"/>
    </row>
    <row r="253" spans="1:9">
      <c r="A253" s="193"/>
      <c r="B253" s="155"/>
      <c r="C253" s="197"/>
      <c r="D253" s="190"/>
      <c r="E253" s="305"/>
      <c r="F253" s="300"/>
      <c r="G253" s="301"/>
      <c r="H253" s="192"/>
      <c r="I253" s="179"/>
    </row>
    <row r="254" spans="1:9">
      <c r="A254" s="193"/>
      <c r="B254" s="155"/>
      <c r="C254" s="197" t="s">
        <v>1415</v>
      </c>
      <c r="D254" s="190"/>
      <c r="E254" s="305"/>
      <c r="F254" s="300"/>
      <c r="G254" s="301"/>
      <c r="H254" s="192"/>
      <c r="I254" s="179"/>
    </row>
    <row r="255" spans="1:9">
      <c r="A255" s="193"/>
      <c r="B255" s="155">
        <v>120191</v>
      </c>
      <c r="C255" s="197" t="s">
        <v>1416</v>
      </c>
      <c r="D255" s="190" t="s">
        <v>93</v>
      </c>
      <c r="E255" s="305"/>
      <c r="F255" s="300"/>
      <c r="G255" s="301"/>
      <c r="H255" s="192"/>
      <c r="I255" s="179"/>
    </row>
    <row r="256" spans="1:9">
      <c r="A256" s="193"/>
      <c r="B256" s="155">
        <v>150068</v>
      </c>
      <c r="C256" s="197" t="s">
        <v>1412</v>
      </c>
      <c r="D256" s="190" t="s">
        <v>93</v>
      </c>
      <c r="E256" s="305"/>
      <c r="F256" s="300"/>
      <c r="G256" s="301"/>
      <c r="H256" s="192"/>
      <c r="I256" s="179"/>
    </row>
    <row r="257" spans="1:9">
      <c r="A257" s="193"/>
      <c r="B257" s="155">
        <v>120819</v>
      </c>
      <c r="C257" s="197" t="s">
        <v>1413</v>
      </c>
      <c r="D257" s="190" t="s">
        <v>93</v>
      </c>
      <c r="E257" s="305"/>
      <c r="F257" s="300"/>
      <c r="G257" s="301"/>
      <c r="H257" s="192"/>
      <c r="I257" s="179"/>
    </row>
    <row r="258" spans="1:9">
      <c r="A258" s="193"/>
      <c r="B258" s="155">
        <v>110915</v>
      </c>
      <c r="C258" s="197" t="s">
        <v>1414</v>
      </c>
      <c r="D258" s="190" t="s">
        <v>93</v>
      </c>
      <c r="E258" s="305"/>
      <c r="F258" s="300"/>
      <c r="G258" s="301"/>
      <c r="H258" s="192"/>
      <c r="I258" s="179"/>
    </row>
    <row r="259" spans="1:9">
      <c r="A259" s="193"/>
      <c r="B259" s="155"/>
      <c r="C259" s="197"/>
      <c r="D259" s="190"/>
      <c r="E259" s="305"/>
      <c r="F259" s="300"/>
      <c r="G259" s="301"/>
      <c r="H259" s="192"/>
      <c r="I259" s="179"/>
    </row>
    <row r="260" spans="1:9">
      <c r="A260" s="193"/>
      <c r="B260" s="155"/>
      <c r="C260" s="197" t="s">
        <v>1417</v>
      </c>
      <c r="D260" s="190"/>
      <c r="E260" s="305"/>
      <c r="F260" s="300"/>
      <c r="G260" s="301"/>
      <c r="H260" s="192"/>
      <c r="I260" s="179"/>
    </row>
    <row r="261" spans="1:9">
      <c r="A261" s="193"/>
      <c r="B261" s="155">
        <v>122015</v>
      </c>
      <c r="C261" s="197" t="s">
        <v>1418</v>
      </c>
      <c r="D261" s="190" t="s">
        <v>93</v>
      </c>
      <c r="E261" s="305"/>
      <c r="F261" s="300"/>
      <c r="G261" s="301"/>
      <c r="H261" s="192"/>
      <c r="I261" s="179"/>
    </row>
    <row r="262" spans="1:9">
      <c r="A262" s="193"/>
      <c r="B262" s="155">
        <v>150068</v>
      </c>
      <c r="C262" s="197" t="s">
        <v>1412</v>
      </c>
      <c r="D262" s="190" t="s">
        <v>93</v>
      </c>
      <c r="E262" s="305"/>
      <c r="F262" s="300"/>
      <c r="G262" s="301"/>
      <c r="H262" s="192"/>
      <c r="I262" s="179"/>
    </row>
    <row r="263" spans="1:9">
      <c r="A263" s="193"/>
      <c r="B263" s="155">
        <v>120819</v>
      </c>
      <c r="C263" s="197" t="s">
        <v>1413</v>
      </c>
      <c r="D263" s="190" t="s">
        <v>93</v>
      </c>
      <c r="E263" s="305"/>
      <c r="F263" s="300"/>
      <c r="G263" s="301"/>
      <c r="H263" s="192"/>
      <c r="I263" s="179"/>
    </row>
    <row r="264" spans="1:9">
      <c r="A264" s="193"/>
      <c r="B264" s="155">
        <v>110915</v>
      </c>
      <c r="C264" s="197" t="s">
        <v>1414</v>
      </c>
      <c r="D264" s="190" t="s">
        <v>93</v>
      </c>
      <c r="E264" s="305"/>
      <c r="F264" s="300"/>
      <c r="G264" s="301"/>
      <c r="H264" s="192"/>
      <c r="I264" s="179"/>
    </row>
    <row r="265" spans="1:9">
      <c r="A265" s="193"/>
      <c r="B265" s="155"/>
      <c r="C265" s="197"/>
      <c r="D265" s="190"/>
      <c r="E265" s="305"/>
      <c r="F265" s="300"/>
      <c r="G265" s="301"/>
      <c r="H265" s="192"/>
      <c r="I265" s="179"/>
    </row>
    <row r="266" spans="1:9">
      <c r="A266" s="193"/>
      <c r="B266" s="155"/>
      <c r="C266" s="197" t="s">
        <v>1419</v>
      </c>
      <c r="D266" s="190"/>
      <c r="E266" s="305"/>
      <c r="F266" s="300"/>
      <c r="G266" s="301"/>
      <c r="H266" s="192"/>
      <c r="I266" s="179"/>
    </row>
    <row r="267" spans="1:9">
      <c r="A267" s="193"/>
      <c r="B267" s="155">
        <v>122015</v>
      </c>
      <c r="C267" s="197" t="s">
        <v>1418</v>
      </c>
      <c r="D267" s="190" t="s">
        <v>93</v>
      </c>
      <c r="E267" s="305"/>
      <c r="F267" s="300"/>
      <c r="G267" s="301"/>
      <c r="H267" s="192"/>
      <c r="I267" s="179"/>
    </row>
    <row r="268" spans="1:9">
      <c r="A268" s="193"/>
      <c r="B268" s="155">
        <v>150068</v>
      </c>
      <c r="C268" s="197" t="s">
        <v>1412</v>
      </c>
      <c r="D268" s="190" t="s">
        <v>93</v>
      </c>
      <c r="E268" s="305"/>
      <c r="F268" s="300"/>
      <c r="G268" s="301"/>
      <c r="H268" s="192"/>
      <c r="I268" s="179"/>
    </row>
    <row r="269" spans="1:9">
      <c r="A269" s="193"/>
      <c r="B269" s="155"/>
      <c r="C269" s="197"/>
      <c r="D269" s="190"/>
      <c r="E269" s="305"/>
      <c r="F269" s="300"/>
      <c r="G269" s="301"/>
      <c r="H269" s="192"/>
      <c r="I269" s="179"/>
    </row>
    <row r="270" spans="1:9">
      <c r="A270" s="193"/>
      <c r="B270" s="155"/>
      <c r="C270" s="197" t="s">
        <v>1420</v>
      </c>
      <c r="D270" s="190"/>
      <c r="E270" s="305"/>
      <c r="F270" s="300"/>
      <c r="G270" s="301"/>
      <c r="H270" s="192"/>
      <c r="I270" s="179"/>
    </row>
    <row r="271" spans="1:9">
      <c r="A271" s="193"/>
      <c r="B271" s="155">
        <v>200020</v>
      </c>
      <c r="C271" s="197" t="s">
        <v>1421</v>
      </c>
      <c r="D271" s="190" t="s">
        <v>93</v>
      </c>
      <c r="E271" s="305"/>
      <c r="F271" s="300"/>
      <c r="G271" s="301"/>
      <c r="H271" s="192"/>
      <c r="I271" s="179"/>
    </row>
    <row r="272" spans="1:9">
      <c r="A272" s="193"/>
      <c r="B272" s="155">
        <v>200021</v>
      </c>
      <c r="C272" s="197" t="s">
        <v>1422</v>
      </c>
      <c r="D272" s="190" t="s">
        <v>93</v>
      </c>
      <c r="E272" s="305"/>
      <c r="F272" s="300"/>
      <c r="G272" s="301"/>
      <c r="H272" s="192"/>
      <c r="I272" s="179"/>
    </row>
    <row r="273" spans="1:9">
      <c r="A273" s="193"/>
      <c r="B273" s="155">
        <v>110913</v>
      </c>
      <c r="C273" s="197" t="s">
        <v>1423</v>
      </c>
      <c r="D273" s="190" t="s">
        <v>93</v>
      </c>
      <c r="E273" s="305"/>
      <c r="F273" s="300"/>
      <c r="G273" s="301"/>
      <c r="H273" s="192"/>
      <c r="I273" s="179"/>
    </row>
    <row r="274" spans="1:9">
      <c r="A274" s="193"/>
      <c r="B274" s="155"/>
      <c r="C274" s="197" t="s">
        <v>1424</v>
      </c>
      <c r="D274" s="190"/>
      <c r="E274" s="305"/>
      <c r="F274" s="300"/>
      <c r="G274" s="301"/>
      <c r="H274" s="192"/>
      <c r="I274" s="179"/>
    </row>
    <row r="275" spans="1:9">
      <c r="A275" s="193"/>
      <c r="B275" s="155">
        <v>150065</v>
      </c>
      <c r="C275" s="197" t="s">
        <v>1425</v>
      </c>
      <c r="D275" s="190" t="s">
        <v>93</v>
      </c>
      <c r="E275" s="305"/>
      <c r="F275" s="300"/>
      <c r="G275" s="301"/>
      <c r="H275" s="192"/>
      <c r="I275" s="179"/>
    </row>
    <row r="276" spans="1:9">
      <c r="A276" s="193"/>
      <c r="B276" s="155">
        <v>150003</v>
      </c>
      <c r="C276" s="197" t="s">
        <v>1426</v>
      </c>
      <c r="D276" s="190" t="s">
        <v>93</v>
      </c>
      <c r="E276" s="305"/>
      <c r="F276" s="300"/>
      <c r="G276" s="301"/>
      <c r="H276" s="192"/>
      <c r="I276" s="179"/>
    </row>
    <row r="277" spans="1:9">
      <c r="A277" s="193"/>
      <c r="B277" s="155">
        <v>150069</v>
      </c>
      <c r="C277" s="197" t="s">
        <v>1427</v>
      </c>
      <c r="D277" s="190" t="s">
        <v>93</v>
      </c>
      <c r="E277" s="305"/>
      <c r="F277" s="300"/>
      <c r="G277" s="301"/>
      <c r="H277" s="192"/>
      <c r="I277" s="179"/>
    </row>
    <row r="278" spans="1:9">
      <c r="A278" s="193"/>
      <c r="B278" s="155"/>
      <c r="C278" s="318" t="s">
        <v>1428</v>
      </c>
      <c r="D278" s="190"/>
      <c r="E278" s="305"/>
      <c r="F278" s="300"/>
      <c r="G278" s="301"/>
      <c r="H278" s="192"/>
      <c r="I278" s="179"/>
    </row>
    <row r="279" spans="1:9">
      <c r="A279" s="193"/>
      <c r="B279" s="155">
        <v>110909</v>
      </c>
      <c r="C279" s="197" t="s">
        <v>1429</v>
      </c>
      <c r="D279" s="190" t="s">
        <v>93</v>
      </c>
      <c r="E279" s="305"/>
      <c r="F279" s="300"/>
      <c r="G279" s="301"/>
      <c r="H279" s="192"/>
      <c r="I279" s="179"/>
    </row>
    <row r="280" spans="1:9">
      <c r="A280" s="193"/>
      <c r="B280" s="155"/>
      <c r="C280" s="197"/>
      <c r="D280" s="190"/>
      <c r="E280" s="305"/>
      <c r="F280" s="300"/>
      <c r="G280" s="301"/>
      <c r="H280" s="192"/>
      <c r="I280" s="179"/>
    </row>
    <row r="281" spans="1:9">
      <c r="A281" s="193"/>
      <c r="B281" s="155"/>
      <c r="C281" s="197" t="s">
        <v>1430</v>
      </c>
      <c r="D281" s="190"/>
      <c r="E281" s="305"/>
      <c r="F281" s="300"/>
      <c r="G281" s="301"/>
      <c r="H281" s="192"/>
      <c r="I281" s="179"/>
    </row>
    <row r="282" spans="1:9">
      <c r="A282" s="193"/>
      <c r="B282" s="155"/>
      <c r="C282" s="197" t="s">
        <v>1431</v>
      </c>
      <c r="D282" s="190" t="s">
        <v>93</v>
      </c>
      <c r="E282" s="305"/>
      <c r="F282" s="300"/>
      <c r="G282" s="301"/>
      <c r="H282" s="192"/>
      <c r="I282" s="179"/>
    </row>
    <row r="283" spans="1:9">
      <c r="A283" s="193"/>
      <c r="B283" s="155"/>
      <c r="C283" s="197" t="s">
        <v>1432</v>
      </c>
      <c r="D283" s="190" t="s">
        <v>93</v>
      </c>
      <c r="E283" s="305"/>
      <c r="F283" s="300"/>
      <c r="G283" s="301"/>
      <c r="H283" s="192"/>
      <c r="I283" s="179"/>
    </row>
    <row r="284" spans="1:9">
      <c r="A284" s="193"/>
      <c r="B284" s="155"/>
      <c r="C284" s="197" t="s">
        <v>1433</v>
      </c>
      <c r="D284" s="190"/>
      <c r="E284" s="305"/>
      <c r="F284" s="300"/>
      <c r="G284" s="301"/>
      <c r="H284" s="192"/>
      <c r="I284" s="179"/>
    </row>
    <row r="285" spans="1:9">
      <c r="A285" s="193"/>
      <c r="B285" s="155">
        <v>150006</v>
      </c>
      <c r="C285" s="197" t="s">
        <v>1434</v>
      </c>
      <c r="D285" s="190" t="s">
        <v>93</v>
      </c>
      <c r="E285" s="305"/>
      <c r="F285" s="300"/>
      <c r="G285" s="301"/>
      <c r="H285" s="192"/>
      <c r="I285" s="179"/>
    </row>
    <row r="286" spans="1:9">
      <c r="A286" s="193"/>
      <c r="B286" s="155">
        <v>150008</v>
      </c>
      <c r="C286" s="197" t="s">
        <v>1435</v>
      </c>
      <c r="D286" s="190" t="s">
        <v>93</v>
      </c>
      <c r="E286" s="305"/>
      <c r="F286" s="300"/>
      <c r="G286" s="301"/>
      <c r="H286" s="192"/>
      <c r="I286" s="179"/>
    </row>
    <row r="287" spans="1:9">
      <c r="A287" s="193"/>
      <c r="B287" s="155">
        <v>150019</v>
      </c>
      <c r="C287" s="197" t="s">
        <v>1436</v>
      </c>
      <c r="D287" s="190" t="s">
        <v>93</v>
      </c>
      <c r="E287" s="305"/>
      <c r="F287" s="300"/>
      <c r="G287" s="301"/>
      <c r="H287" s="192"/>
      <c r="I287" s="179"/>
    </row>
    <row r="288" spans="1:9">
      <c r="A288" s="193"/>
      <c r="B288" s="155">
        <v>150020</v>
      </c>
      <c r="C288" s="197" t="s">
        <v>1437</v>
      </c>
      <c r="D288" s="190" t="s">
        <v>93</v>
      </c>
      <c r="E288" s="305"/>
      <c r="F288" s="300"/>
      <c r="G288" s="301"/>
      <c r="H288" s="192"/>
      <c r="I288" s="179"/>
    </row>
    <row r="289" spans="1:9">
      <c r="A289" s="193"/>
      <c r="B289" s="155"/>
      <c r="C289" s="197"/>
      <c r="D289" s="190"/>
      <c r="E289" s="305"/>
      <c r="F289" s="300"/>
      <c r="G289" s="301"/>
      <c r="H289" s="192"/>
      <c r="I289" s="179"/>
    </row>
    <row r="290" spans="1:9">
      <c r="A290" s="193"/>
      <c r="B290" s="155"/>
      <c r="C290" s="197" t="s">
        <v>1438</v>
      </c>
      <c r="D290" s="190" t="s">
        <v>795</v>
      </c>
      <c r="E290" s="305"/>
      <c r="F290" s="300"/>
      <c r="G290" s="301"/>
      <c r="H290" s="192"/>
      <c r="I290" s="179"/>
    </row>
    <row r="291" spans="1:9">
      <c r="A291" s="193"/>
      <c r="B291" s="155"/>
      <c r="C291" s="197" t="s">
        <v>1439</v>
      </c>
      <c r="D291" s="190" t="s">
        <v>795</v>
      </c>
      <c r="E291" s="305"/>
      <c r="F291" s="300"/>
      <c r="G291" s="301"/>
      <c r="H291" s="192"/>
      <c r="I291" s="179"/>
    </row>
    <row r="292" spans="1:9">
      <c r="A292" s="193"/>
      <c r="B292" s="155"/>
      <c r="C292" s="197" t="s">
        <v>1440</v>
      </c>
      <c r="D292" s="190" t="s">
        <v>795</v>
      </c>
      <c r="E292" s="305"/>
      <c r="F292" s="300"/>
      <c r="G292" s="301"/>
      <c r="H292" s="192"/>
      <c r="I292" s="179"/>
    </row>
    <row r="293" spans="1:9">
      <c r="A293" s="160"/>
      <c r="B293" s="155"/>
      <c r="C293" s="156"/>
      <c r="D293" s="190"/>
      <c r="E293" s="305"/>
      <c r="F293" s="300"/>
      <c r="G293" s="301"/>
      <c r="H293" s="192"/>
      <c r="I293" s="179"/>
    </row>
    <row r="294" spans="1:9">
      <c r="A294" s="209"/>
      <c r="B294" s="157">
        <v>3.14</v>
      </c>
      <c r="C294" s="319" t="s">
        <v>1441</v>
      </c>
      <c r="D294" s="195"/>
      <c r="E294" s="307"/>
      <c r="F294" s="300"/>
      <c r="G294" s="301"/>
      <c r="H294" s="192">
        <f>SUM(G295:G305)</f>
        <v>0</v>
      </c>
      <c r="I294" s="179"/>
    </row>
    <row r="295" spans="1:9">
      <c r="A295" s="193"/>
      <c r="B295" s="155"/>
      <c r="C295" s="156"/>
      <c r="D295" s="190"/>
      <c r="E295" s="305"/>
      <c r="F295" s="300"/>
      <c r="G295" s="301"/>
      <c r="H295" s="192"/>
      <c r="I295" s="179"/>
    </row>
    <row r="296" spans="1:9">
      <c r="A296" s="193"/>
      <c r="B296" s="155"/>
      <c r="C296" s="156" t="s">
        <v>1442</v>
      </c>
      <c r="D296" s="190" t="s">
        <v>93</v>
      </c>
      <c r="E296" s="305"/>
      <c r="F296" s="300"/>
      <c r="G296" s="301"/>
      <c r="H296" s="192"/>
      <c r="I296" s="179"/>
    </row>
    <row r="297" spans="1:9">
      <c r="A297" s="193"/>
      <c r="B297" s="155"/>
      <c r="C297" s="156" t="s">
        <v>1443</v>
      </c>
      <c r="D297" s="190" t="s">
        <v>93</v>
      </c>
      <c r="E297" s="305"/>
      <c r="F297" s="300"/>
      <c r="G297" s="301"/>
      <c r="H297" s="192"/>
      <c r="I297" s="179"/>
    </row>
    <row r="298" spans="1:9">
      <c r="A298" s="193"/>
      <c r="B298" s="155"/>
      <c r="C298" s="156" t="s">
        <v>1444</v>
      </c>
      <c r="D298" s="190" t="s">
        <v>93</v>
      </c>
      <c r="E298" s="305"/>
      <c r="F298" s="300"/>
      <c r="G298" s="301"/>
      <c r="H298" s="192"/>
      <c r="I298" s="179"/>
    </row>
    <row r="299" spans="1:9">
      <c r="A299" s="193"/>
      <c r="B299" s="155"/>
      <c r="C299" s="156" t="s">
        <v>1445</v>
      </c>
      <c r="D299" s="190" t="s">
        <v>93</v>
      </c>
      <c r="E299" s="305"/>
      <c r="F299" s="300"/>
      <c r="G299" s="301"/>
      <c r="H299" s="192"/>
      <c r="I299" s="179"/>
    </row>
    <row r="300" spans="1:9">
      <c r="A300" s="193"/>
      <c r="B300" s="155"/>
      <c r="C300" s="156" t="s">
        <v>1446</v>
      </c>
      <c r="D300" s="190" t="s">
        <v>1447</v>
      </c>
      <c r="E300" s="305"/>
      <c r="F300" s="300"/>
      <c r="G300" s="301"/>
      <c r="H300" s="192"/>
      <c r="I300" s="179"/>
    </row>
    <row r="301" spans="1:9">
      <c r="A301" s="193"/>
      <c r="B301" s="155"/>
      <c r="C301" s="156" t="s">
        <v>1448</v>
      </c>
      <c r="D301" s="190" t="s">
        <v>93</v>
      </c>
      <c r="E301" s="305"/>
      <c r="F301" s="300"/>
      <c r="G301" s="301"/>
      <c r="H301" s="192"/>
      <c r="I301" s="179"/>
    </row>
    <row r="302" spans="1:9">
      <c r="A302" s="193"/>
      <c r="B302" s="155"/>
      <c r="C302" s="156" t="s">
        <v>1449</v>
      </c>
      <c r="D302" s="190" t="s">
        <v>123</v>
      </c>
      <c r="E302" s="305"/>
      <c r="F302" s="300"/>
      <c r="G302" s="301"/>
      <c r="H302" s="192"/>
      <c r="I302" s="179"/>
    </row>
    <row r="303" spans="1:9">
      <c r="A303" s="193"/>
      <c r="B303" s="155"/>
      <c r="C303" s="156" t="s">
        <v>1450</v>
      </c>
      <c r="D303" s="190" t="s">
        <v>123</v>
      </c>
      <c r="E303" s="305"/>
      <c r="F303" s="300"/>
      <c r="G303" s="301"/>
      <c r="H303" s="192"/>
      <c r="I303" s="179"/>
    </row>
    <row r="304" spans="1:9">
      <c r="A304" s="193"/>
      <c r="B304" s="155"/>
      <c r="C304" s="156"/>
      <c r="D304" s="190"/>
      <c r="E304" s="305"/>
      <c r="F304" s="300"/>
      <c r="G304" s="301"/>
      <c r="H304" s="192"/>
      <c r="I304" s="179"/>
    </row>
    <row r="305" spans="1:9">
      <c r="A305" s="193"/>
      <c r="B305" s="155"/>
      <c r="C305" s="156" t="s">
        <v>1451</v>
      </c>
      <c r="D305" s="190" t="s">
        <v>93</v>
      </c>
      <c r="E305" s="305"/>
      <c r="F305" s="300"/>
      <c r="G305" s="301"/>
      <c r="H305" s="192"/>
      <c r="I305" s="179"/>
    </row>
    <row r="306" spans="1:9">
      <c r="A306" s="193"/>
      <c r="B306" s="155"/>
      <c r="C306" s="156"/>
      <c r="D306" s="190"/>
      <c r="E306" s="305"/>
      <c r="F306" s="300"/>
      <c r="G306" s="301"/>
      <c r="H306" s="192"/>
      <c r="I306" s="179"/>
    </row>
    <row r="307" spans="1:9">
      <c r="A307" s="193"/>
      <c r="B307" s="155"/>
      <c r="C307" s="156" t="s">
        <v>1337</v>
      </c>
      <c r="D307" s="190" t="s">
        <v>795</v>
      </c>
      <c r="E307" s="305"/>
      <c r="F307" s="300"/>
      <c r="G307" s="301"/>
      <c r="H307" s="192"/>
      <c r="I307" s="179"/>
    </row>
    <row r="308" spans="1:9">
      <c r="A308" s="193"/>
      <c r="B308" s="155"/>
      <c r="C308" s="156"/>
      <c r="D308" s="190"/>
      <c r="E308" s="305"/>
      <c r="F308" s="300"/>
      <c r="G308" s="301"/>
      <c r="H308" s="192"/>
      <c r="I308" s="179"/>
    </row>
    <row r="309" spans="1:9">
      <c r="A309" s="194"/>
      <c r="B309" s="153">
        <v>4</v>
      </c>
      <c r="C309" s="154" t="s">
        <v>1452</v>
      </c>
      <c r="D309" s="182"/>
      <c r="E309" s="302"/>
      <c r="F309" s="303"/>
      <c r="G309" s="304"/>
      <c r="H309" s="186"/>
      <c r="I309" s="187">
        <f>SUM(H310:H320)</f>
        <v>0</v>
      </c>
    </row>
    <row r="310" spans="1:9">
      <c r="A310" s="193"/>
      <c r="B310" s="155"/>
      <c r="C310" s="156"/>
      <c r="D310" s="190"/>
      <c r="E310" s="305"/>
      <c r="F310" s="300"/>
      <c r="G310" s="301"/>
      <c r="H310" s="192"/>
      <c r="I310" s="179"/>
    </row>
    <row r="311" spans="1:9">
      <c r="A311" s="209"/>
      <c r="B311" s="157" t="str">
        <f>B309&amp;".1"</f>
        <v>4.1</v>
      </c>
      <c r="C311" s="158" t="s">
        <v>1453</v>
      </c>
      <c r="D311" s="195"/>
      <c r="E311" s="307"/>
      <c r="F311" s="300"/>
      <c r="G311" s="301"/>
      <c r="H311" s="192">
        <f>SUM(G312:G318)</f>
        <v>0</v>
      </c>
      <c r="I311" s="179"/>
    </row>
    <row r="312" spans="1:9">
      <c r="A312" s="193"/>
      <c r="B312" s="155"/>
      <c r="C312" s="156"/>
      <c r="D312" s="190"/>
      <c r="E312" s="305"/>
      <c r="F312" s="300"/>
      <c r="G312" s="301"/>
      <c r="H312" s="192"/>
      <c r="I312" s="179"/>
    </row>
    <row r="313" spans="1:9">
      <c r="A313" s="193"/>
      <c r="B313" s="155"/>
      <c r="C313" s="158" t="s">
        <v>1454</v>
      </c>
      <c r="D313" s="190" t="s">
        <v>795</v>
      </c>
      <c r="E313" s="305"/>
      <c r="F313" s="300"/>
      <c r="G313" s="301"/>
      <c r="H313" s="192"/>
      <c r="I313" s="179"/>
    </row>
    <row r="314" spans="1:9">
      <c r="A314" s="193"/>
      <c r="B314" s="155"/>
      <c r="C314" s="156" t="s">
        <v>1455</v>
      </c>
      <c r="D314" s="190" t="s">
        <v>1234</v>
      </c>
      <c r="E314" s="305"/>
      <c r="F314" s="300"/>
      <c r="G314" s="301"/>
      <c r="H314" s="192"/>
      <c r="I314" s="179"/>
    </row>
    <row r="315" spans="1:9">
      <c r="A315" s="193"/>
      <c r="B315" s="155"/>
      <c r="C315" s="314" t="s">
        <v>1456</v>
      </c>
      <c r="D315" s="190" t="s">
        <v>1234</v>
      </c>
      <c r="E315" s="305"/>
      <c r="F315" s="300"/>
      <c r="G315" s="301"/>
      <c r="H315" s="192"/>
      <c r="I315" s="179"/>
    </row>
    <row r="316" spans="1:9">
      <c r="A316" s="193"/>
      <c r="B316" s="155"/>
      <c r="C316" s="314" t="s">
        <v>1457</v>
      </c>
      <c r="D316" s="190" t="s">
        <v>1234</v>
      </c>
      <c r="E316" s="305"/>
      <c r="F316" s="300"/>
      <c r="G316" s="301"/>
      <c r="H316" s="192"/>
      <c r="I316" s="179"/>
    </row>
    <row r="317" spans="1:9">
      <c r="A317" s="193"/>
      <c r="B317" s="155"/>
      <c r="C317" s="314" t="s">
        <v>1458</v>
      </c>
      <c r="D317" s="190" t="s">
        <v>1234</v>
      </c>
      <c r="E317" s="305"/>
      <c r="F317" s="300"/>
      <c r="G317" s="301"/>
      <c r="H317" s="192"/>
      <c r="I317" s="179"/>
    </row>
    <row r="318" spans="1:9">
      <c r="A318" s="193"/>
      <c r="B318" s="155"/>
      <c r="C318" s="197" t="s">
        <v>1308</v>
      </c>
      <c r="D318" s="190" t="s">
        <v>1234</v>
      </c>
      <c r="E318" s="305"/>
      <c r="F318" s="300"/>
      <c r="G318" s="301"/>
      <c r="H318" s="192"/>
      <c r="I318" s="179"/>
    </row>
    <row r="319" spans="1:9">
      <c r="A319" s="193"/>
      <c r="B319" s="155"/>
      <c r="C319" s="197"/>
      <c r="D319" s="190"/>
      <c r="E319" s="305"/>
      <c r="F319" s="300"/>
      <c r="G319" s="301"/>
      <c r="H319" s="192"/>
      <c r="I319" s="179"/>
    </row>
    <row r="320" spans="1:9">
      <c r="A320" s="193"/>
      <c r="B320" s="155"/>
      <c r="C320" s="156"/>
      <c r="D320" s="190"/>
      <c r="E320" s="305"/>
      <c r="F320" s="300"/>
      <c r="G320" s="301"/>
      <c r="H320" s="192"/>
      <c r="I320" s="179"/>
    </row>
    <row r="321" spans="1:9">
      <c r="A321" s="209"/>
      <c r="B321" s="157">
        <v>4.2</v>
      </c>
      <c r="C321" s="158" t="s">
        <v>1459</v>
      </c>
      <c r="D321" s="195" t="s">
        <v>1447</v>
      </c>
      <c r="E321" s="307"/>
      <c r="F321" s="300"/>
      <c r="G321" s="301"/>
      <c r="H321" s="192">
        <f>SUM(G322:G363)</f>
        <v>0</v>
      </c>
      <c r="I321" s="179"/>
    </row>
    <row r="322" spans="1:9">
      <c r="A322" s="193"/>
      <c r="B322" s="155"/>
      <c r="C322" s="156"/>
      <c r="D322" s="190"/>
      <c r="E322" s="305"/>
      <c r="F322" s="300"/>
      <c r="G322" s="301"/>
      <c r="H322" s="192"/>
      <c r="I322" s="179"/>
    </row>
    <row r="323" spans="1:9">
      <c r="A323" s="193"/>
      <c r="B323" s="155"/>
      <c r="C323" s="306" t="s">
        <v>1244</v>
      </c>
      <c r="D323" s="190"/>
      <c r="E323" s="305"/>
      <c r="F323" s="300"/>
      <c r="G323" s="301"/>
      <c r="H323" s="192"/>
      <c r="I323" s="179"/>
    </row>
    <row r="324" spans="1:9">
      <c r="A324" s="193"/>
      <c r="B324" s="155"/>
      <c r="C324" s="156" t="s">
        <v>1246</v>
      </c>
      <c r="D324" s="190" t="s">
        <v>93</v>
      </c>
      <c r="E324" s="305"/>
      <c r="F324" s="300"/>
      <c r="G324" s="301"/>
      <c r="H324" s="192"/>
      <c r="I324" s="179"/>
    </row>
    <row r="325" spans="1:9">
      <c r="A325" s="193"/>
      <c r="B325" s="155"/>
      <c r="C325" s="306" t="s">
        <v>1247</v>
      </c>
      <c r="D325" s="190"/>
      <c r="E325" s="305"/>
      <c r="F325" s="300"/>
      <c r="G325" s="301"/>
      <c r="H325" s="192"/>
      <c r="I325" s="179"/>
    </row>
    <row r="326" spans="1:9">
      <c r="A326" s="193"/>
      <c r="B326" s="155"/>
      <c r="C326" s="156" t="s">
        <v>1249</v>
      </c>
      <c r="D326" s="190" t="s">
        <v>93</v>
      </c>
      <c r="E326" s="305"/>
      <c r="F326" s="300"/>
      <c r="G326" s="301"/>
      <c r="H326" s="192"/>
      <c r="I326" s="179"/>
    </row>
    <row r="327" spans="1:9">
      <c r="A327" s="193"/>
      <c r="B327" s="155"/>
      <c r="C327" s="156" t="s">
        <v>1253</v>
      </c>
      <c r="D327" s="190" t="s">
        <v>93</v>
      </c>
      <c r="E327" s="305"/>
      <c r="F327" s="300"/>
      <c r="G327" s="301"/>
      <c r="H327" s="192"/>
      <c r="I327" s="179"/>
    </row>
    <row r="328" spans="1:9">
      <c r="A328" s="193"/>
      <c r="B328" s="155"/>
      <c r="C328" s="156" t="s">
        <v>1251</v>
      </c>
      <c r="D328" s="190" t="s">
        <v>93</v>
      </c>
      <c r="E328" s="305"/>
      <c r="F328" s="300"/>
      <c r="G328" s="301"/>
      <c r="H328" s="192"/>
      <c r="I328" s="179"/>
    </row>
    <row r="329" spans="1:9">
      <c r="A329" s="193"/>
      <c r="B329" s="155"/>
      <c r="C329" s="156" t="s">
        <v>1255</v>
      </c>
      <c r="D329" s="190" t="s">
        <v>93</v>
      </c>
      <c r="E329" s="305"/>
      <c r="F329" s="300"/>
      <c r="G329" s="301"/>
      <c r="H329" s="192"/>
      <c r="I329" s="179"/>
    </row>
    <row r="330" spans="1:9">
      <c r="A330" s="193"/>
      <c r="B330" s="155"/>
      <c r="C330" s="306" t="s">
        <v>1256</v>
      </c>
      <c r="D330" s="190"/>
      <c r="E330" s="305"/>
      <c r="F330" s="300"/>
      <c r="G330" s="301"/>
      <c r="H330" s="192"/>
      <c r="I330" s="179"/>
    </row>
    <row r="331" spans="1:9">
      <c r="A331" s="193"/>
      <c r="B331" s="155"/>
      <c r="C331" s="156" t="s">
        <v>1262</v>
      </c>
      <c r="D331" s="190" t="s">
        <v>93</v>
      </c>
      <c r="E331" s="305"/>
      <c r="F331" s="300"/>
      <c r="G331" s="301"/>
      <c r="H331" s="192"/>
      <c r="I331" s="179"/>
    </row>
    <row r="332" spans="1:9">
      <c r="A332" s="193"/>
      <c r="B332" s="155"/>
      <c r="C332" s="156" t="s">
        <v>1258</v>
      </c>
      <c r="D332" s="190" t="s">
        <v>93</v>
      </c>
      <c r="E332" s="305"/>
      <c r="F332" s="300"/>
      <c r="G332" s="301"/>
      <c r="H332" s="192"/>
      <c r="I332" s="179"/>
    </row>
    <row r="333" spans="1:9">
      <c r="A333" s="193"/>
      <c r="B333" s="155"/>
      <c r="C333" s="156" t="s">
        <v>1264</v>
      </c>
      <c r="D333" s="190" t="s">
        <v>93</v>
      </c>
      <c r="E333" s="305"/>
      <c r="F333" s="300"/>
      <c r="G333" s="301"/>
      <c r="H333" s="192"/>
      <c r="I333" s="179"/>
    </row>
    <row r="334" spans="1:9">
      <c r="A334" s="193"/>
      <c r="B334" s="155"/>
      <c r="C334" s="156" t="s">
        <v>1260</v>
      </c>
      <c r="D334" s="190" t="s">
        <v>93</v>
      </c>
      <c r="E334" s="305"/>
      <c r="F334" s="300"/>
      <c r="G334" s="301"/>
      <c r="H334" s="192"/>
      <c r="I334" s="179"/>
    </row>
    <row r="335" spans="1:9">
      <c r="A335" s="193"/>
      <c r="B335" s="155"/>
      <c r="C335" s="306" t="s">
        <v>1265</v>
      </c>
      <c r="D335" s="190"/>
      <c r="E335" s="305"/>
      <c r="F335" s="300"/>
      <c r="G335" s="301"/>
      <c r="H335" s="192"/>
      <c r="I335" s="179"/>
    </row>
    <row r="336" spans="1:9">
      <c r="A336" s="193"/>
      <c r="B336" s="155"/>
      <c r="C336" s="156" t="s">
        <v>1275</v>
      </c>
      <c r="D336" s="190" t="s">
        <v>93</v>
      </c>
      <c r="E336" s="305"/>
      <c r="F336" s="300"/>
      <c r="G336" s="301"/>
      <c r="H336" s="192"/>
      <c r="I336" s="179"/>
    </row>
    <row r="337" spans="1:9">
      <c r="A337" s="193"/>
      <c r="B337" s="155"/>
      <c r="C337" s="156" t="s">
        <v>1276</v>
      </c>
      <c r="D337" s="190" t="s">
        <v>93</v>
      </c>
      <c r="E337" s="305"/>
      <c r="F337" s="300"/>
      <c r="G337" s="301"/>
      <c r="H337" s="192"/>
      <c r="I337" s="179"/>
    </row>
    <row r="338" spans="1:9">
      <c r="A338" s="193"/>
      <c r="B338" s="155"/>
      <c r="C338" s="156" t="s">
        <v>1277</v>
      </c>
      <c r="D338" s="190" t="s">
        <v>93</v>
      </c>
      <c r="E338" s="305"/>
      <c r="F338" s="300"/>
      <c r="G338" s="301"/>
      <c r="H338" s="192"/>
      <c r="I338" s="179"/>
    </row>
    <row r="339" spans="1:9">
      <c r="A339" s="193"/>
      <c r="B339" s="155"/>
      <c r="C339" s="156" t="s">
        <v>1279</v>
      </c>
      <c r="D339" s="190" t="s">
        <v>93</v>
      </c>
      <c r="E339" s="305"/>
      <c r="F339" s="300"/>
      <c r="G339" s="301"/>
      <c r="H339" s="192"/>
      <c r="I339" s="179"/>
    </row>
    <row r="340" spans="1:9">
      <c r="A340" s="193"/>
      <c r="B340" s="155"/>
      <c r="C340" s="156" t="s">
        <v>1271</v>
      </c>
      <c r="D340" s="190" t="s">
        <v>93</v>
      </c>
      <c r="E340" s="305"/>
      <c r="F340" s="300"/>
      <c r="G340" s="301"/>
      <c r="H340" s="192"/>
      <c r="I340" s="179"/>
    </row>
    <row r="341" spans="1:9">
      <c r="A341" s="193"/>
      <c r="B341" s="155"/>
      <c r="C341" s="156" t="s">
        <v>1281</v>
      </c>
      <c r="D341" s="190" t="s">
        <v>93</v>
      </c>
      <c r="E341" s="305"/>
      <c r="F341" s="300"/>
      <c r="G341" s="301"/>
      <c r="H341" s="192"/>
      <c r="I341" s="179"/>
    </row>
    <row r="342" spans="1:9">
      <c r="A342" s="193"/>
      <c r="B342" s="155"/>
      <c r="C342" s="156" t="s">
        <v>1267</v>
      </c>
      <c r="D342" s="190" t="s">
        <v>93</v>
      </c>
      <c r="E342" s="305"/>
      <c r="F342" s="300"/>
      <c r="G342" s="301"/>
      <c r="H342" s="192"/>
      <c r="I342" s="179"/>
    </row>
    <row r="343" spans="1:9">
      <c r="A343" s="193"/>
      <c r="B343" s="155"/>
      <c r="C343" s="156" t="s">
        <v>1269</v>
      </c>
      <c r="D343" s="190" t="s">
        <v>93</v>
      </c>
      <c r="E343" s="305"/>
      <c r="F343" s="300"/>
      <c r="G343" s="301"/>
      <c r="H343" s="192"/>
      <c r="I343" s="179"/>
    </row>
    <row r="344" spans="1:9">
      <c r="A344" s="193"/>
      <c r="B344" s="155"/>
      <c r="C344" s="306" t="s">
        <v>1282</v>
      </c>
      <c r="D344" s="190"/>
      <c r="E344" s="305"/>
      <c r="F344" s="300"/>
      <c r="G344" s="301"/>
      <c r="H344" s="192"/>
      <c r="I344" s="179"/>
    </row>
    <row r="345" spans="1:9">
      <c r="A345" s="193"/>
      <c r="B345" s="155"/>
      <c r="C345" s="156" t="s">
        <v>1286</v>
      </c>
      <c r="D345" s="190" t="s">
        <v>93</v>
      </c>
      <c r="E345" s="305"/>
      <c r="F345" s="300"/>
      <c r="G345" s="301"/>
      <c r="H345" s="192"/>
      <c r="I345" s="179"/>
    </row>
    <row r="346" spans="1:9">
      <c r="A346" s="193"/>
      <c r="B346" s="155"/>
      <c r="C346" s="156" t="s">
        <v>1284</v>
      </c>
      <c r="D346" s="190" t="s">
        <v>93</v>
      </c>
      <c r="E346" s="305"/>
      <c r="F346" s="300"/>
      <c r="G346" s="301"/>
      <c r="H346" s="192"/>
      <c r="I346" s="179"/>
    </row>
    <row r="347" spans="1:9">
      <c r="A347" s="193"/>
      <c r="B347" s="155"/>
      <c r="C347" s="156" t="s">
        <v>1288</v>
      </c>
      <c r="D347" s="190" t="s">
        <v>93</v>
      </c>
      <c r="E347" s="305"/>
      <c r="F347" s="300"/>
      <c r="G347" s="301"/>
      <c r="H347" s="192"/>
      <c r="I347" s="179"/>
    </row>
    <row r="348" spans="1:9">
      <c r="A348" s="193"/>
      <c r="B348" s="155"/>
      <c r="C348" s="156" t="s">
        <v>1290</v>
      </c>
      <c r="D348" s="190" t="s">
        <v>93</v>
      </c>
      <c r="E348" s="305"/>
      <c r="F348" s="300"/>
      <c r="G348" s="301"/>
      <c r="H348" s="192"/>
      <c r="I348" s="179"/>
    </row>
    <row r="349" spans="1:9">
      <c r="A349" s="193"/>
      <c r="B349" s="155"/>
      <c r="C349" s="156" t="s">
        <v>1291</v>
      </c>
      <c r="D349" s="190" t="s">
        <v>123</v>
      </c>
      <c r="E349" s="305"/>
      <c r="F349" s="300"/>
      <c r="G349" s="301"/>
      <c r="H349" s="192"/>
      <c r="I349" s="179"/>
    </row>
    <row r="350" spans="1:9">
      <c r="A350" s="193"/>
      <c r="B350" s="155"/>
      <c r="C350" s="156" t="s">
        <v>1292</v>
      </c>
      <c r="D350" s="190" t="s">
        <v>123</v>
      </c>
      <c r="E350" s="305"/>
      <c r="F350" s="300"/>
      <c r="G350" s="301"/>
      <c r="H350" s="192"/>
      <c r="I350" s="179"/>
    </row>
    <row r="351" spans="1:9">
      <c r="A351" s="193"/>
      <c r="B351" s="155"/>
      <c r="C351" s="156" t="s">
        <v>1293</v>
      </c>
      <c r="D351" s="190" t="s">
        <v>123</v>
      </c>
      <c r="E351" s="305"/>
      <c r="F351" s="300"/>
      <c r="G351" s="301"/>
      <c r="H351" s="192"/>
      <c r="I351" s="179"/>
    </row>
    <row r="352" spans="1:9">
      <c r="A352" s="193"/>
      <c r="B352" s="155"/>
      <c r="C352" s="156" t="s">
        <v>1294</v>
      </c>
      <c r="D352" s="190" t="s">
        <v>123</v>
      </c>
      <c r="E352" s="305"/>
      <c r="F352" s="300"/>
      <c r="G352" s="301"/>
      <c r="H352" s="192"/>
      <c r="I352" s="179"/>
    </row>
    <row r="353" spans="1:9">
      <c r="A353" s="193"/>
      <c r="B353" s="155"/>
      <c r="C353" s="156" t="s">
        <v>1295</v>
      </c>
      <c r="D353" s="190" t="s">
        <v>123</v>
      </c>
      <c r="E353" s="305"/>
      <c r="F353" s="300"/>
      <c r="G353" s="301"/>
      <c r="H353" s="192"/>
      <c r="I353" s="179"/>
    </row>
    <row r="354" spans="1:9">
      <c r="A354" s="193"/>
      <c r="B354" s="155"/>
      <c r="C354" s="156" t="s">
        <v>1296</v>
      </c>
      <c r="D354" s="190" t="s">
        <v>123</v>
      </c>
      <c r="E354" s="305"/>
      <c r="F354" s="300"/>
      <c r="G354" s="301"/>
      <c r="H354" s="192"/>
      <c r="I354" s="179"/>
    </row>
    <row r="355" spans="1:9">
      <c r="A355" s="193"/>
      <c r="B355" s="155"/>
      <c r="C355" s="156" t="s">
        <v>1297</v>
      </c>
      <c r="D355" s="190" t="s">
        <v>123</v>
      </c>
      <c r="E355" s="305"/>
      <c r="F355" s="300"/>
      <c r="G355" s="301"/>
      <c r="H355" s="192"/>
      <c r="I355" s="179"/>
    </row>
    <row r="356" spans="1:9">
      <c r="A356" s="193"/>
      <c r="B356" s="155"/>
      <c r="C356" s="156" t="s">
        <v>1460</v>
      </c>
      <c r="D356" s="190" t="s">
        <v>1447</v>
      </c>
      <c r="E356" s="305"/>
      <c r="F356" s="300"/>
      <c r="G356" s="301"/>
      <c r="H356" s="192"/>
      <c r="I356" s="179"/>
    </row>
    <row r="357" spans="1:9">
      <c r="A357" s="193"/>
      <c r="B357" s="155"/>
      <c r="C357" s="156"/>
      <c r="D357" s="190"/>
      <c r="E357" s="305"/>
      <c r="F357" s="300"/>
      <c r="G357" s="301"/>
      <c r="H357" s="192"/>
      <c r="I357" s="179"/>
    </row>
    <row r="358" spans="1:9">
      <c r="A358" s="193"/>
      <c r="B358" s="155"/>
      <c r="C358" s="156" t="s">
        <v>1461</v>
      </c>
      <c r="D358" s="190" t="s">
        <v>93</v>
      </c>
      <c r="E358" s="305"/>
      <c r="F358" s="300"/>
      <c r="G358" s="301"/>
      <c r="H358" s="192"/>
      <c r="I358" s="179"/>
    </row>
    <row r="359" spans="1:9">
      <c r="A359" s="193"/>
      <c r="B359" s="155"/>
      <c r="C359" s="314" t="s">
        <v>1455</v>
      </c>
      <c r="D359" s="190" t="s">
        <v>93</v>
      </c>
      <c r="E359" s="305"/>
      <c r="F359" s="300"/>
      <c r="G359" s="301"/>
      <c r="H359" s="192"/>
      <c r="I359" s="179"/>
    </row>
    <row r="360" spans="1:9">
      <c r="A360" s="193"/>
      <c r="B360" s="155"/>
      <c r="C360" s="314" t="s">
        <v>1462</v>
      </c>
      <c r="D360" s="190" t="s">
        <v>93</v>
      </c>
      <c r="E360" s="305"/>
      <c r="F360" s="300"/>
      <c r="G360" s="301"/>
      <c r="H360" s="192"/>
      <c r="I360" s="179"/>
    </row>
    <row r="361" spans="1:9">
      <c r="A361" s="193"/>
      <c r="B361" s="155"/>
      <c r="C361" s="314" t="s">
        <v>1463</v>
      </c>
      <c r="D361" s="190" t="s">
        <v>93</v>
      </c>
      <c r="E361" s="305"/>
      <c r="F361" s="300"/>
      <c r="G361" s="301"/>
      <c r="H361" s="192"/>
      <c r="I361" s="179"/>
    </row>
    <row r="362" spans="1:9">
      <c r="A362" s="193"/>
      <c r="B362" s="155"/>
      <c r="C362" s="156"/>
      <c r="D362" s="190"/>
      <c r="E362" s="305"/>
      <c r="F362" s="300"/>
      <c r="G362" s="301"/>
      <c r="H362" s="192"/>
      <c r="I362" s="179"/>
    </row>
    <row r="363" spans="1:9">
      <c r="A363" s="193"/>
      <c r="B363" s="155"/>
      <c r="C363" s="156"/>
      <c r="D363" s="190"/>
      <c r="E363" s="305"/>
      <c r="F363" s="300"/>
      <c r="G363" s="301"/>
      <c r="H363" s="192"/>
      <c r="I363" s="179"/>
    </row>
    <row r="364" spans="1:9">
      <c r="A364" s="193"/>
      <c r="B364" s="155"/>
      <c r="C364" s="156"/>
      <c r="D364" s="190"/>
      <c r="E364" s="305"/>
      <c r="F364" s="300"/>
      <c r="G364" s="301"/>
      <c r="H364" s="192"/>
      <c r="I364" s="179"/>
    </row>
    <row r="365" spans="1:9">
      <c r="A365" s="160"/>
      <c r="B365" s="155"/>
      <c r="C365" s="156"/>
      <c r="D365" s="190"/>
      <c r="E365" s="305"/>
      <c r="F365" s="300"/>
      <c r="G365" s="301"/>
      <c r="H365" s="192"/>
      <c r="I365" s="179"/>
    </row>
    <row r="366" spans="1:9">
      <c r="A366" s="194"/>
      <c r="B366" s="153">
        <v>5</v>
      </c>
      <c r="C366" s="154" t="s">
        <v>1114</v>
      </c>
      <c r="D366" s="182"/>
      <c r="E366" s="302"/>
      <c r="F366" s="303"/>
      <c r="G366" s="304"/>
      <c r="H366" s="186"/>
      <c r="I366" s="187">
        <f>SUM(H367:H397)</f>
        <v>0</v>
      </c>
    </row>
    <row r="367" spans="1:9">
      <c r="A367" s="193"/>
      <c r="B367" s="155"/>
      <c r="C367" s="156"/>
      <c r="D367" s="190"/>
      <c r="E367" s="305"/>
      <c r="F367" s="300"/>
      <c r="G367" s="301"/>
      <c r="H367" s="192"/>
      <c r="I367" s="179"/>
    </row>
    <row r="368" spans="1:9">
      <c r="A368" s="209"/>
      <c r="B368" s="157" t="str">
        <f>$B$366&amp;".1"</f>
        <v>5.1</v>
      </c>
      <c r="C368" s="158" t="s">
        <v>1115</v>
      </c>
      <c r="D368" s="195"/>
      <c r="E368" s="307"/>
      <c r="F368" s="300"/>
      <c r="G368" s="301"/>
      <c r="H368" s="192">
        <f>SUM(G369:G373)</f>
        <v>0</v>
      </c>
      <c r="I368" s="179"/>
    </row>
    <row r="369" spans="1:9">
      <c r="A369" s="193"/>
      <c r="B369" s="155"/>
      <c r="C369" s="156"/>
      <c r="D369" s="190"/>
      <c r="E369" s="305"/>
      <c r="F369" s="300"/>
      <c r="G369" s="301"/>
      <c r="H369" s="192"/>
      <c r="I369" s="179"/>
    </row>
    <row r="370" spans="1:9">
      <c r="A370" s="193"/>
      <c r="B370" s="155"/>
      <c r="C370" s="156" t="s">
        <v>1116</v>
      </c>
      <c r="D370" s="190" t="s">
        <v>795</v>
      </c>
      <c r="E370" s="305"/>
      <c r="F370" s="300"/>
      <c r="G370" s="301"/>
      <c r="H370" s="192"/>
      <c r="I370" s="179"/>
    </row>
    <row r="371" spans="1:9">
      <c r="A371" s="193"/>
      <c r="B371" s="155"/>
      <c r="C371" s="156" t="s">
        <v>1464</v>
      </c>
      <c r="D371" s="190" t="s">
        <v>795</v>
      </c>
      <c r="E371" s="305"/>
      <c r="F371" s="300"/>
      <c r="G371" s="301"/>
      <c r="H371" s="192"/>
      <c r="I371" s="179"/>
    </row>
    <row r="372" spans="1:9">
      <c r="A372" s="193"/>
      <c r="B372" s="155"/>
      <c r="C372" s="156" t="s">
        <v>1118</v>
      </c>
      <c r="D372" s="190" t="s">
        <v>1234</v>
      </c>
      <c r="E372" s="305"/>
      <c r="F372" s="300"/>
      <c r="G372" s="301"/>
      <c r="H372" s="192"/>
      <c r="I372" s="179"/>
    </row>
    <row r="373" spans="1:9">
      <c r="A373" s="193"/>
      <c r="B373" s="155"/>
      <c r="C373" s="156"/>
      <c r="D373" s="190"/>
      <c r="E373" s="305"/>
      <c r="F373" s="300"/>
      <c r="G373" s="301"/>
      <c r="H373" s="192"/>
      <c r="I373" s="179"/>
    </row>
    <row r="374" spans="1:9">
      <c r="A374" s="209"/>
      <c r="B374" s="157" t="str">
        <f>$B$366&amp;".2"</f>
        <v>5.2</v>
      </c>
      <c r="C374" s="158" t="s">
        <v>1119</v>
      </c>
      <c r="D374" s="195"/>
      <c r="E374" s="307"/>
      <c r="F374" s="300"/>
      <c r="G374" s="301"/>
      <c r="H374" s="192">
        <f>SUM(G375:G380)</f>
        <v>0</v>
      </c>
      <c r="I374" s="179"/>
    </row>
    <row r="375" spans="1:9">
      <c r="A375" s="193"/>
      <c r="B375" s="155"/>
      <c r="C375" s="156"/>
      <c r="D375" s="190"/>
      <c r="E375" s="305"/>
      <c r="F375" s="300"/>
      <c r="G375" s="301"/>
      <c r="H375" s="192"/>
      <c r="I375" s="179"/>
    </row>
    <row r="376" spans="1:9">
      <c r="A376" s="193"/>
      <c r="B376" s="155"/>
      <c r="C376" s="236" t="s">
        <v>1120</v>
      </c>
      <c r="D376" s="190" t="s">
        <v>795</v>
      </c>
      <c r="E376" s="305"/>
      <c r="F376" s="300"/>
      <c r="G376" s="301"/>
      <c r="H376" s="192"/>
      <c r="I376" s="179"/>
    </row>
    <row r="377" spans="1:9">
      <c r="A377" s="193"/>
      <c r="B377" s="155"/>
      <c r="C377" s="236" t="s">
        <v>1465</v>
      </c>
      <c r="D377" s="190" t="s">
        <v>795</v>
      </c>
      <c r="E377" s="305"/>
      <c r="F377" s="300"/>
      <c r="G377" s="301"/>
      <c r="H377" s="192"/>
      <c r="I377" s="179"/>
    </row>
    <row r="378" spans="1:9">
      <c r="A378" s="193"/>
      <c r="B378" s="155"/>
      <c r="C378" s="236" t="s">
        <v>1466</v>
      </c>
      <c r="D378" s="190" t="s">
        <v>795</v>
      </c>
      <c r="E378" s="305"/>
      <c r="F378" s="300"/>
      <c r="G378" s="301"/>
      <c r="H378" s="192"/>
      <c r="I378" s="179"/>
    </row>
    <row r="379" spans="1:9">
      <c r="A379" s="193"/>
      <c r="B379" s="155"/>
      <c r="C379" s="236" t="s">
        <v>1467</v>
      </c>
      <c r="D379" s="190" t="s">
        <v>1234</v>
      </c>
      <c r="E379" s="305"/>
      <c r="F379" s="300"/>
      <c r="G379" s="301"/>
      <c r="H379" s="192"/>
      <c r="I379" s="179"/>
    </row>
    <row r="380" spans="1:9">
      <c r="A380" s="193"/>
      <c r="B380" s="155"/>
      <c r="C380" s="236"/>
      <c r="D380" s="190"/>
      <c r="E380" s="305"/>
      <c r="F380" s="300"/>
      <c r="G380" s="301"/>
      <c r="H380" s="192"/>
      <c r="I380" s="179"/>
    </row>
    <row r="381" spans="1:9">
      <c r="A381" s="209"/>
      <c r="B381" s="157" t="str">
        <f>$B$366&amp;".3"</f>
        <v>5.3</v>
      </c>
      <c r="C381" s="158" t="s">
        <v>1468</v>
      </c>
      <c r="D381" s="195"/>
      <c r="E381" s="307"/>
      <c r="F381" s="300"/>
      <c r="G381" s="301"/>
      <c r="H381" s="192">
        <f>SUM(G382:G386)</f>
        <v>0</v>
      </c>
      <c r="I381" s="179"/>
    </row>
    <row r="382" spans="1:9">
      <c r="A382" s="193"/>
      <c r="B382" s="155"/>
      <c r="C382" s="156"/>
      <c r="D382" s="190"/>
      <c r="E382" s="305"/>
      <c r="F382" s="300"/>
      <c r="G382" s="301"/>
      <c r="H382" s="192"/>
      <c r="I382" s="179"/>
    </row>
    <row r="383" spans="1:9">
      <c r="A383" s="193"/>
      <c r="B383" s="155"/>
      <c r="C383" s="156" t="s">
        <v>1469</v>
      </c>
      <c r="D383" s="190" t="s">
        <v>795</v>
      </c>
      <c r="E383" s="320"/>
      <c r="F383" s="300"/>
      <c r="G383" s="301"/>
      <c r="H383" s="192"/>
      <c r="I383" s="179"/>
    </row>
    <row r="384" spans="1:9">
      <c r="A384" s="193"/>
      <c r="B384" s="155"/>
      <c r="C384" s="156" t="s">
        <v>1470</v>
      </c>
      <c r="D384" s="190" t="s">
        <v>1234</v>
      </c>
      <c r="E384" s="305"/>
      <c r="F384" s="300"/>
      <c r="G384" s="301"/>
      <c r="H384" s="192"/>
      <c r="I384" s="179"/>
    </row>
    <row r="385" spans="1:9">
      <c r="A385" s="193"/>
      <c r="B385" s="155"/>
      <c r="C385" s="156" t="s">
        <v>1471</v>
      </c>
      <c r="D385" s="190" t="s">
        <v>1234</v>
      </c>
      <c r="E385" s="305"/>
      <c r="F385" s="300"/>
      <c r="G385" s="301"/>
      <c r="H385" s="192"/>
      <c r="I385" s="179"/>
    </row>
    <row r="386" spans="1:9">
      <c r="A386" s="193"/>
      <c r="B386" s="155"/>
      <c r="C386" s="156"/>
      <c r="D386" s="190"/>
      <c r="E386" s="305"/>
      <c r="F386" s="300"/>
      <c r="G386" s="301"/>
      <c r="H386" s="192"/>
      <c r="I386" s="179"/>
    </row>
    <row r="387" spans="1:9">
      <c r="A387" s="209"/>
      <c r="B387" s="157" t="str">
        <f>$B$366&amp;".4"</f>
        <v>5.4</v>
      </c>
      <c r="C387" s="158" t="s">
        <v>1124</v>
      </c>
      <c r="D387" s="195"/>
      <c r="E387" s="307"/>
      <c r="F387" s="300"/>
      <c r="G387" s="301"/>
      <c r="H387" s="192">
        <f>SUM(G388:G392)</f>
        <v>0</v>
      </c>
      <c r="I387" s="179"/>
    </row>
    <row r="388" spans="1:9">
      <c r="A388" s="193"/>
      <c r="B388" s="155"/>
      <c r="C388" s="156"/>
      <c r="D388" s="190"/>
      <c r="E388" s="305"/>
      <c r="F388" s="300"/>
      <c r="G388" s="301"/>
      <c r="H388" s="192"/>
      <c r="I388" s="179"/>
    </row>
    <row r="389" spans="1:9">
      <c r="A389" s="193"/>
      <c r="B389" s="155"/>
      <c r="C389" s="156" t="s">
        <v>1125</v>
      </c>
      <c r="D389" s="190" t="s">
        <v>1234</v>
      </c>
      <c r="E389" s="305"/>
      <c r="F389" s="300"/>
      <c r="G389" s="301"/>
      <c r="H389" s="192"/>
      <c r="I389" s="179"/>
    </row>
    <row r="390" spans="1:9">
      <c r="A390" s="193"/>
      <c r="B390" s="155"/>
      <c r="C390" s="156" t="s">
        <v>1126</v>
      </c>
      <c r="D390" s="190" t="s">
        <v>1234</v>
      </c>
      <c r="E390" s="305"/>
      <c r="F390" s="300"/>
      <c r="G390" s="301"/>
      <c r="H390" s="192"/>
      <c r="I390" s="179"/>
    </row>
    <row r="391" spans="1:9">
      <c r="A391" s="193"/>
      <c r="B391" s="155"/>
      <c r="C391" s="156" t="s">
        <v>1127</v>
      </c>
      <c r="D391" s="190" t="s">
        <v>1234</v>
      </c>
      <c r="E391" s="305"/>
      <c r="F391" s="300"/>
      <c r="G391" s="301"/>
      <c r="H391" s="192"/>
      <c r="I391" s="179"/>
    </row>
    <row r="392" spans="1:9">
      <c r="A392" s="193"/>
      <c r="B392" s="155"/>
      <c r="C392" s="156"/>
      <c r="D392" s="190"/>
      <c r="E392" s="305"/>
      <c r="F392" s="300"/>
      <c r="G392" s="301"/>
      <c r="H392" s="192"/>
      <c r="I392" s="179"/>
    </row>
    <row r="393" spans="1:9">
      <c r="A393" s="209"/>
      <c r="B393" s="157" t="str">
        <f>$B$366&amp;".5"</f>
        <v>5.5</v>
      </c>
      <c r="C393" s="158" t="s">
        <v>1128</v>
      </c>
      <c r="D393" s="195"/>
      <c r="E393" s="307"/>
      <c r="F393" s="300"/>
      <c r="G393" s="301"/>
      <c r="H393" s="192">
        <f>SUM(G393:G398)</f>
        <v>0</v>
      </c>
      <c r="I393" s="179"/>
    </row>
    <row r="394" spans="1:9">
      <c r="A394" s="193"/>
      <c r="B394" s="155"/>
      <c r="C394" s="156"/>
      <c r="D394" s="190"/>
      <c r="E394" s="305"/>
      <c r="F394" s="300"/>
      <c r="G394" s="301"/>
      <c r="H394" s="192"/>
      <c r="I394" s="179"/>
    </row>
    <row r="395" spans="1:9">
      <c r="A395" s="193"/>
      <c r="B395" s="155"/>
      <c r="C395" s="156" t="s">
        <v>1129</v>
      </c>
      <c r="D395" s="190" t="s">
        <v>93</v>
      </c>
      <c r="E395" s="305"/>
      <c r="F395" s="300"/>
      <c r="G395" s="301"/>
      <c r="H395" s="192"/>
      <c r="I395" s="179"/>
    </row>
    <row r="396" spans="1:9">
      <c r="A396" s="193"/>
      <c r="B396" s="155"/>
      <c r="C396" s="156" t="s">
        <v>1130</v>
      </c>
      <c r="D396" s="190" t="s">
        <v>93</v>
      </c>
      <c r="E396" s="305"/>
      <c r="F396" s="300"/>
      <c r="G396" s="301"/>
      <c r="H396" s="192"/>
      <c r="I396" s="179"/>
    </row>
    <row r="397" spans="1:9">
      <c r="A397" s="193"/>
      <c r="B397" s="155"/>
      <c r="C397" s="156"/>
      <c r="D397" s="190"/>
      <c r="E397" s="305"/>
      <c r="F397" s="300"/>
      <c r="G397" s="301"/>
      <c r="H397" s="192"/>
      <c r="I397" s="179"/>
    </row>
    <row r="398" spans="1:9" ht="15" thickBot="1">
      <c r="A398" s="193"/>
      <c r="B398" s="155"/>
      <c r="C398" s="156"/>
      <c r="D398" s="190"/>
      <c r="E398" s="305"/>
      <c r="F398" s="332"/>
      <c r="G398" s="301"/>
      <c r="H398" s="192"/>
      <c r="I398" s="179"/>
    </row>
    <row r="399" spans="1:9" ht="25.2">
      <c r="A399" s="261"/>
      <c r="B399" s="406" t="str">
        <f>[2]PDG!B6</f>
        <v>RÉHABILITATION DE 6 LOGEMENTS • RESTRUCTURATION LOURDE POUR CRÉATION DE 7 LOGEMENTS</v>
      </c>
      <c r="C399" s="407"/>
      <c r="D399" s="407"/>
      <c r="E399" s="408"/>
      <c r="F399" s="321" t="s">
        <v>1131</v>
      </c>
      <c r="G399" s="322">
        <f>SUM(G6:G398)</f>
        <v>0</v>
      </c>
      <c r="H399" s="322">
        <f>SUM(H6:H398)</f>
        <v>0</v>
      </c>
      <c r="I399" s="260">
        <f>SUM(I6:I398)</f>
        <v>0</v>
      </c>
    </row>
    <row r="400" spans="1:9">
      <c r="A400" s="160"/>
      <c r="B400" s="409"/>
      <c r="C400" s="410"/>
      <c r="D400" s="410"/>
      <c r="E400" s="411"/>
      <c r="F400" s="323">
        <v>0.2</v>
      </c>
      <c r="G400" s="324">
        <f>G399*0.2</f>
        <v>0</v>
      </c>
      <c r="H400" s="324">
        <f>H399*0.2</f>
        <v>0</v>
      </c>
      <c r="I400" s="275">
        <f>I399*0.2</f>
        <v>0</v>
      </c>
    </row>
    <row r="401" spans="1:9" ht="25.8" thickBot="1">
      <c r="A401" s="261"/>
      <c r="B401" s="412"/>
      <c r="C401" s="413"/>
      <c r="D401" s="413"/>
      <c r="E401" s="414"/>
      <c r="F401" s="325" t="s">
        <v>1133</v>
      </c>
      <c r="G401" s="326">
        <f>G399+G400</f>
        <v>0</v>
      </c>
      <c r="H401" s="326">
        <f>H399+H400</f>
        <v>0</v>
      </c>
      <c r="I401" s="279">
        <f>I399+I400</f>
        <v>0</v>
      </c>
    </row>
    <row r="402" spans="1:9" ht="15" thickBot="1">
      <c r="A402" s="261"/>
      <c r="B402" s="327"/>
      <c r="C402" s="328"/>
      <c r="D402" s="328"/>
      <c r="E402" s="329"/>
      <c r="F402" s="333"/>
      <c r="G402" s="330"/>
      <c r="H402" s="330"/>
      <c r="I402" s="331"/>
    </row>
    <row r="403" spans="1:9" ht="17.399999999999999">
      <c r="A403" s="160"/>
      <c r="B403" s="429" t="s">
        <v>1472</v>
      </c>
      <c r="C403" s="430"/>
      <c r="D403" s="430"/>
      <c r="E403" s="430"/>
      <c r="F403" s="430"/>
      <c r="G403" s="430"/>
      <c r="H403" s="430"/>
      <c r="I403" s="431"/>
    </row>
    <row r="404" spans="1:9" ht="15">
      <c r="A404" s="160"/>
      <c r="B404" s="418" t="s">
        <v>1473</v>
      </c>
      <c r="C404" s="419"/>
      <c r="D404" s="419"/>
      <c r="E404" s="419"/>
      <c r="F404" s="419"/>
      <c r="G404" s="419"/>
      <c r="H404" s="419"/>
      <c r="I404" s="420"/>
    </row>
    <row r="405" spans="1:9" ht="15" thickBot="1">
      <c r="A405" s="160"/>
      <c r="B405" s="421" t="s">
        <v>1474</v>
      </c>
      <c r="C405" s="422"/>
      <c r="D405" s="422"/>
      <c r="E405" s="422"/>
      <c r="F405" s="422"/>
      <c r="G405" s="422"/>
      <c r="H405" s="422"/>
      <c r="I405" s="423"/>
    </row>
    <row r="406" spans="1:9" ht="51" thickBot="1">
      <c r="A406" s="170"/>
      <c r="B406" s="424" t="s">
        <v>774</v>
      </c>
      <c r="C406" s="425"/>
      <c r="D406" s="161" t="s">
        <v>48</v>
      </c>
      <c r="E406" s="298" t="s">
        <v>1227</v>
      </c>
      <c r="F406" s="163" t="s">
        <v>776</v>
      </c>
      <c r="G406" s="164" t="s">
        <v>777</v>
      </c>
      <c r="H406" s="164" t="s">
        <v>778</v>
      </c>
      <c r="I406" s="165" t="s">
        <v>779</v>
      </c>
    </row>
    <row r="407" spans="1:9" ht="134.25" customHeight="1" thickBot="1">
      <c r="A407" s="160"/>
      <c r="B407" s="426" t="s">
        <v>787</v>
      </c>
      <c r="C407" s="427"/>
      <c r="D407" s="427"/>
      <c r="E407" s="427"/>
      <c r="F407" s="427"/>
      <c r="G407" s="427"/>
      <c r="H407" s="427"/>
      <c r="I407" s="428"/>
    </row>
    <row r="408" spans="1:9">
      <c r="A408" s="160"/>
      <c r="B408" s="173"/>
      <c r="C408" s="174"/>
      <c r="D408" s="173"/>
      <c r="E408" s="299"/>
      <c r="F408" s="300"/>
      <c r="G408" s="301"/>
      <c r="H408" s="178"/>
      <c r="I408" s="179"/>
    </row>
    <row r="409" spans="1:9">
      <c r="A409" s="189"/>
      <c r="B409" s="153">
        <v>1</v>
      </c>
      <c r="C409" s="154" t="s">
        <v>788</v>
      </c>
      <c r="D409" s="182"/>
      <c r="E409" s="302"/>
      <c r="F409" s="303"/>
      <c r="G409" s="304"/>
      <c r="H409" s="186"/>
      <c r="I409" s="187"/>
    </row>
    <row r="410" spans="1:9">
      <c r="A410" s="160"/>
      <c r="B410" s="155"/>
      <c r="C410" s="156"/>
      <c r="D410" s="190"/>
      <c r="E410" s="305"/>
      <c r="F410" s="300"/>
      <c r="G410" s="301"/>
      <c r="H410" s="192"/>
      <c r="I410" s="179"/>
    </row>
    <row r="411" spans="1:9">
      <c r="A411" s="160"/>
      <c r="B411" s="155"/>
      <c r="C411" s="156"/>
      <c r="D411" s="190"/>
      <c r="E411" s="305"/>
      <c r="F411" s="300"/>
      <c r="G411" s="301"/>
      <c r="H411" s="192"/>
      <c r="I411" s="179"/>
    </row>
    <row r="412" spans="1:9" ht="22.8">
      <c r="A412" s="160"/>
      <c r="B412" s="155"/>
      <c r="C412" s="156" t="s">
        <v>1228</v>
      </c>
      <c r="D412" s="190"/>
      <c r="E412" s="305"/>
      <c r="F412" s="300"/>
      <c r="G412" s="301"/>
      <c r="H412" s="192"/>
      <c r="I412" s="179"/>
    </row>
    <row r="413" spans="1:9">
      <c r="A413" s="160"/>
      <c r="B413" s="155"/>
      <c r="C413" s="156"/>
      <c r="D413" s="190"/>
      <c r="E413" s="305"/>
      <c r="F413" s="300"/>
      <c r="G413" s="301"/>
      <c r="H413" s="192"/>
      <c r="I413" s="179"/>
    </row>
    <row r="414" spans="1:9">
      <c r="A414" s="160"/>
      <c r="B414" s="155"/>
      <c r="C414" s="156"/>
      <c r="D414" s="190"/>
      <c r="E414" s="305"/>
      <c r="F414" s="300"/>
      <c r="G414" s="301"/>
      <c r="H414" s="192"/>
      <c r="I414" s="179"/>
    </row>
    <row r="415" spans="1:9">
      <c r="A415" s="194"/>
      <c r="B415" s="153">
        <v>2</v>
      </c>
      <c r="C415" s="154" t="s">
        <v>1229</v>
      </c>
      <c r="D415" s="182"/>
      <c r="E415" s="302"/>
      <c r="F415" s="303"/>
      <c r="G415" s="304"/>
      <c r="H415" s="186"/>
      <c r="I415" s="187">
        <f>SUM(H416:H426)</f>
        <v>0</v>
      </c>
    </row>
    <row r="416" spans="1:9">
      <c r="A416" s="193"/>
      <c r="B416" s="155"/>
      <c r="C416" s="156"/>
      <c r="D416" s="190"/>
      <c r="E416" s="305"/>
      <c r="F416" s="300"/>
      <c r="G416" s="301"/>
      <c r="H416" s="192"/>
      <c r="I416" s="179"/>
    </row>
    <row r="417" spans="1:9" ht="22.8">
      <c r="A417" s="193"/>
      <c r="B417" s="155"/>
      <c r="C417" s="306" t="s">
        <v>1230</v>
      </c>
      <c r="D417" s="190"/>
      <c r="E417" s="305"/>
      <c r="F417" s="300"/>
      <c r="G417" s="301"/>
      <c r="H417" s="192"/>
      <c r="I417" s="179"/>
    </row>
    <row r="418" spans="1:9">
      <c r="A418" s="193"/>
      <c r="B418" s="155"/>
      <c r="C418" s="156"/>
      <c r="D418" s="190"/>
      <c r="E418" s="305"/>
      <c r="F418" s="300"/>
      <c r="G418" s="301"/>
      <c r="H418" s="192"/>
      <c r="I418" s="179"/>
    </row>
    <row r="419" spans="1:9">
      <c r="A419" s="209"/>
      <c r="B419" s="157" t="str">
        <f>B415&amp;".1"</f>
        <v>2.1</v>
      </c>
      <c r="C419" s="158" t="s">
        <v>1475</v>
      </c>
      <c r="D419" s="195"/>
      <c r="E419" s="307"/>
      <c r="F419" s="300"/>
      <c r="G419" s="301"/>
      <c r="H419" s="192"/>
      <c r="I419" s="179"/>
    </row>
    <row r="420" spans="1:9">
      <c r="A420" s="193"/>
      <c r="B420" s="155"/>
      <c r="C420" s="156"/>
      <c r="D420" s="190"/>
      <c r="E420" s="305"/>
      <c r="F420" s="300"/>
      <c r="G420" s="301"/>
      <c r="H420" s="192"/>
      <c r="I420" s="179"/>
    </row>
    <row r="421" spans="1:9">
      <c r="A421" s="193"/>
      <c r="B421" s="155"/>
      <c r="C421" s="156" t="s">
        <v>1232</v>
      </c>
      <c r="D421" s="190" t="s">
        <v>795</v>
      </c>
      <c r="E421" s="305"/>
      <c r="F421" s="300"/>
      <c r="G421" s="301"/>
      <c r="H421" s="192"/>
      <c r="I421" s="179"/>
    </row>
    <row r="422" spans="1:9">
      <c r="A422" s="193"/>
      <c r="B422" s="155"/>
      <c r="C422" s="197" t="s">
        <v>1233</v>
      </c>
      <c r="D422" s="190" t="s">
        <v>1234</v>
      </c>
      <c r="E422" s="305"/>
      <c r="F422" s="300"/>
      <c r="G422" s="301"/>
      <c r="H422" s="192"/>
      <c r="I422" s="179"/>
    </row>
    <row r="423" spans="1:9">
      <c r="A423" s="193"/>
      <c r="B423" s="155"/>
      <c r="C423" s="197" t="s">
        <v>1235</v>
      </c>
      <c r="D423" s="190" t="s">
        <v>1234</v>
      </c>
      <c r="E423" s="305"/>
      <c r="F423" s="300"/>
      <c r="G423" s="301"/>
      <c r="H423" s="192"/>
      <c r="I423" s="179"/>
    </row>
    <row r="424" spans="1:9">
      <c r="A424" s="193"/>
      <c r="B424" s="155"/>
      <c r="C424" s="197" t="s">
        <v>1236</v>
      </c>
      <c r="D424" s="190" t="s">
        <v>1234</v>
      </c>
      <c r="E424" s="305"/>
      <c r="F424" s="300"/>
      <c r="G424" s="301"/>
      <c r="H424" s="192"/>
      <c r="I424" s="179"/>
    </row>
    <row r="425" spans="1:9">
      <c r="A425" s="193"/>
      <c r="B425" s="155"/>
      <c r="C425" s="197" t="s">
        <v>1237</v>
      </c>
      <c r="D425" s="190" t="s">
        <v>1234</v>
      </c>
      <c r="E425" s="305"/>
      <c r="F425" s="300"/>
      <c r="G425" s="301"/>
      <c r="H425" s="192"/>
      <c r="I425" s="179"/>
    </row>
    <row r="426" spans="1:9">
      <c r="A426" s="193"/>
      <c r="B426" s="155"/>
      <c r="C426" s="197" t="s">
        <v>1238</v>
      </c>
      <c r="D426" s="190" t="s">
        <v>1234</v>
      </c>
      <c r="E426" s="305"/>
      <c r="F426" s="300"/>
      <c r="G426" s="301"/>
      <c r="H426" s="192"/>
      <c r="I426" s="179"/>
    </row>
    <row r="427" spans="1:9">
      <c r="A427" s="193"/>
      <c r="B427" s="155"/>
      <c r="C427" s="156"/>
      <c r="D427" s="190"/>
      <c r="E427" s="305"/>
      <c r="F427" s="300"/>
      <c r="G427" s="301"/>
      <c r="H427" s="192"/>
      <c r="I427" s="179"/>
    </row>
    <row r="428" spans="1:9">
      <c r="A428" s="189"/>
      <c r="B428" s="153">
        <v>3</v>
      </c>
      <c r="C428" s="154" t="s">
        <v>1242</v>
      </c>
      <c r="D428" s="182"/>
      <c r="E428" s="302"/>
      <c r="F428" s="303"/>
      <c r="G428" s="304"/>
      <c r="H428" s="186"/>
      <c r="I428" s="187">
        <f>SUM(H430:H637)</f>
        <v>0</v>
      </c>
    </row>
    <row r="429" spans="1:9">
      <c r="A429" s="160"/>
      <c r="B429" s="155"/>
      <c r="C429" s="156"/>
      <c r="D429" s="190"/>
      <c r="E429" s="305"/>
      <c r="F429" s="300"/>
      <c r="G429" s="301"/>
      <c r="H429" s="192"/>
      <c r="I429" s="179"/>
    </row>
    <row r="430" spans="1:9">
      <c r="A430" s="209"/>
      <c r="B430" s="157">
        <v>3.1</v>
      </c>
      <c r="C430" s="158" t="s">
        <v>1243</v>
      </c>
      <c r="D430" s="195"/>
      <c r="E430" s="307"/>
      <c r="F430" s="300"/>
      <c r="G430" s="301"/>
      <c r="H430" s="192"/>
      <c r="I430" s="179"/>
    </row>
    <row r="431" spans="1:9">
      <c r="A431" s="193"/>
      <c r="B431" s="155"/>
      <c r="C431" s="156"/>
      <c r="D431" s="190"/>
      <c r="E431" s="305"/>
      <c r="F431" s="300"/>
      <c r="G431" s="301"/>
      <c r="H431" s="192"/>
      <c r="I431" s="179"/>
    </row>
    <row r="432" spans="1:9">
      <c r="A432" s="193"/>
      <c r="B432" s="155"/>
      <c r="C432" s="306" t="s">
        <v>1244</v>
      </c>
      <c r="D432" s="190"/>
      <c r="E432" s="305"/>
      <c r="F432" s="300"/>
      <c r="G432" s="301"/>
      <c r="H432" s="192"/>
      <c r="I432" s="179"/>
    </row>
    <row r="433" spans="1:9">
      <c r="A433" s="193"/>
      <c r="B433" s="155" t="s">
        <v>1245</v>
      </c>
      <c r="C433" s="156" t="s">
        <v>1246</v>
      </c>
      <c r="D433" s="190" t="s">
        <v>93</v>
      </c>
      <c r="E433" s="305"/>
      <c r="F433" s="300"/>
      <c r="G433" s="301"/>
      <c r="H433" s="192"/>
      <c r="I433" s="179"/>
    </row>
    <row r="434" spans="1:9">
      <c r="A434" s="193"/>
      <c r="B434" s="155"/>
      <c r="C434" s="306" t="s">
        <v>1247</v>
      </c>
      <c r="D434" s="190"/>
      <c r="E434" s="305"/>
      <c r="F434" s="300"/>
      <c r="G434" s="301"/>
      <c r="H434" s="192"/>
      <c r="I434" s="179"/>
    </row>
    <row r="435" spans="1:9">
      <c r="A435" s="193"/>
      <c r="B435" s="155" t="s">
        <v>1248</v>
      </c>
      <c r="C435" s="156" t="s">
        <v>1249</v>
      </c>
      <c r="D435" s="190" t="s">
        <v>93</v>
      </c>
      <c r="E435" s="305"/>
      <c r="F435" s="300"/>
      <c r="G435" s="301"/>
      <c r="H435" s="192"/>
      <c r="I435" s="179"/>
    </row>
    <row r="436" spans="1:9">
      <c r="A436" s="193"/>
      <c r="B436" s="155" t="s">
        <v>1250</v>
      </c>
      <c r="C436" s="156" t="s">
        <v>1251</v>
      </c>
      <c r="D436" s="190" t="s">
        <v>93</v>
      </c>
      <c r="E436" s="305"/>
      <c r="F436" s="300"/>
      <c r="G436" s="301"/>
      <c r="H436" s="192"/>
      <c r="I436" s="179"/>
    </row>
    <row r="437" spans="1:9">
      <c r="A437" s="193"/>
      <c r="B437" s="155" t="s">
        <v>1252</v>
      </c>
      <c r="C437" s="156" t="s">
        <v>1253</v>
      </c>
      <c r="D437" s="190" t="s">
        <v>93</v>
      </c>
      <c r="E437" s="305"/>
      <c r="F437" s="300"/>
      <c r="G437" s="301"/>
      <c r="H437" s="192"/>
      <c r="I437" s="179"/>
    </row>
    <row r="438" spans="1:9">
      <c r="A438" s="193"/>
      <c r="B438" s="155" t="s">
        <v>1254</v>
      </c>
      <c r="C438" s="156" t="s">
        <v>1255</v>
      </c>
      <c r="D438" s="190" t="s">
        <v>93</v>
      </c>
      <c r="E438" s="305"/>
      <c r="F438" s="300"/>
      <c r="G438" s="301"/>
      <c r="H438" s="192"/>
      <c r="I438" s="179"/>
    </row>
    <row r="439" spans="1:9">
      <c r="A439" s="193"/>
      <c r="B439" s="155"/>
      <c r="C439" s="306" t="s">
        <v>1256</v>
      </c>
      <c r="D439" s="190"/>
      <c r="E439" s="305"/>
      <c r="F439" s="300"/>
      <c r="G439" s="301"/>
      <c r="H439" s="192"/>
      <c r="I439" s="179"/>
    </row>
    <row r="440" spans="1:9">
      <c r="A440" s="193"/>
      <c r="B440" s="155" t="s">
        <v>1257</v>
      </c>
      <c r="C440" s="156" t="s">
        <v>1258</v>
      </c>
      <c r="D440" s="190" t="s">
        <v>93</v>
      </c>
      <c r="E440" s="305"/>
      <c r="F440" s="300"/>
      <c r="G440" s="301"/>
      <c r="H440" s="192"/>
      <c r="I440" s="179"/>
    </row>
    <row r="441" spans="1:9">
      <c r="A441" s="193"/>
      <c r="B441" s="155" t="s">
        <v>1259</v>
      </c>
      <c r="C441" s="156" t="s">
        <v>1260</v>
      </c>
      <c r="D441" s="190" t="s">
        <v>93</v>
      </c>
      <c r="E441" s="305"/>
      <c r="F441" s="300"/>
      <c r="G441" s="301"/>
      <c r="H441" s="192"/>
      <c r="I441" s="179"/>
    </row>
    <row r="442" spans="1:9">
      <c r="A442" s="193"/>
      <c r="B442" s="155" t="s">
        <v>1261</v>
      </c>
      <c r="C442" s="156" t="s">
        <v>1262</v>
      </c>
      <c r="D442" s="190" t="s">
        <v>93</v>
      </c>
      <c r="E442" s="305"/>
      <c r="F442" s="300"/>
      <c r="G442" s="301"/>
      <c r="H442" s="192"/>
      <c r="I442" s="179"/>
    </row>
    <row r="443" spans="1:9">
      <c r="A443" s="193"/>
      <c r="B443" s="155" t="s">
        <v>1263</v>
      </c>
      <c r="C443" s="156" t="s">
        <v>1264</v>
      </c>
      <c r="D443" s="190" t="s">
        <v>93</v>
      </c>
      <c r="E443" s="305"/>
      <c r="F443" s="300"/>
      <c r="G443" s="301"/>
      <c r="H443" s="192"/>
      <c r="I443" s="179"/>
    </row>
    <row r="444" spans="1:9">
      <c r="A444" s="193"/>
      <c r="B444" s="155"/>
      <c r="C444" s="306" t="s">
        <v>1265</v>
      </c>
      <c r="D444" s="190"/>
      <c r="E444" s="305"/>
      <c r="F444" s="300"/>
      <c r="G444" s="301"/>
      <c r="H444" s="192"/>
      <c r="I444" s="179"/>
    </row>
    <row r="445" spans="1:9">
      <c r="A445" s="193"/>
      <c r="B445" s="155" t="s">
        <v>1266</v>
      </c>
      <c r="C445" s="156" t="s">
        <v>1267</v>
      </c>
      <c r="D445" s="190" t="s">
        <v>93</v>
      </c>
      <c r="E445" s="305"/>
      <c r="F445" s="300"/>
      <c r="G445" s="301"/>
      <c r="H445" s="192"/>
      <c r="I445" s="179"/>
    </row>
    <row r="446" spans="1:9">
      <c r="A446" s="193"/>
      <c r="B446" s="155" t="s">
        <v>1268</v>
      </c>
      <c r="C446" s="156" t="s">
        <v>1269</v>
      </c>
      <c r="D446" s="190" t="s">
        <v>93</v>
      </c>
      <c r="E446" s="305"/>
      <c r="F446" s="300"/>
      <c r="G446" s="301"/>
      <c r="H446" s="192"/>
      <c r="I446" s="179"/>
    </row>
    <row r="447" spans="1:9">
      <c r="A447" s="193"/>
      <c r="B447" s="155" t="s">
        <v>1270</v>
      </c>
      <c r="C447" s="156" t="s">
        <v>1271</v>
      </c>
      <c r="D447" s="190" t="s">
        <v>93</v>
      </c>
      <c r="E447" s="305"/>
      <c r="F447" s="300"/>
      <c r="G447" s="301"/>
      <c r="H447" s="192"/>
      <c r="I447" s="179"/>
    </row>
    <row r="448" spans="1:9">
      <c r="A448" s="193"/>
      <c r="B448" s="155" t="s">
        <v>1272</v>
      </c>
      <c r="C448" s="156" t="s">
        <v>1273</v>
      </c>
      <c r="D448" s="190" t="s">
        <v>93</v>
      </c>
      <c r="E448" s="305"/>
      <c r="F448" s="300"/>
      <c r="G448" s="301"/>
      <c r="H448" s="192"/>
      <c r="I448" s="179"/>
    </row>
    <row r="449" spans="1:9">
      <c r="A449" s="193"/>
      <c r="B449" s="155" t="s">
        <v>1274</v>
      </c>
      <c r="C449" s="156" t="s">
        <v>1275</v>
      </c>
      <c r="D449" s="190" t="s">
        <v>93</v>
      </c>
      <c r="E449" s="305"/>
      <c r="F449" s="300"/>
      <c r="G449" s="301"/>
      <c r="H449" s="192"/>
      <c r="I449" s="179"/>
    </row>
    <row r="450" spans="1:9">
      <c r="A450" s="193"/>
      <c r="B450" s="155"/>
      <c r="C450" s="156" t="s">
        <v>1276</v>
      </c>
      <c r="D450" s="190" t="s">
        <v>93</v>
      </c>
      <c r="E450" s="305"/>
      <c r="F450" s="300"/>
      <c r="G450" s="301"/>
      <c r="H450" s="192"/>
      <c r="I450" s="179"/>
    </row>
    <row r="451" spans="1:9">
      <c r="A451" s="193"/>
      <c r="B451" s="155"/>
      <c r="C451" s="156" t="s">
        <v>1277</v>
      </c>
      <c r="D451" s="190" t="s">
        <v>93</v>
      </c>
      <c r="E451" s="305"/>
      <c r="F451" s="300"/>
      <c r="G451" s="301"/>
      <c r="H451" s="192"/>
      <c r="I451" s="179"/>
    </row>
    <row r="452" spans="1:9">
      <c r="A452" s="193"/>
      <c r="B452" s="155" t="s">
        <v>1278</v>
      </c>
      <c r="C452" s="156" t="s">
        <v>1279</v>
      </c>
      <c r="D452" s="190" t="s">
        <v>93</v>
      </c>
      <c r="E452" s="305"/>
      <c r="F452" s="300"/>
      <c r="G452" s="301"/>
      <c r="H452" s="192"/>
      <c r="I452" s="179"/>
    </row>
    <row r="453" spans="1:9">
      <c r="A453" s="193"/>
      <c r="B453" s="155" t="s">
        <v>1280</v>
      </c>
      <c r="C453" s="156" t="s">
        <v>1281</v>
      </c>
      <c r="D453" s="190" t="s">
        <v>93</v>
      </c>
      <c r="E453" s="305"/>
      <c r="F453" s="300"/>
      <c r="G453" s="301"/>
      <c r="H453" s="192"/>
      <c r="I453" s="179"/>
    </row>
    <row r="454" spans="1:9">
      <c r="A454" s="193"/>
      <c r="B454" s="155"/>
      <c r="C454" s="306" t="s">
        <v>1282</v>
      </c>
      <c r="D454" s="190"/>
      <c r="E454" s="305"/>
      <c r="F454" s="300"/>
      <c r="G454" s="301"/>
      <c r="H454" s="192"/>
      <c r="I454" s="179"/>
    </row>
    <row r="455" spans="1:9">
      <c r="A455" s="193"/>
      <c r="B455" s="155" t="s">
        <v>1283</v>
      </c>
      <c r="C455" s="156" t="s">
        <v>1284</v>
      </c>
      <c r="D455" s="190" t="s">
        <v>93</v>
      </c>
      <c r="E455" s="305"/>
      <c r="F455" s="300"/>
      <c r="G455" s="301"/>
      <c r="H455" s="192"/>
      <c r="I455" s="179"/>
    </row>
    <row r="456" spans="1:9">
      <c r="A456" s="193"/>
      <c r="B456" s="155" t="s">
        <v>1285</v>
      </c>
      <c r="C456" s="156" t="s">
        <v>1286</v>
      </c>
      <c r="D456" s="190" t="s">
        <v>93</v>
      </c>
      <c r="E456" s="305"/>
      <c r="F456" s="300"/>
      <c r="G456" s="301"/>
      <c r="H456" s="192"/>
      <c r="I456" s="179"/>
    </row>
    <row r="457" spans="1:9">
      <c r="A457" s="193"/>
      <c r="B457" s="155" t="s">
        <v>1287</v>
      </c>
      <c r="C457" s="156" t="s">
        <v>1288</v>
      </c>
      <c r="D457" s="190" t="s">
        <v>93</v>
      </c>
      <c r="E457" s="305"/>
      <c r="F457" s="300"/>
      <c r="G457" s="301"/>
      <c r="H457" s="192"/>
      <c r="I457" s="179"/>
    </row>
    <row r="458" spans="1:9">
      <c r="A458" s="193"/>
      <c r="B458" s="155" t="s">
        <v>1289</v>
      </c>
      <c r="C458" s="156" t="s">
        <v>1290</v>
      </c>
      <c r="D458" s="190" t="s">
        <v>93</v>
      </c>
      <c r="E458" s="305"/>
      <c r="F458" s="300"/>
      <c r="G458" s="301"/>
      <c r="H458" s="192"/>
      <c r="I458" s="179"/>
    </row>
    <row r="459" spans="1:9">
      <c r="A459" s="193"/>
      <c r="B459" s="155"/>
      <c r="C459" s="156" t="s">
        <v>1291</v>
      </c>
      <c r="D459" s="190" t="s">
        <v>123</v>
      </c>
      <c r="E459" s="305"/>
      <c r="F459" s="300"/>
      <c r="G459" s="301"/>
      <c r="H459" s="192"/>
      <c r="I459" s="179"/>
    </row>
    <row r="460" spans="1:9">
      <c r="A460" s="193"/>
      <c r="B460" s="155"/>
      <c r="C460" s="156" t="s">
        <v>1292</v>
      </c>
      <c r="D460" s="190" t="s">
        <v>123</v>
      </c>
      <c r="E460" s="305"/>
      <c r="F460" s="300"/>
      <c r="G460" s="301"/>
      <c r="H460" s="192"/>
      <c r="I460" s="179"/>
    </row>
    <row r="461" spans="1:9">
      <c r="A461" s="193"/>
      <c r="B461" s="155"/>
      <c r="C461" s="156" t="s">
        <v>1293</v>
      </c>
      <c r="D461" s="190" t="s">
        <v>123</v>
      </c>
      <c r="E461" s="305"/>
      <c r="F461" s="300"/>
      <c r="G461" s="301"/>
      <c r="H461" s="192"/>
      <c r="I461" s="179"/>
    </row>
    <row r="462" spans="1:9">
      <c r="A462" s="193"/>
      <c r="B462" s="155"/>
      <c r="C462" s="156" t="s">
        <v>1294</v>
      </c>
      <c r="D462" s="190" t="s">
        <v>123</v>
      </c>
      <c r="E462" s="305"/>
      <c r="F462" s="300"/>
      <c r="G462" s="301"/>
      <c r="H462" s="192"/>
      <c r="I462" s="179"/>
    </row>
    <row r="463" spans="1:9">
      <c r="A463" s="193"/>
      <c r="B463" s="155"/>
      <c r="C463" s="156" t="s">
        <v>1295</v>
      </c>
      <c r="D463" s="190" t="s">
        <v>123</v>
      </c>
      <c r="E463" s="305"/>
      <c r="F463" s="300"/>
      <c r="G463" s="301"/>
      <c r="H463" s="192"/>
      <c r="I463" s="179"/>
    </row>
    <row r="464" spans="1:9">
      <c r="A464" s="193"/>
      <c r="B464" s="155"/>
      <c r="C464" s="156" t="s">
        <v>1296</v>
      </c>
      <c r="D464" s="190" t="s">
        <v>123</v>
      </c>
      <c r="E464" s="305"/>
      <c r="F464" s="300"/>
      <c r="G464" s="301"/>
      <c r="H464" s="192"/>
      <c r="I464" s="179"/>
    </row>
    <row r="465" spans="1:9">
      <c r="A465" s="193"/>
      <c r="B465" s="155"/>
      <c r="C465" s="156" t="s">
        <v>1297</v>
      </c>
      <c r="D465" s="190" t="s">
        <v>123</v>
      </c>
      <c r="E465" s="305"/>
      <c r="F465" s="300"/>
      <c r="G465" s="301"/>
      <c r="H465" s="192"/>
      <c r="I465" s="179"/>
    </row>
    <row r="466" spans="1:9">
      <c r="A466" s="193"/>
      <c r="B466" s="155"/>
      <c r="C466" s="156"/>
      <c r="D466" s="190"/>
      <c r="E466" s="305"/>
      <c r="F466" s="300"/>
      <c r="G466" s="301"/>
      <c r="H466" s="192"/>
      <c r="I466" s="179"/>
    </row>
    <row r="467" spans="1:9">
      <c r="A467" s="193"/>
      <c r="B467" s="155"/>
      <c r="C467" s="156"/>
      <c r="D467" s="190"/>
      <c r="E467" s="305"/>
      <c r="F467" s="300"/>
      <c r="G467" s="301"/>
      <c r="H467" s="192"/>
      <c r="I467" s="179"/>
    </row>
    <row r="468" spans="1:9">
      <c r="A468" s="209"/>
      <c r="B468" s="157">
        <v>3.2</v>
      </c>
      <c r="C468" s="158" t="s">
        <v>1308</v>
      </c>
      <c r="D468" s="195"/>
      <c r="E468" s="307"/>
      <c r="F468" s="300"/>
      <c r="G468" s="301"/>
      <c r="H468" s="192"/>
      <c r="I468" s="179"/>
    </row>
    <row r="469" spans="1:9">
      <c r="A469" s="193"/>
      <c r="B469" s="155"/>
      <c r="C469" s="156"/>
      <c r="D469" s="190"/>
      <c r="E469" s="305"/>
      <c r="F469" s="300"/>
      <c r="G469" s="301"/>
      <c r="H469" s="192"/>
      <c r="I469" s="179"/>
    </row>
    <row r="470" spans="1:9">
      <c r="A470" s="193"/>
      <c r="B470" s="155"/>
      <c r="C470" s="156" t="s">
        <v>1309</v>
      </c>
      <c r="D470" s="190" t="s">
        <v>795</v>
      </c>
      <c r="E470" s="305"/>
      <c r="F470" s="300"/>
      <c r="G470" s="301"/>
      <c r="H470" s="192"/>
      <c r="I470" s="179"/>
    </row>
    <row r="471" spans="1:9">
      <c r="A471" s="193"/>
      <c r="B471" s="155"/>
      <c r="C471" s="314" t="s">
        <v>1310</v>
      </c>
      <c r="D471" s="190" t="s">
        <v>795</v>
      </c>
      <c r="E471" s="305"/>
      <c r="F471" s="300"/>
      <c r="G471" s="301"/>
      <c r="H471" s="192"/>
      <c r="I471" s="179"/>
    </row>
    <row r="472" spans="1:9">
      <c r="A472" s="193"/>
      <c r="B472" s="155"/>
      <c r="C472" s="314" t="s">
        <v>1311</v>
      </c>
      <c r="D472" s="190" t="s">
        <v>1312</v>
      </c>
      <c r="E472" s="305"/>
      <c r="F472" s="300"/>
      <c r="G472" s="301"/>
      <c r="H472" s="192"/>
      <c r="I472" s="179"/>
    </row>
    <row r="473" spans="1:9">
      <c r="A473" s="193"/>
      <c r="B473" s="155"/>
      <c r="C473" s="314" t="s">
        <v>1313</v>
      </c>
      <c r="D473" s="190" t="s">
        <v>795</v>
      </c>
      <c r="E473" s="305"/>
      <c r="F473" s="300"/>
      <c r="G473" s="301"/>
      <c r="H473" s="192"/>
      <c r="I473" s="179"/>
    </row>
    <row r="474" spans="1:9">
      <c r="A474" s="193"/>
      <c r="B474" s="155"/>
      <c r="C474" s="156"/>
      <c r="D474" s="190"/>
      <c r="E474" s="305"/>
      <c r="F474" s="300"/>
      <c r="G474" s="301"/>
      <c r="H474" s="192"/>
      <c r="I474" s="179"/>
    </row>
    <row r="475" spans="1:9">
      <c r="A475" s="193"/>
      <c r="B475" s="155"/>
      <c r="C475" s="158" t="s">
        <v>1314</v>
      </c>
      <c r="D475" s="190" t="s">
        <v>795</v>
      </c>
      <c r="E475" s="305"/>
      <c r="F475" s="300"/>
      <c r="G475" s="301"/>
      <c r="H475" s="192"/>
      <c r="I475" s="179"/>
    </row>
    <row r="476" spans="1:9">
      <c r="A476" s="193"/>
      <c r="B476" s="155"/>
      <c r="C476" s="314" t="s">
        <v>1476</v>
      </c>
      <c r="D476" s="190" t="s">
        <v>1234</v>
      </c>
      <c r="E476" s="305"/>
      <c r="F476" s="300"/>
      <c r="G476" s="301"/>
      <c r="H476" s="192"/>
      <c r="I476" s="179"/>
    </row>
    <row r="477" spans="1:9">
      <c r="A477" s="193"/>
      <c r="B477" s="155"/>
      <c r="C477" s="314" t="s">
        <v>1477</v>
      </c>
      <c r="D477" s="190" t="s">
        <v>1234</v>
      </c>
      <c r="E477" s="305"/>
      <c r="F477" s="300"/>
      <c r="G477" s="301"/>
      <c r="H477" s="192"/>
      <c r="I477" s="179"/>
    </row>
    <row r="478" spans="1:9">
      <c r="A478" s="193"/>
      <c r="B478" s="155"/>
      <c r="C478" s="314" t="s">
        <v>1478</v>
      </c>
      <c r="D478" s="190" t="s">
        <v>1234</v>
      </c>
      <c r="E478" s="305"/>
      <c r="F478" s="300"/>
      <c r="G478" s="301"/>
      <c r="H478" s="192"/>
      <c r="I478" s="179"/>
    </row>
    <row r="479" spans="1:9">
      <c r="A479" s="193"/>
      <c r="B479" s="155"/>
      <c r="C479" s="314" t="s">
        <v>1479</v>
      </c>
      <c r="D479" s="190" t="s">
        <v>1234</v>
      </c>
      <c r="E479" s="305"/>
      <c r="F479" s="300"/>
      <c r="G479" s="301"/>
      <c r="H479" s="192"/>
      <c r="I479" s="179"/>
    </row>
    <row r="480" spans="1:9">
      <c r="A480" s="193"/>
      <c r="B480" s="155"/>
      <c r="C480" s="314" t="s">
        <v>1480</v>
      </c>
      <c r="D480" s="190" t="s">
        <v>1234</v>
      </c>
      <c r="E480" s="305"/>
      <c r="F480" s="300"/>
      <c r="G480" s="301"/>
      <c r="H480" s="192"/>
      <c r="I480" s="179"/>
    </row>
    <row r="481" spans="1:9">
      <c r="A481" s="193"/>
      <c r="B481" s="155"/>
      <c r="C481" s="314" t="s">
        <v>1481</v>
      </c>
      <c r="D481" s="190" t="s">
        <v>1234</v>
      </c>
      <c r="E481" s="305"/>
      <c r="F481" s="300"/>
      <c r="G481" s="301"/>
      <c r="H481" s="192"/>
      <c r="I481" s="179"/>
    </row>
    <row r="482" spans="1:9">
      <c r="A482" s="193"/>
      <c r="B482" s="155"/>
      <c r="C482" s="314" t="s">
        <v>1482</v>
      </c>
      <c r="D482" s="190" t="s">
        <v>1234</v>
      </c>
      <c r="E482" s="305"/>
      <c r="F482" s="300"/>
      <c r="G482" s="301"/>
      <c r="H482" s="192"/>
      <c r="I482" s="179"/>
    </row>
    <row r="483" spans="1:9">
      <c r="A483" s="193"/>
      <c r="B483" s="155"/>
      <c r="C483" s="314" t="s">
        <v>1483</v>
      </c>
      <c r="D483" s="190" t="s">
        <v>1234</v>
      </c>
      <c r="E483" s="305"/>
      <c r="F483" s="300"/>
      <c r="G483" s="301"/>
      <c r="H483" s="192"/>
      <c r="I483" s="179"/>
    </row>
    <row r="484" spans="1:9">
      <c r="A484" s="193"/>
      <c r="B484" s="155"/>
      <c r="C484" s="156"/>
      <c r="D484" s="190"/>
      <c r="E484" s="305"/>
      <c r="F484" s="300"/>
      <c r="G484" s="301"/>
      <c r="H484" s="192"/>
      <c r="I484" s="179"/>
    </row>
    <row r="485" spans="1:9">
      <c r="A485" s="193"/>
      <c r="B485" s="155"/>
      <c r="C485" s="156"/>
      <c r="D485" s="190"/>
      <c r="E485" s="305"/>
      <c r="F485" s="300"/>
      <c r="G485" s="301"/>
      <c r="H485" s="192"/>
      <c r="I485" s="179"/>
    </row>
    <row r="486" spans="1:9">
      <c r="A486" s="209"/>
      <c r="B486" s="157">
        <v>3.3</v>
      </c>
      <c r="C486" s="158" t="s">
        <v>1484</v>
      </c>
      <c r="D486" s="195"/>
      <c r="E486" s="307"/>
      <c r="F486" s="300"/>
      <c r="G486" s="301"/>
      <c r="H486" s="192"/>
      <c r="I486" s="179"/>
    </row>
    <row r="487" spans="1:9">
      <c r="A487" s="193"/>
      <c r="B487" s="155"/>
      <c r="C487" s="156"/>
      <c r="D487" s="190"/>
      <c r="E487" s="305"/>
      <c r="F487" s="300"/>
      <c r="G487" s="301"/>
      <c r="H487" s="192"/>
      <c r="I487" s="179"/>
    </row>
    <row r="488" spans="1:9">
      <c r="A488" s="193"/>
      <c r="B488" s="155"/>
      <c r="C488" s="156" t="s">
        <v>1485</v>
      </c>
      <c r="D488" s="190" t="s">
        <v>795</v>
      </c>
      <c r="E488" s="305"/>
      <c r="F488" s="300"/>
      <c r="G488" s="301"/>
      <c r="H488" s="192"/>
      <c r="I488" s="179"/>
    </row>
    <row r="489" spans="1:9">
      <c r="A489" s="193"/>
      <c r="B489" s="155"/>
      <c r="C489" s="197" t="s">
        <v>1320</v>
      </c>
      <c r="D489" s="190" t="s">
        <v>1234</v>
      </c>
      <c r="E489" s="305"/>
      <c r="F489" s="300"/>
      <c r="G489" s="301"/>
      <c r="H489" s="192"/>
      <c r="I489" s="179"/>
    </row>
    <row r="490" spans="1:9">
      <c r="A490" s="193"/>
      <c r="B490" s="155"/>
      <c r="C490" s="197" t="s">
        <v>1321</v>
      </c>
      <c r="D490" s="190" t="s">
        <v>1234</v>
      </c>
      <c r="E490" s="305"/>
      <c r="F490" s="300"/>
      <c r="G490" s="301"/>
      <c r="H490" s="192"/>
      <c r="I490" s="179"/>
    </row>
    <row r="491" spans="1:9">
      <c r="A491" s="193"/>
      <c r="B491" s="155"/>
      <c r="C491" s="197" t="s">
        <v>1322</v>
      </c>
      <c r="D491" s="190" t="s">
        <v>1234</v>
      </c>
      <c r="E491" s="305"/>
      <c r="F491" s="300"/>
      <c r="G491" s="301"/>
      <c r="H491" s="192"/>
      <c r="I491" s="179"/>
    </row>
    <row r="492" spans="1:9">
      <c r="A492" s="193"/>
      <c r="B492" s="155"/>
      <c r="C492" s="197" t="s">
        <v>1323</v>
      </c>
      <c r="D492" s="190" t="s">
        <v>1234</v>
      </c>
      <c r="E492" s="305"/>
      <c r="F492" s="300"/>
      <c r="G492" s="301"/>
      <c r="H492" s="192"/>
      <c r="I492" s="179"/>
    </row>
    <row r="493" spans="1:9">
      <c r="A493" s="193"/>
      <c r="B493" s="155"/>
      <c r="C493" s="197" t="s">
        <v>1324</v>
      </c>
      <c r="D493" s="190" t="s">
        <v>1234</v>
      </c>
      <c r="E493" s="305"/>
      <c r="F493" s="300"/>
      <c r="G493" s="301"/>
      <c r="H493" s="192"/>
      <c r="I493" s="179"/>
    </row>
    <row r="494" spans="1:9">
      <c r="A494" s="193"/>
      <c r="B494" s="155"/>
      <c r="C494" s="156" t="s">
        <v>1238</v>
      </c>
      <c r="D494" s="190" t="s">
        <v>1234</v>
      </c>
      <c r="E494" s="305"/>
      <c r="F494" s="300"/>
      <c r="G494" s="301"/>
      <c r="H494" s="192"/>
      <c r="I494" s="179"/>
    </row>
    <row r="495" spans="1:9">
      <c r="A495" s="193"/>
      <c r="B495" s="155"/>
      <c r="C495" s="156"/>
      <c r="D495" s="190"/>
      <c r="E495" s="305"/>
      <c r="F495" s="300"/>
      <c r="G495" s="301"/>
      <c r="H495" s="192"/>
      <c r="I495" s="179"/>
    </row>
    <row r="496" spans="1:9">
      <c r="A496" s="193"/>
      <c r="B496" s="155"/>
      <c r="C496" s="158" t="s">
        <v>1325</v>
      </c>
      <c r="D496" s="190"/>
      <c r="E496" s="305"/>
      <c r="F496" s="300"/>
      <c r="G496" s="301"/>
      <c r="H496" s="192"/>
      <c r="I496" s="179"/>
    </row>
    <row r="497" spans="1:9">
      <c r="A497" s="193"/>
      <c r="B497" s="155"/>
      <c r="C497" s="197" t="s">
        <v>1486</v>
      </c>
      <c r="D497" s="190" t="s">
        <v>123</v>
      </c>
      <c r="E497" s="305"/>
      <c r="F497" s="300"/>
      <c r="G497" s="301"/>
      <c r="H497" s="192"/>
      <c r="I497" s="179"/>
    </row>
    <row r="498" spans="1:9">
      <c r="A498" s="193"/>
      <c r="B498" s="155"/>
      <c r="C498" s="156" t="s">
        <v>1334</v>
      </c>
      <c r="D498" s="190" t="s">
        <v>123</v>
      </c>
      <c r="E498" s="305"/>
      <c r="F498" s="300"/>
      <c r="G498" s="301"/>
      <c r="H498" s="192"/>
      <c r="I498" s="179"/>
    </row>
    <row r="499" spans="1:9">
      <c r="A499" s="193"/>
      <c r="B499" s="155"/>
      <c r="C499" s="156"/>
      <c r="D499" s="190"/>
      <c r="E499" s="305"/>
      <c r="F499" s="300"/>
      <c r="G499" s="301"/>
      <c r="H499" s="192"/>
      <c r="I499" s="179"/>
    </row>
    <row r="500" spans="1:9">
      <c r="A500" s="193"/>
      <c r="B500" s="155"/>
      <c r="C500" s="156"/>
      <c r="D500" s="190"/>
      <c r="E500" s="305"/>
      <c r="F500" s="300"/>
      <c r="G500" s="301"/>
      <c r="H500" s="192"/>
      <c r="I500" s="179"/>
    </row>
    <row r="501" spans="1:9">
      <c r="A501" s="209"/>
      <c r="B501" s="157">
        <v>3.4</v>
      </c>
      <c r="C501" s="158" t="s">
        <v>1335</v>
      </c>
      <c r="D501" s="195" t="s">
        <v>106</v>
      </c>
      <c r="E501" s="307"/>
      <c r="F501" s="300"/>
      <c r="G501" s="301"/>
      <c r="H501" s="192"/>
      <c r="I501" s="179"/>
    </row>
    <row r="502" spans="1:9">
      <c r="A502" s="193"/>
      <c r="B502" s="155"/>
      <c r="C502" s="156"/>
      <c r="D502" s="190"/>
      <c r="E502" s="305"/>
      <c r="F502" s="300"/>
      <c r="G502" s="301"/>
      <c r="H502" s="192"/>
      <c r="I502" s="179"/>
    </row>
    <row r="503" spans="1:9">
      <c r="A503" s="193"/>
      <c r="B503" s="155"/>
      <c r="C503" s="197" t="s">
        <v>1336</v>
      </c>
      <c r="D503" s="190" t="s">
        <v>795</v>
      </c>
      <c r="E503" s="305"/>
      <c r="F503" s="300"/>
      <c r="G503" s="301"/>
      <c r="H503" s="192"/>
      <c r="I503" s="179"/>
    </row>
    <row r="504" spans="1:9">
      <c r="A504" s="193"/>
      <c r="B504" s="155"/>
      <c r="C504" s="156" t="s">
        <v>1337</v>
      </c>
      <c r="D504" s="190" t="s">
        <v>1234</v>
      </c>
      <c r="E504" s="305"/>
      <c r="F504" s="300"/>
      <c r="G504" s="301"/>
      <c r="H504" s="192"/>
      <c r="I504" s="179"/>
    </row>
    <row r="505" spans="1:9">
      <c r="A505" s="193"/>
      <c r="B505" s="155"/>
      <c r="C505" s="156"/>
      <c r="D505" s="190"/>
      <c r="E505" s="305"/>
      <c r="F505" s="300"/>
      <c r="G505" s="301"/>
      <c r="H505" s="192"/>
      <c r="I505" s="179"/>
    </row>
    <row r="506" spans="1:9">
      <c r="A506" s="193"/>
      <c r="B506" s="155"/>
      <c r="C506" s="156"/>
      <c r="D506" s="190"/>
      <c r="E506" s="305"/>
      <c r="F506" s="300"/>
      <c r="G506" s="301"/>
      <c r="H506" s="192"/>
      <c r="I506" s="179"/>
    </row>
    <row r="507" spans="1:9">
      <c r="A507" s="209"/>
      <c r="B507" s="157">
        <v>3.5</v>
      </c>
      <c r="C507" s="158" t="s">
        <v>1338</v>
      </c>
      <c r="D507" s="195" t="s">
        <v>1487</v>
      </c>
      <c r="E507" s="307"/>
      <c r="F507" s="300"/>
      <c r="G507" s="301"/>
      <c r="H507" s="192"/>
      <c r="I507" s="179"/>
    </row>
    <row r="508" spans="1:9">
      <c r="A508" s="193"/>
      <c r="B508" s="155"/>
      <c r="C508" s="156"/>
      <c r="D508" s="190"/>
      <c r="E508" s="305"/>
      <c r="F508" s="300"/>
      <c r="G508" s="301"/>
      <c r="H508" s="192"/>
      <c r="I508" s="179"/>
    </row>
    <row r="509" spans="1:9">
      <c r="A509" s="193"/>
      <c r="B509" s="155"/>
      <c r="C509" s="156" t="s">
        <v>1339</v>
      </c>
      <c r="D509" s="190" t="s">
        <v>93</v>
      </c>
      <c r="E509" s="305"/>
      <c r="F509" s="300"/>
      <c r="G509" s="301"/>
      <c r="H509" s="192"/>
      <c r="I509" s="179"/>
    </row>
    <row r="510" spans="1:9">
      <c r="A510" s="193"/>
      <c r="B510" s="155"/>
      <c r="C510" s="156" t="s">
        <v>1340</v>
      </c>
      <c r="D510" s="190" t="s">
        <v>795</v>
      </c>
      <c r="E510" s="305"/>
      <c r="F510" s="300"/>
      <c r="G510" s="301"/>
      <c r="H510" s="192"/>
      <c r="I510" s="179"/>
    </row>
    <row r="511" spans="1:9">
      <c r="A511" s="193"/>
      <c r="B511" s="155"/>
      <c r="C511" s="156" t="s">
        <v>1337</v>
      </c>
      <c r="D511" s="190" t="s">
        <v>795</v>
      </c>
      <c r="E511" s="305"/>
      <c r="F511" s="300"/>
      <c r="G511" s="301"/>
      <c r="H511" s="192"/>
      <c r="I511" s="179"/>
    </row>
    <row r="512" spans="1:9">
      <c r="A512" s="193"/>
      <c r="B512" s="155"/>
      <c r="C512" s="156"/>
      <c r="D512" s="190"/>
      <c r="E512" s="305"/>
      <c r="F512" s="300"/>
      <c r="G512" s="301"/>
      <c r="H512" s="192"/>
      <c r="I512" s="179"/>
    </row>
    <row r="513" spans="1:9">
      <c r="A513" s="193"/>
      <c r="B513" s="155"/>
      <c r="C513" s="156"/>
      <c r="D513" s="190"/>
      <c r="E513" s="305"/>
      <c r="F513" s="300"/>
      <c r="G513" s="301"/>
      <c r="H513" s="192"/>
      <c r="I513" s="179"/>
    </row>
    <row r="514" spans="1:9">
      <c r="A514" s="209"/>
      <c r="B514" s="157">
        <v>3.6</v>
      </c>
      <c r="C514" s="158" t="s">
        <v>1341</v>
      </c>
      <c r="D514" s="195"/>
      <c r="E514" s="307"/>
      <c r="F514" s="300"/>
      <c r="G514" s="301"/>
      <c r="H514" s="192"/>
      <c r="I514" s="179"/>
    </row>
    <row r="515" spans="1:9">
      <c r="A515" s="193"/>
      <c r="B515" s="155"/>
      <c r="C515" s="156"/>
      <c r="D515" s="190"/>
      <c r="E515" s="305"/>
      <c r="F515" s="300"/>
      <c r="G515" s="301"/>
      <c r="H515" s="192"/>
      <c r="I515" s="179"/>
    </row>
    <row r="516" spans="1:9">
      <c r="A516" s="193"/>
      <c r="B516" s="155"/>
      <c r="C516" s="156" t="s">
        <v>1342</v>
      </c>
      <c r="D516" s="190" t="s">
        <v>123</v>
      </c>
      <c r="E516" s="305"/>
      <c r="F516" s="300"/>
      <c r="G516" s="301"/>
      <c r="H516" s="192"/>
      <c r="I516" s="179"/>
    </row>
    <row r="517" spans="1:9">
      <c r="A517" s="193"/>
      <c r="B517" s="155"/>
      <c r="C517" s="156" t="s">
        <v>1343</v>
      </c>
      <c r="D517" s="190" t="s">
        <v>123</v>
      </c>
      <c r="E517" s="305"/>
      <c r="F517" s="300"/>
      <c r="G517" s="301"/>
      <c r="H517" s="192"/>
      <c r="I517" s="179"/>
    </row>
    <row r="518" spans="1:9">
      <c r="A518" s="193"/>
      <c r="B518" s="155"/>
      <c r="C518" s="156" t="s">
        <v>1344</v>
      </c>
      <c r="D518" s="190" t="s">
        <v>123</v>
      </c>
      <c r="E518" s="305"/>
      <c r="F518" s="300"/>
      <c r="G518" s="301"/>
      <c r="H518" s="192"/>
      <c r="I518" s="179"/>
    </row>
    <row r="519" spans="1:9">
      <c r="A519" s="193"/>
      <c r="B519" s="155"/>
      <c r="C519" s="156" t="s">
        <v>1345</v>
      </c>
      <c r="D519" s="190" t="s">
        <v>123</v>
      </c>
      <c r="E519" s="305"/>
      <c r="F519" s="300"/>
      <c r="G519" s="301"/>
      <c r="H519" s="192"/>
      <c r="I519" s="179"/>
    </row>
    <row r="520" spans="1:9">
      <c r="A520" s="193"/>
      <c r="B520" s="155"/>
      <c r="C520" s="156" t="s">
        <v>1346</v>
      </c>
      <c r="D520" s="190" t="s">
        <v>123</v>
      </c>
      <c r="E520" s="305"/>
      <c r="F520" s="300"/>
      <c r="G520" s="301"/>
      <c r="H520" s="192"/>
      <c r="I520" s="179"/>
    </row>
    <row r="521" spans="1:9">
      <c r="A521" s="193"/>
      <c r="B521" s="155"/>
      <c r="C521" s="156" t="s">
        <v>1347</v>
      </c>
      <c r="D521" s="190" t="s">
        <v>123</v>
      </c>
      <c r="E521" s="305"/>
      <c r="F521" s="300"/>
      <c r="G521" s="301"/>
      <c r="H521" s="192"/>
      <c r="I521" s="179"/>
    </row>
    <row r="522" spans="1:9">
      <c r="A522" s="193"/>
      <c r="B522" s="155"/>
      <c r="C522" s="156" t="s">
        <v>1348</v>
      </c>
      <c r="D522" s="190" t="s">
        <v>123</v>
      </c>
      <c r="E522" s="305"/>
      <c r="F522" s="300"/>
      <c r="G522" s="301"/>
      <c r="H522" s="192"/>
      <c r="I522" s="179"/>
    </row>
    <row r="523" spans="1:9" ht="22.8">
      <c r="A523" s="193"/>
      <c r="B523" s="155"/>
      <c r="C523" s="156" t="s">
        <v>1349</v>
      </c>
      <c r="D523" s="190" t="s">
        <v>123</v>
      </c>
      <c r="E523" s="305"/>
      <c r="F523" s="300"/>
      <c r="G523" s="301"/>
      <c r="H523" s="192"/>
      <c r="I523" s="179"/>
    </row>
    <row r="524" spans="1:9" ht="22.8">
      <c r="A524" s="193"/>
      <c r="B524" s="155"/>
      <c r="C524" s="156" t="s">
        <v>1488</v>
      </c>
      <c r="D524" s="190" t="s">
        <v>123</v>
      </c>
      <c r="E524" s="305"/>
      <c r="F524" s="300"/>
      <c r="G524" s="301"/>
      <c r="H524" s="192"/>
      <c r="I524" s="179"/>
    </row>
    <row r="525" spans="1:9">
      <c r="A525" s="193"/>
      <c r="B525" s="155"/>
      <c r="C525" s="156" t="s">
        <v>1351</v>
      </c>
      <c r="D525" s="190" t="s">
        <v>1234</v>
      </c>
      <c r="E525" s="305"/>
      <c r="F525" s="300"/>
      <c r="G525" s="301"/>
      <c r="H525" s="192"/>
      <c r="I525" s="179"/>
    </row>
    <row r="526" spans="1:9">
      <c r="A526" s="193"/>
      <c r="B526" s="155"/>
      <c r="C526" s="156" t="s">
        <v>1352</v>
      </c>
      <c r="D526" s="190" t="s">
        <v>1234</v>
      </c>
      <c r="E526" s="305"/>
      <c r="F526" s="300"/>
      <c r="G526" s="301"/>
      <c r="H526" s="192"/>
      <c r="I526" s="179"/>
    </row>
    <row r="527" spans="1:9">
      <c r="A527" s="193"/>
      <c r="B527" s="155"/>
      <c r="C527" s="156" t="s">
        <v>1353</v>
      </c>
      <c r="D527" s="190" t="s">
        <v>1234</v>
      </c>
      <c r="E527" s="305"/>
      <c r="F527" s="300"/>
      <c r="G527" s="301"/>
      <c r="H527" s="192"/>
      <c r="I527" s="179"/>
    </row>
    <row r="528" spans="1:9">
      <c r="A528" s="193"/>
      <c r="B528" s="155"/>
      <c r="C528" s="156"/>
      <c r="D528" s="190"/>
      <c r="E528" s="305"/>
      <c r="F528" s="300"/>
      <c r="G528" s="301"/>
      <c r="H528" s="192"/>
      <c r="I528" s="179"/>
    </row>
    <row r="529" spans="1:9">
      <c r="A529" s="193"/>
      <c r="B529" s="155"/>
      <c r="C529" s="156"/>
      <c r="D529" s="190"/>
      <c r="E529" s="305"/>
      <c r="F529" s="300"/>
      <c r="G529" s="301"/>
      <c r="H529" s="192"/>
      <c r="I529" s="179"/>
    </row>
    <row r="530" spans="1:9">
      <c r="A530" s="209"/>
      <c r="B530" s="157">
        <v>3.7</v>
      </c>
      <c r="C530" s="158" t="s">
        <v>1354</v>
      </c>
      <c r="D530" s="195"/>
      <c r="E530" s="307"/>
      <c r="F530" s="300"/>
      <c r="G530" s="301"/>
      <c r="H530" s="192"/>
      <c r="I530" s="179"/>
    </row>
    <row r="531" spans="1:9">
      <c r="A531" s="193"/>
      <c r="B531" s="155"/>
      <c r="C531" s="156"/>
      <c r="D531" s="190"/>
      <c r="E531" s="305"/>
      <c r="F531" s="300"/>
      <c r="G531" s="301"/>
      <c r="H531" s="192"/>
      <c r="I531" s="179"/>
    </row>
    <row r="532" spans="1:9">
      <c r="A532" s="193"/>
      <c r="B532" s="155"/>
      <c r="C532" s="156" t="s">
        <v>1355</v>
      </c>
      <c r="D532" s="190" t="s">
        <v>1234</v>
      </c>
      <c r="E532" s="305"/>
      <c r="F532" s="300"/>
      <c r="G532" s="301"/>
      <c r="H532" s="192"/>
      <c r="I532" s="179"/>
    </row>
    <row r="533" spans="1:9">
      <c r="A533" s="193"/>
      <c r="B533" s="155"/>
      <c r="C533" s="197" t="s">
        <v>1356</v>
      </c>
      <c r="D533" s="190" t="s">
        <v>1234</v>
      </c>
      <c r="E533" s="305"/>
      <c r="F533" s="300"/>
      <c r="G533" s="301"/>
      <c r="H533" s="192"/>
      <c r="I533" s="179"/>
    </row>
    <row r="534" spans="1:9">
      <c r="A534" s="193"/>
      <c r="B534" s="155"/>
      <c r="C534" s="197" t="s">
        <v>1357</v>
      </c>
      <c r="D534" s="190" t="s">
        <v>123</v>
      </c>
      <c r="E534" s="305"/>
      <c r="F534" s="300"/>
      <c r="G534" s="301"/>
      <c r="H534" s="192"/>
      <c r="I534" s="179"/>
    </row>
    <row r="535" spans="1:9">
      <c r="A535" s="193"/>
      <c r="B535" s="155"/>
      <c r="C535" s="197" t="s">
        <v>1358</v>
      </c>
      <c r="D535" s="190" t="s">
        <v>123</v>
      </c>
      <c r="E535" s="305"/>
      <c r="F535" s="300"/>
      <c r="G535" s="301"/>
      <c r="H535" s="192"/>
      <c r="I535" s="179"/>
    </row>
    <row r="536" spans="1:9">
      <c r="A536" s="193"/>
      <c r="B536" s="155"/>
      <c r="C536" s="197" t="s">
        <v>1359</v>
      </c>
      <c r="D536" s="190" t="s">
        <v>123</v>
      </c>
      <c r="E536" s="305"/>
      <c r="F536" s="300"/>
      <c r="G536" s="301"/>
      <c r="H536" s="192"/>
      <c r="I536" s="179"/>
    </row>
    <row r="537" spans="1:9">
      <c r="A537" s="193"/>
      <c r="B537" s="155"/>
      <c r="C537" s="197" t="s">
        <v>1360</v>
      </c>
      <c r="D537" s="190" t="s">
        <v>123</v>
      </c>
      <c r="E537" s="305"/>
      <c r="F537" s="300"/>
      <c r="G537" s="301"/>
      <c r="H537" s="192"/>
      <c r="I537" s="179"/>
    </row>
    <row r="538" spans="1:9">
      <c r="A538" s="193"/>
      <c r="B538" s="155"/>
      <c r="C538" s="197" t="s">
        <v>1361</v>
      </c>
      <c r="D538" s="190" t="s">
        <v>123</v>
      </c>
      <c r="E538" s="305"/>
      <c r="F538" s="300"/>
      <c r="G538" s="301"/>
      <c r="H538" s="192"/>
      <c r="I538" s="179"/>
    </row>
    <row r="539" spans="1:9">
      <c r="A539" s="193"/>
      <c r="B539" s="155"/>
      <c r="C539" s="197" t="s">
        <v>1362</v>
      </c>
      <c r="D539" s="190" t="s">
        <v>123</v>
      </c>
      <c r="E539" s="305"/>
      <c r="F539" s="300"/>
      <c r="G539" s="301"/>
      <c r="H539" s="192"/>
      <c r="I539" s="179"/>
    </row>
    <row r="540" spans="1:9">
      <c r="A540" s="193"/>
      <c r="B540" s="155"/>
      <c r="C540" s="156"/>
      <c r="D540" s="190"/>
      <c r="E540" s="305"/>
      <c r="F540" s="300"/>
      <c r="G540" s="301"/>
      <c r="H540" s="192"/>
      <c r="I540" s="179"/>
    </row>
    <row r="541" spans="1:9">
      <c r="A541" s="193"/>
      <c r="B541" s="155"/>
      <c r="C541" s="156"/>
      <c r="D541" s="190"/>
      <c r="E541" s="305"/>
      <c r="F541" s="300"/>
      <c r="G541" s="301"/>
      <c r="H541" s="192"/>
      <c r="I541" s="179"/>
    </row>
    <row r="542" spans="1:9">
      <c r="A542" s="209"/>
      <c r="B542" s="157">
        <v>3.8</v>
      </c>
      <c r="C542" s="158" t="s">
        <v>1364</v>
      </c>
      <c r="D542" s="195"/>
      <c r="E542" s="307"/>
      <c r="F542" s="300"/>
      <c r="G542" s="301"/>
      <c r="H542" s="192"/>
      <c r="I542" s="179"/>
    </row>
    <row r="543" spans="1:9">
      <c r="A543" s="193"/>
      <c r="B543" s="155"/>
      <c r="C543" s="156"/>
      <c r="D543" s="190"/>
      <c r="E543" s="305"/>
      <c r="F543" s="300"/>
      <c r="G543" s="301"/>
      <c r="H543" s="192"/>
      <c r="I543" s="179"/>
    </row>
    <row r="544" spans="1:9">
      <c r="A544" s="193"/>
      <c r="B544" s="155"/>
      <c r="C544" s="156" t="s">
        <v>1365</v>
      </c>
      <c r="D544" s="190" t="s">
        <v>93</v>
      </c>
      <c r="E544" s="305"/>
      <c r="F544" s="300"/>
      <c r="G544" s="301"/>
      <c r="H544" s="192"/>
      <c r="I544" s="179"/>
    </row>
    <row r="545" spans="1:9">
      <c r="A545" s="193"/>
      <c r="B545" s="155"/>
      <c r="C545" s="156" t="s">
        <v>1366</v>
      </c>
      <c r="D545" s="190" t="s">
        <v>93</v>
      </c>
      <c r="E545" s="305"/>
      <c r="F545" s="300"/>
      <c r="G545" s="301"/>
      <c r="H545" s="192"/>
      <c r="I545" s="179"/>
    </row>
    <row r="546" spans="1:9">
      <c r="A546" s="193"/>
      <c r="B546" s="155"/>
      <c r="C546" s="156" t="s">
        <v>1367</v>
      </c>
      <c r="D546" s="190" t="s">
        <v>93</v>
      </c>
      <c r="E546" s="305"/>
      <c r="F546" s="300"/>
      <c r="G546" s="301"/>
      <c r="H546" s="192"/>
      <c r="I546" s="179"/>
    </row>
    <row r="547" spans="1:9">
      <c r="A547" s="193"/>
      <c r="B547" s="155"/>
      <c r="C547" s="156" t="s">
        <v>1368</v>
      </c>
      <c r="D547" s="190" t="s">
        <v>93</v>
      </c>
      <c r="E547" s="305"/>
      <c r="F547" s="300"/>
      <c r="G547" s="301"/>
      <c r="H547" s="192"/>
      <c r="I547" s="179"/>
    </row>
    <row r="548" spans="1:9">
      <c r="A548" s="193"/>
      <c r="B548" s="155"/>
      <c r="C548" s="156" t="s">
        <v>1369</v>
      </c>
      <c r="D548" s="190" t="s">
        <v>93</v>
      </c>
      <c r="E548" s="305"/>
      <c r="F548" s="300"/>
      <c r="G548" s="301"/>
      <c r="H548" s="192"/>
      <c r="I548" s="179"/>
    </row>
    <row r="549" spans="1:9">
      <c r="A549" s="193"/>
      <c r="B549" s="155"/>
      <c r="C549" s="156" t="s">
        <v>1370</v>
      </c>
      <c r="D549" s="190" t="s">
        <v>93</v>
      </c>
      <c r="E549" s="305"/>
      <c r="F549" s="300"/>
      <c r="G549" s="301"/>
      <c r="H549" s="192"/>
      <c r="I549" s="179"/>
    </row>
    <row r="550" spans="1:9">
      <c r="A550" s="193"/>
      <c r="B550" s="155"/>
      <c r="C550" s="156" t="s">
        <v>1489</v>
      </c>
      <c r="D550" s="190" t="s">
        <v>93</v>
      </c>
      <c r="E550" s="305"/>
      <c r="F550" s="300"/>
      <c r="G550" s="301"/>
      <c r="H550" s="192"/>
      <c r="I550" s="179"/>
    </row>
    <row r="551" spans="1:9">
      <c r="A551" s="193"/>
      <c r="B551" s="155"/>
      <c r="C551" s="156" t="s">
        <v>1372</v>
      </c>
      <c r="D551" s="190" t="s">
        <v>93</v>
      </c>
      <c r="E551" s="305"/>
      <c r="F551" s="300"/>
      <c r="G551" s="301"/>
      <c r="H551" s="192"/>
      <c r="I551" s="179"/>
    </row>
    <row r="552" spans="1:9">
      <c r="A552" s="193"/>
      <c r="B552" s="155"/>
      <c r="C552" s="156" t="s">
        <v>1373</v>
      </c>
      <c r="D552" s="190" t="s">
        <v>93</v>
      </c>
      <c r="E552" s="305"/>
      <c r="F552" s="300"/>
      <c r="G552" s="301"/>
      <c r="H552" s="192"/>
      <c r="I552" s="179"/>
    </row>
    <row r="553" spans="1:9">
      <c r="A553" s="193"/>
      <c r="B553" s="155"/>
      <c r="C553" s="156"/>
      <c r="D553" s="190"/>
      <c r="E553" s="305"/>
      <c r="F553" s="300"/>
      <c r="G553" s="301"/>
      <c r="H553" s="192"/>
      <c r="I553" s="179"/>
    </row>
    <row r="554" spans="1:9">
      <c r="A554" s="193"/>
      <c r="B554" s="155"/>
      <c r="C554" s="156"/>
      <c r="D554" s="190"/>
      <c r="E554" s="305"/>
      <c r="F554" s="300"/>
      <c r="G554" s="301"/>
      <c r="H554" s="192"/>
      <c r="I554" s="179"/>
    </row>
    <row r="555" spans="1:9">
      <c r="A555" s="193"/>
      <c r="B555" s="157">
        <v>3.9</v>
      </c>
      <c r="C555" s="158" t="s">
        <v>1374</v>
      </c>
      <c r="D555" s="190"/>
      <c r="E555" s="305"/>
      <c r="F555" s="300"/>
      <c r="G555" s="301"/>
      <c r="H555" s="192"/>
      <c r="I555" s="179"/>
    </row>
    <row r="556" spans="1:9">
      <c r="A556" s="193"/>
      <c r="B556" s="155"/>
      <c r="C556" s="156"/>
      <c r="D556" s="190"/>
      <c r="E556" s="305"/>
      <c r="F556" s="300"/>
      <c r="G556" s="301"/>
      <c r="H556" s="192"/>
      <c r="I556" s="179"/>
    </row>
    <row r="557" spans="1:9">
      <c r="A557" s="193"/>
      <c r="B557" s="157"/>
      <c r="C557" s="158" t="s">
        <v>1375</v>
      </c>
      <c r="D557" s="190"/>
      <c r="E557" s="305"/>
      <c r="F557" s="300"/>
      <c r="G557" s="301"/>
      <c r="H557" s="192"/>
      <c r="I557" s="179"/>
    </row>
    <row r="558" spans="1:9">
      <c r="A558" s="193"/>
      <c r="B558" s="155"/>
      <c r="C558" s="156" t="s">
        <v>1376</v>
      </c>
      <c r="D558" s="190" t="s">
        <v>93</v>
      </c>
      <c r="E558" s="305"/>
      <c r="F558" s="300"/>
      <c r="G558" s="301"/>
      <c r="H558" s="192"/>
      <c r="I558" s="179"/>
    </row>
    <row r="559" spans="1:9">
      <c r="A559" s="193"/>
      <c r="B559" s="155"/>
      <c r="C559" s="156" t="s">
        <v>1377</v>
      </c>
      <c r="D559" s="190" t="s">
        <v>93</v>
      </c>
      <c r="E559" s="305"/>
      <c r="F559" s="300"/>
      <c r="G559" s="301"/>
      <c r="H559" s="192"/>
      <c r="I559" s="179"/>
    </row>
    <row r="560" spans="1:9">
      <c r="A560" s="193"/>
      <c r="B560" s="155"/>
      <c r="C560" s="156" t="s">
        <v>1378</v>
      </c>
      <c r="D560" s="190" t="s">
        <v>93</v>
      </c>
      <c r="E560" s="305"/>
      <c r="F560" s="300"/>
      <c r="G560" s="301"/>
      <c r="H560" s="192"/>
      <c r="I560" s="179"/>
    </row>
    <row r="561" spans="1:9">
      <c r="A561" s="193"/>
      <c r="B561" s="155"/>
      <c r="C561" s="156" t="s">
        <v>1378</v>
      </c>
      <c r="D561" s="190" t="s">
        <v>93</v>
      </c>
      <c r="E561" s="305"/>
      <c r="F561" s="300"/>
      <c r="G561" s="301"/>
      <c r="H561" s="192"/>
      <c r="I561" s="179"/>
    </row>
    <row r="562" spans="1:9">
      <c r="A562" s="193"/>
      <c r="B562" s="155"/>
      <c r="C562" s="156" t="s">
        <v>1378</v>
      </c>
      <c r="D562" s="190" t="s">
        <v>93</v>
      </c>
      <c r="E562" s="305"/>
      <c r="F562" s="300"/>
      <c r="G562" s="301"/>
      <c r="H562" s="192"/>
      <c r="I562" s="179"/>
    </row>
    <row r="563" spans="1:9">
      <c r="A563" s="193"/>
      <c r="B563" s="155"/>
      <c r="C563" s="156" t="s">
        <v>1378</v>
      </c>
      <c r="D563" s="190" t="s">
        <v>93</v>
      </c>
      <c r="E563" s="305"/>
      <c r="F563" s="300"/>
      <c r="G563" s="301"/>
      <c r="H563" s="192"/>
      <c r="I563" s="179"/>
    </row>
    <row r="564" spans="1:9">
      <c r="A564" s="193"/>
      <c r="B564" s="155"/>
      <c r="C564" s="156" t="s">
        <v>1378</v>
      </c>
      <c r="D564" s="190" t="s">
        <v>93</v>
      </c>
      <c r="E564" s="305"/>
      <c r="F564" s="300"/>
      <c r="G564" s="301"/>
      <c r="H564" s="192"/>
      <c r="I564" s="179"/>
    </row>
    <row r="565" spans="1:9">
      <c r="A565" s="193"/>
      <c r="B565" s="155"/>
      <c r="C565" s="197"/>
      <c r="D565" s="190"/>
      <c r="E565" s="305"/>
      <c r="F565" s="300"/>
      <c r="G565" s="301"/>
      <c r="H565" s="192"/>
      <c r="I565" s="179"/>
    </row>
    <row r="566" spans="1:9">
      <c r="A566" s="193"/>
      <c r="B566" s="155"/>
      <c r="C566" s="158" t="s">
        <v>1379</v>
      </c>
      <c r="D566" s="190"/>
      <c r="E566" s="305"/>
      <c r="F566" s="300"/>
      <c r="G566" s="301"/>
      <c r="H566" s="192"/>
      <c r="I566" s="179"/>
    </row>
    <row r="567" spans="1:9">
      <c r="A567" s="193"/>
      <c r="B567" s="155"/>
      <c r="C567" s="156" t="s">
        <v>1381</v>
      </c>
      <c r="D567" s="190" t="s">
        <v>93</v>
      </c>
      <c r="E567" s="305"/>
      <c r="F567" s="300"/>
      <c r="G567" s="301"/>
      <c r="H567" s="192"/>
      <c r="I567" s="179"/>
    </row>
    <row r="568" spans="1:9">
      <c r="A568" s="193"/>
      <c r="B568" s="155"/>
      <c r="C568" s="156" t="s">
        <v>1490</v>
      </c>
      <c r="D568" s="190" t="s">
        <v>93</v>
      </c>
      <c r="E568" s="305"/>
      <c r="F568" s="300"/>
      <c r="G568" s="301"/>
      <c r="H568" s="192"/>
      <c r="I568" s="179"/>
    </row>
    <row r="569" spans="1:9">
      <c r="A569" s="193"/>
      <c r="B569" s="155"/>
      <c r="C569" s="156" t="s">
        <v>1491</v>
      </c>
      <c r="D569" s="190" t="s">
        <v>93</v>
      </c>
      <c r="E569" s="305"/>
      <c r="F569" s="300"/>
      <c r="G569" s="301"/>
      <c r="H569" s="192"/>
      <c r="I569" s="179"/>
    </row>
    <row r="570" spans="1:9">
      <c r="A570" s="193"/>
      <c r="B570" s="155"/>
      <c r="C570" s="156"/>
      <c r="D570" s="190"/>
      <c r="E570" s="305"/>
      <c r="F570" s="300"/>
      <c r="G570" s="301"/>
      <c r="H570" s="192"/>
      <c r="I570" s="179"/>
    </row>
    <row r="571" spans="1:9">
      <c r="A571" s="193"/>
      <c r="B571" s="155"/>
      <c r="C571" s="156"/>
      <c r="D571" s="190"/>
      <c r="E571" s="305"/>
      <c r="F571" s="300"/>
      <c r="G571" s="301"/>
      <c r="H571" s="192"/>
      <c r="I571" s="179"/>
    </row>
    <row r="572" spans="1:9">
      <c r="A572" s="193"/>
      <c r="B572" s="334">
        <v>3.1</v>
      </c>
      <c r="C572" s="158" t="s">
        <v>1382</v>
      </c>
      <c r="D572" s="190"/>
      <c r="E572" s="305"/>
      <c r="F572" s="300"/>
      <c r="G572" s="301"/>
      <c r="H572" s="192"/>
      <c r="I572" s="179"/>
    </row>
    <row r="573" spans="1:9">
      <c r="A573" s="193"/>
      <c r="B573" s="155"/>
      <c r="C573" s="156"/>
      <c r="D573" s="190"/>
      <c r="E573" s="305"/>
      <c r="F573" s="300"/>
      <c r="G573" s="301"/>
      <c r="H573" s="192"/>
      <c r="I573" s="179"/>
    </row>
    <row r="574" spans="1:9">
      <c r="A574" s="193"/>
      <c r="B574" s="155"/>
      <c r="C574" s="197" t="s">
        <v>1383</v>
      </c>
      <c r="D574" s="190" t="s">
        <v>93</v>
      </c>
      <c r="E574" s="305"/>
      <c r="F574" s="300"/>
      <c r="G574" s="301"/>
      <c r="H574" s="192"/>
      <c r="I574" s="179"/>
    </row>
    <row r="575" spans="1:9">
      <c r="A575" s="193"/>
      <c r="B575" s="155"/>
      <c r="C575" s="197" t="s">
        <v>1384</v>
      </c>
      <c r="D575" s="190" t="s">
        <v>93</v>
      </c>
      <c r="E575" s="305"/>
      <c r="F575" s="300"/>
      <c r="G575" s="301"/>
      <c r="H575" s="192"/>
      <c r="I575" s="179"/>
    </row>
    <row r="576" spans="1:9">
      <c r="A576" s="193"/>
      <c r="B576" s="155"/>
      <c r="C576" s="197" t="s">
        <v>1385</v>
      </c>
      <c r="D576" s="190" t="s">
        <v>93</v>
      </c>
      <c r="E576" s="305"/>
      <c r="F576" s="300"/>
      <c r="G576" s="301"/>
      <c r="H576" s="192"/>
      <c r="I576" s="179"/>
    </row>
    <row r="577" spans="1:9">
      <c r="A577" s="193"/>
      <c r="B577" s="155"/>
      <c r="C577" s="197" t="s">
        <v>1386</v>
      </c>
      <c r="D577" s="190" t="s">
        <v>93</v>
      </c>
      <c r="E577" s="305"/>
      <c r="F577" s="300"/>
      <c r="G577" s="301"/>
      <c r="H577" s="192"/>
      <c r="I577" s="179"/>
    </row>
    <row r="578" spans="1:9">
      <c r="A578" s="193"/>
      <c r="B578" s="155"/>
      <c r="C578" s="156" t="s">
        <v>1387</v>
      </c>
      <c r="D578" s="190" t="s">
        <v>93</v>
      </c>
      <c r="E578" s="305"/>
      <c r="F578" s="300"/>
      <c r="G578" s="301"/>
      <c r="H578" s="192"/>
      <c r="I578" s="179"/>
    </row>
    <row r="579" spans="1:9">
      <c r="A579" s="193"/>
      <c r="B579" s="155"/>
      <c r="C579" s="156" t="s">
        <v>1389</v>
      </c>
      <c r="D579" s="190" t="s">
        <v>1234</v>
      </c>
      <c r="E579" s="305"/>
      <c r="F579" s="300"/>
      <c r="G579" s="301"/>
      <c r="H579" s="192"/>
      <c r="I579" s="179"/>
    </row>
    <row r="580" spans="1:9">
      <c r="A580" s="193"/>
      <c r="B580" s="155"/>
      <c r="C580" s="156"/>
      <c r="D580" s="190"/>
      <c r="E580" s="305"/>
      <c r="F580" s="300"/>
      <c r="G580" s="301"/>
      <c r="H580" s="192"/>
      <c r="I580" s="179"/>
    </row>
    <row r="581" spans="1:9">
      <c r="A581" s="193"/>
      <c r="B581" s="155"/>
      <c r="C581" s="156"/>
      <c r="D581" s="190"/>
      <c r="E581" s="305"/>
      <c r="F581" s="300"/>
      <c r="G581" s="301"/>
      <c r="H581" s="192"/>
      <c r="I581" s="179"/>
    </row>
    <row r="582" spans="1:9">
      <c r="A582" s="209"/>
      <c r="B582" s="157">
        <v>3.11</v>
      </c>
      <c r="C582" s="158" t="s">
        <v>1390</v>
      </c>
      <c r="D582" s="195"/>
      <c r="E582" s="307"/>
      <c r="F582" s="300"/>
      <c r="G582" s="301"/>
      <c r="H582" s="192"/>
      <c r="I582" s="179"/>
    </row>
    <row r="583" spans="1:9">
      <c r="A583" s="193"/>
      <c r="B583" s="155"/>
      <c r="C583" s="156"/>
      <c r="D583" s="190"/>
      <c r="E583" s="305"/>
      <c r="F583" s="300"/>
      <c r="G583" s="301"/>
      <c r="H583" s="192"/>
      <c r="I583" s="179"/>
    </row>
    <row r="584" spans="1:9">
      <c r="A584" s="193"/>
      <c r="B584" s="155"/>
      <c r="C584" s="158" t="s">
        <v>1391</v>
      </c>
      <c r="D584" s="190"/>
      <c r="E584" s="305"/>
      <c r="F584" s="300"/>
      <c r="G584" s="301"/>
      <c r="H584" s="192"/>
      <c r="I584" s="179"/>
    </row>
    <row r="585" spans="1:9">
      <c r="A585" s="193"/>
      <c r="B585" s="155" t="s">
        <v>1392</v>
      </c>
      <c r="C585" s="156" t="s">
        <v>1393</v>
      </c>
      <c r="D585" s="190" t="s">
        <v>93</v>
      </c>
      <c r="E585" s="305"/>
      <c r="F585" s="300"/>
      <c r="G585" s="301"/>
      <c r="H585" s="192"/>
      <c r="I585" s="179"/>
    </row>
    <row r="586" spans="1:9">
      <c r="A586" s="193"/>
      <c r="B586" s="155" t="s">
        <v>1394</v>
      </c>
      <c r="C586" s="156" t="s">
        <v>1395</v>
      </c>
      <c r="D586" s="190" t="s">
        <v>93</v>
      </c>
      <c r="E586" s="305"/>
      <c r="F586" s="300"/>
      <c r="G586" s="301"/>
      <c r="H586" s="192"/>
      <c r="I586" s="179"/>
    </row>
    <row r="587" spans="1:9">
      <c r="A587" s="193"/>
      <c r="B587" s="155" t="s">
        <v>1396</v>
      </c>
      <c r="C587" s="156" t="s">
        <v>1397</v>
      </c>
      <c r="D587" s="190" t="s">
        <v>93</v>
      </c>
      <c r="E587" s="305"/>
      <c r="F587" s="300"/>
      <c r="G587" s="301"/>
      <c r="H587" s="192"/>
      <c r="I587" s="179"/>
    </row>
    <row r="588" spans="1:9">
      <c r="A588" s="193"/>
      <c r="B588" s="155" t="s">
        <v>1398</v>
      </c>
      <c r="C588" s="156" t="s">
        <v>1399</v>
      </c>
      <c r="D588" s="190" t="s">
        <v>93</v>
      </c>
      <c r="E588" s="305"/>
      <c r="F588" s="300"/>
      <c r="G588" s="301"/>
      <c r="H588" s="192"/>
      <c r="I588" s="179"/>
    </row>
    <row r="589" spans="1:9">
      <c r="A589" s="193"/>
      <c r="B589" s="155" t="s">
        <v>1400</v>
      </c>
      <c r="C589" s="156" t="s">
        <v>1401</v>
      </c>
      <c r="D589" s="190" t="s">
        <v>93</v>
      </c>
      <c r="E589" s="305"/>
      <c r="F589" s="300"/>
      <c r="G589" s="301"/>
      <c r="H589" s="192"/>
      <c r="I589" s="179"/>
    </row>
    <row r="590" spans="1:9">
      <c r="A590" s="193"/>
      <c r="B590" s="155"/>
      <c r="C590" s="156" t="s">
        <v>1402</v>
      </c>
      <c r="D590" s="190" t="s">
        <v>123</v>
      </c>
      <c r="E590" s="305"/>
      <c r="F590" s="300"/>
      <c r="G590" s="301"/>
      <c r="H590" s="192"/>
      <c r="I590" s="179"/>
    </row>
    <row r="591" spans="1:9">
      <c r="A591" s="193"/>
      <c r="B591" s="155"/>
      <c r="C591" s="156"/>
      <c r="D591" s="190"/>
      <c r="E591" s="305"/>
      <c r="F591" s="300"/>
      <c r="G591" s="301"/>
      <c r="H591" s="192"/>
      <c r="I591" s="179"/>
    </row>
    <row r="592" spans="1:9">
      <c r="A592" s="193"/>
      <c r="B592" s="155"/>
      <c r="C592" s="156"/>
      <c r="D592" s="190"/>
      <c r="E592" s="305"/>
      <c r="F592" s="300"/>
      <c r="G592" s="301"/>
      <c r="H592" s="192"/>
      <c r="I592" s="179"/>
    </row>
    <row r="593" spans="1:9">
      <c r="A593" s="209"/>
      <c r="B593" s="157">
        <v>3.12</v>
      </c>
      <c r="C593" s="158" t="s">
        <v>1403</v>
      </c>
      <c r="D593" s="195"/>
      <c r="E593" s="307"/>
      <c r="F593" s="300"/>
      <c r="G593" s="301"/>
      <c r="H593" s="192"/>
      <c r="I593" s="179"/>
    </row>
    <row r="594" spans="1:9">
      <c r="A594" s="193"/>
      <c r="B594" s="155"/>
      <c r="C594" s="156"/>
      <c r="D594" s="190"/>
      <c r="E594" s="305"/>
      <c r="F594" s="300"/>
      <c r="G594" s="301"/>
      <c r="H594" s="192"/>
      <c r="I594" s="179"/>
    </row>
    <row r="595" spans="1:9">
      <c r="A595" s="193"/>
      <c r="B595" s="155"/>
      <c r="C595" s="156" t="s">
        <v>1404</v>
      </c>
      <c r="D595" s="190" t="s">
        <v>93</v>
      </c>
      <c r="E595" s="305"/>
      <c r="F595" s="300"/>
      <c r="G595" s="301"/>
      <c r="H595" s="192"/>
      <c r="I595" s="179"/>
    </row>
    <row r="596" spans="1:9">
      <c r="A596" s="193"/>
      <c r="B596" s="155"/>
      <c r="C596" s="156" t="s">
        <v>1405</v>
      </c>
      <c r="D596" s="190" t="s">
        <v>795</v>
      </c>
      <c r="E596" s="305"/>
      <c r="F596" s="300"/>
      <c r="G596" s="301"/>
      <c r="H596" s="192"/>
      <c r="I596" s="179"/>
    </row>
    <row r="597" spans="1:9">
      <c r="A597" s="193"/>
      <c r="B597" s="155"/>
      <c r="C597" s="156" t="s">
        <v>1406</v>
      </c>
      <c r="D597" s="190" t="s">
        <v>795</v>
      </c>
      <c r="E597" s="305"/>
      <c r="F597" s="300"/>
      <c r="G597" s="301"/>
      <c r="H597" s="192"/>
      <c r="I597" s="179"/>
    </row>
    <row r="598" spans="1:9">
      <c r="A598" s="193"/>
      <c r="B598" s="155"/>
      <c r="C598" s="156" t="s">
        <v>1407</v>
      </c>
      <c r="D598" s="190" t="s">
        <v>123</v>
      </c>
      <c r="E598" s="305"/>
      <c r="F598" s="300"/>
      <c r="G598" s="301"/>
      <c r="H598" s="192"/>
      <c r="I598" s="179"/>
    </row>
    <row r="599" spans="1:9">
      <c r="A599" s="193"/>
      <c r="B599" s="155"/>
      <c r="C599" s="156" t="s">
        <v>891</v>
      </c>
      <c r="D599" s="190" t="s">
        <v>1234</v>
      </c>
      <c r="E599" s="305"/>
      <c r="F599" s="300"/>
      <c r="G599" s="301"/>
      <c r="H599" s="192"/>
      <c r="I599" s="179"/>
    </row>
    <row r="600" spans="1:9">
      <c r="A600" s="193"/>
      <c r="B600" s="155"/>
      <c r="C600" s="156"/>
      <c r="D600" s="190"/>
      <c r="E600" s="305"/>
      <c r="F600" s="300"/>
      <c r="G600" s="301"/>
      <c r="H600" s="192"/>
      <c r="I600" s="179"/>
    </row>
    <row r="601" spans="1:9">
      <c r="A601" s="193"/>
      <c r="B601" s="155"/>
      <c r="C601" s="156"/>
      <c r="D601" s="190"/>
      <c r="E601" s="305"/>
      <c r="F601" s="300"/>
      <c r="G601" s="301"/>
      <c r="H601" s="192"/>
      <c r="I601" s="179"/>
    </row>
    <row r="602" spans="1:9">
      <c r="A602" s="209"/>
      <c r="B602" s="157">
        <v>3.13</v>
      </c>
      <c r="C602" s="158" t="s">
        <v>1408</v>
      </c>
      <c r="D602" s="195"/>
      <c r="E602" s="307"/>
      <c r="F602" s="300"/>
      <c r="G602" s="301"/>
      <c r="H602" s="192"/>
      <c r="I602" s="179"/>
    </row>
    <row r="603" spans="1:9">
      <c r="A603" s="193"/>
      <c r="B603" s="155"/>
      <c r="C603" s="156"/>
      <c r="D603" s="190"/>
      <c r="E603" s="305"/>
      <c r="F603" s="300"/>
      <c r="G603" s="301"/>
      <c r="H603" s="192"/>
      <c r="I603" s="179"/>
    </row>
    <row r="604" spans="1:9">
      <c r="A604" s="193"/>
      <c r="B604" s="155"/>
      <c r="C604" s="197"/>
      <c r="D604" s="190"/>
      <c r="E604" s="305"/>
      <c r="F604" s="300"/>
      <c r="G604" s="301"/>
      <c r="H604" s="192"/>
      <c r="I604" s="179"/>
    </row>
    <row r="605" spans="1:9">
      <c r="A605" s="193"/>
      <c r="B605" s="155"/>
      <c r="C605" s="197" t="s">
        <v>1492</v>
      </c>
      <c r="D605" s="190"/>
      <c r="E605" s="305"/>
      <c r="F605" s="300"/>
      <c r="G605" s="301"/>
      <c r="H605" s="192"/>
      <c r="I605" s="179"/>
    </row>
    <row r="606" spans="1:9">
      <c r="A606" s="193"/>
      <c r="B606" s="155">
        <v>120191</v>
      </c>
      <c r="C606" s="197" t="s">
        <v>1416</v>
      </c>
      <c r="D606" s="190" t="s">
        <v>93</v>
      </c>
      <c r="E606" s="305"/>
      <c r="F606" s="300"/>
      <c r="G606" s="301"/>
      <c r="H606" s="192"/>
      <c r="I606" s="179"/>
    </row>
    <row r="607" spans="1:9">
      <c r="A607" s="193"/>
      <c r="B607" s="155">
        <v>150068</v>
      </c>
      <c r="C607" s="197" t="s">
        <v>1412</v>
      </c>
      <c r="D607" s="190" t="s">
        <v>93</v>
      </c>
      <c r="E607" s="305"/>
      <c r="F607" s="300"/>
      <c r="G607" s="301"/>
      <c r="H607" s="192"/>
      <c r="I607" s="179"/>
    </row>
    <row r="608" spans="1:9">
      <c r="A608" s="193"/>
      <c r="B608" s="155">
        <v>120819</v>
      </c>
      <c r="C608" s="197" t="s">
        <v>1413</v>
      </c>
      <c r="D608" s="190" t="s">
        <v>93</v>
      </c>
      <c r="E608" s="305"/>
      <c r="F608" s="300"/>
      <c r="G608" s="301"/>
      <c r="H608" s="192"/>
      <c r="I608" s="179"/>
    </row>
    <row r="609" spans="1:9">
      <c r="A609" s="193"/>
      <c r="B609" s="155">
        <v>110915</v>
      </c>
      <c r="C609" s="197" t="s">
        <v>1414</v>
      </c>
      <c r="D609" s="190" t="s">
        <v>93</v>
      </c>
      <c r="E609" s="305"/>
      <c r="F609" s="300"/>
      <c r="G609" s="301"/>
      <c r="H609" s="192"/>
      <c r="I609" s="179"/>
    </row>
    <row r="610" spans="1:9">
      <c r="A610" s="193"/>
      <c r="B610" s="155"/>
      <c r="C610" s="197"/>
      <c r="D610" s="190"/>
      <c r="E610" s="305"/>
      <c r="F610" s="300"/>
      <c r="G610" s="301"/>
      <c r="H610" s="192"/>
      <c r="I610" s="179"/>
    </row>
    <row r="611" spans="1:9">
      <c r="A611" s="193"/>
      <c r="B611" s="155"/>
      <c r="C611" s="197" t="s">
        <v>1493</v>
      </c>
      <c r="D611" s="190"/>
      <c r="E611" s="305"/>
      <c r="F611" s="300"/>
      <c r="G611" s="301"/>
      <c r="H611" s="192"/>
      <c r="I611" s="179"/>
    </row>
    <row r="612" spans="1:9">
      <c r="A612" s="193"/>
      <c r="B612" s="155">
        <v>120191</v>
      </c>
      <c r="C612" s="197" t="s">
        <v>1416</v>
      </c>
      <c r="D612" s="190" t="s">
        <v>93</v>
      </c>
      <c r="E612" s="305"/>
      <c r="F612" s="300"/>
      <c r="G612" s="301"/>
      <c r="H612" s="192"/>
      <c r="I612" s="179"/>
    </row>
    <row r="613" spans="1:9">
      <c r="A613" s="193"/>
      <c r="B613" s="155">
        <v>150068</v>
      </c>
      <c r="C613" s="197" t="s">
        <v>1412</v>
      </c>
      <c r="D613" s="190" t="s">
        <v>93</v>
      </c>
      <c r="E613" s="305"/>
      <c r="F613" s="300"/>
      <c r="G613" s="301"/>
      <c r="H613" s="192"/>
      <c r="I613" s="179"/>
    </row>
    <row r="614" spans="1:9">
      <c r="A614" s="193"/>
      <c r="B614" s="155">
        <v>120819</v>
      </c>
      <c r="C614" s="197" t="s">
        <v>1413</v>
      </c>
      <c r="D614" s="190" t="s">
        <v>93</v>
      </c>
      <c r="E614" s="305"/>
      <c r="F614" s="300"/>
      <c r="G614" s="301"/>
      <c r="H614" s="192"/>
      <c r="I614" s="179"/>
    </row>
    <row r="615" spans="1:9">
      <c r="A615" s="193"/>
      <c r="B615" s="155">
        <v>110915</v>
      </c>
      <c r="C615" s="197" t="s">
        <v>1414</v>
      </c>
      <c r="D615" s="190" t="s">
        <v>93</v>
      </c>
      <c r="E615" s="305"/>
      <c r="F615" s="300"/>
      <c r="G615" s="301"/>
      <c r="H615" s="192"/>
      <c r="I615" s="179"/>
    </row>
    <row r="616" spans="1:9">
      <c r="A616" s="193"/>
      <c r="B616" s="155"/>
      <c r="C616" s="197"/>
      <c r="D616" s="190"/>
      <c r="E616" s="305"/>
      <c r="F616" s="300"/>
      <c r="G616" s="301"/>
      <c r="H616" s="192"/>
      <c r="I616" s="179"/>
    </row>
    <row r="617" spans="1:9">
      <c r="A617" s="193"/>
      <c r="B617" s="155"/>
      <c r="C617" s="197" t="s">
        <v>1494</v>
      </c>
      <c r="D617" s="190"/>
      <c r="E617" s="305"/>
      <c r="F617" s="300"/>
      <c r="G617" s="301"/>
      <c r="H617" s="192"/>
      <c r="I617" s="179"/>
    </row>
    <row r="618" spans="1:9">
      <c r="A618" s="193"/>
      <c r="B618" s="155">
        <v>150065</v>
      </c>
      <c r="C618" s="197" t="s">
        <v>1425</v>
      </c>
      <c r="D618" s="190" t="s">
        <v>93</v>
      </c>
      <c r="E618" s="305"/>
      <c r="F618" s="300"/>
      <c r="G618" s="301"/>
      <c r="H618" s="192"/>
      <c r="I618" s="179"/>
    </row>
    <row r="619" spans="1:9">
      <c r="A619" s="193"/>
      <c r="B619" s="155">
        <v>150069</v>
      </c>
      <c r="C619" s="197" t="s">
        <v>1427</v>
      </c>
      <c r="D619" s="190" t="s">
        <v>93</v>
      </c>
      <c r="E619" s="305"/>
      <c r="F619" s="300"/>
      <c r="G619" s="301"/>
      <c r="H619" s="192"/>
      <c r="I619" s="179"/>
    </row>
    <row r="620" spans="1:9">
      <c r="A620" s="193"/>
      <c r="B620" s="155"/>
      <c r="C620" s="318" t="s">
        <v>1428</v>
      </c>
      <c r="D620" s="190"/>
      <c r="E620" s="305"/>
      <c r="F620" s="300"/>
      <c r="G620" s="301"/>
      <c r="H620" s="192"/>
      <c r="I620" s="179"/>
    </row>
    <row r="621" spans="1:9">
      <c r="A621" s="193"/>
      <c r="B621" s="155">
        <v>110915</v>
      </c>
      <c r="C621" s="197" t="s">
        <v>1414</v>
      </c>
      <c r="D621" s="190" t="s">
        <v>93</v>
      </c>
      <c r="E621" s="305"/>
      <c r="F621" s="300"/>
      <c r="G621" s="301"/>
      <c r="H621" s="192"/>
      <c r="I621" s="179"/>
    </row>
    <row r="622" spans="1:9">
      <c r="A622" s="193"/>
      <c r="B622" s="155"/>
      <c r="C622" s="197"/>
      <c r="D622" s="190"/>
      <c r="E622" s="305"/>
      <c r="F622" s="300"/>
      <c r="G622" s="301"/>
      <c r="H622" s="192"/>
      <c r="I622" s="179"/>
    </row>
    <row r="623" spans="1:9">
      <c r="A623" s="193"/>
      <c r="B623" s="155"/>
      <c r="C623" s="197" t="s">
        <v>1430</v>
      </c>
      <c r="D623" s="190"/>
      <c r="E623" s="305"/>
      <c r="F623" s="300"/>
      <c r="G623" s="301"/>
      <c r="H623" s="192"/>
      <c r="I623" s="179"/>
    </row>
    <row r="624" spans="1:9">
      <c r="A624" s="193"/>
      <c r="B624" s="155"/>
      <c r="C624" s="197" t="s">
        <v>1495</v>
      </c>
      <c r="D624" s="190" t="s">
        <v>93</v>
      </c>
      <c r="E624" s="305"/>
      <c r="F624" s="300"/>
      <c r="G624" s="301"/>
      <c r="H624" s="192"/>
      <c r="I624" s="179"/>
    </row>
    <row r="625" spans="1:9">
      <c r="A625" s="193"/>
      <c r="B625" s="155"/>
      <c r="C625" s="197" t="s">
        <v>1432</v>
      </c>
      <c r="D625" s="190" t="s">
        <v>93</v>
      </c>
      <c r="E625" s="305"/>
      <c r="F625" s="300"/>
      <c r="G625" s="301"/>
      <c r="H625" s="192"/>
      <c r="I625" s="179"/>
    </row>
    <row r="626" spans="1:9">
      <c r="A626" s="193"/>
      <c r="B626" s="155"/>
      <c r="C626" s="197" t="s">
        <v>1433</v>
      </c>
      <c r="D626" s="190"/>
      <c r="E626" s="305"/>
      <c r="F626" s="300"/>
      <c r="G626" s="301"/>
      <c r="H626" s="192"/>
      <c r="I626" s="179"/>
    </row>
    <row r="627" spans="1:9">
      <c r="A627" s="193"/>
      <c r="B627" s="155">
        <v>150006</v>
      </c>
      <c r="C627" s="197" t="s">
        <v>1434</v>
      </c>
      <c r="D627" s="190" t="s">
        <v>93</v>
      </c>
      <c r="E627" s="305"/>
      <c r="F627" s="300"/>
      <c r="G627" s="301"/>
      <c r="H627" s="192"/>
      <c r="I627" s="179"/>
    </row>
    <row r="628" spans="1:9">
      <c r="A628" s="193"/>
      <c r="B628" s="155"/>
      <c r="C628" s="197"/>
      <c r="D628" s="190"/>
      <c r="E628" s="305"/>
      <c r="F628" s="300"/>
      <c r="G628" s="301"/>
      <c r="H628" s="192"/>
      <c r="I628" s="179"/>
    </row>
    <row r="629" spans="1:9">
      <c r="A629" s="193"/>
      <c r="B629" s="155"/>
      <c r="C629" s="197" t="s">
        <v>1438</v>
      </c>
      <c r="D629" s="190" t="s">
        <v>795</v>
      </c>
      <c r="E629" s="305"/>
      <c r="F629" s="300"/>
      <c r="G629" s="301"/>
      <c r="H629" s="192"/>
      <c r="I629" s="179"/>
    </row>
    <row r="630" spans="1:9">
      <c r="A630" s="193"/>
      <c r="B630" s="155"/>
      <c r="C630" s="197" t="s">
        <v>1439</v>
      </c>
      <c r="D630" s="190" t="s">
        <v>795</v>
      </c>
      <c r="E630" s="305"/>
      <c r="F630" s="300"/>
      <c r="G630" s="301"/>
      <c r="H630" s="192"/>
      <c r="I630" s="179"/>
    </row>
    <row r="631" spans="1:9">
      <c r="A631" s="160"/>
      <c r="B631" s="155"/>
      <c r="C631" s="156"/>
      <c r="D631" s="190"/>
      <c r="E631" s="305"/>
      <c r="F631" s="300"/>
      <c r="G631" s="301"/>
      <c r="H631" s="192"/>
      <c r="I631" s="179"/>
    </row>
    <row r="632" spans="1:9">
      <c r="A632" s="209"/>
      <c r="B632" s="157">
        <v>3.14</v>
      </c>
      <c r="C632" s="319" t="s">
        <v>1441</v>
      </c>
      <c r="D632" s="195"/>
      <c r="E632" s="307"/>
      <c r="F632" s="300"/>
      <c r="G632" s="301"/>
      <c r="H632" s="192"/>
      <c r="I632" s="179"/>
    </row>
    <row r="633" spans="1:9">
      <c r="A633" s="193"/>
      <c r="B633" s="155"/>
      <c r="C633" s="156"/>
      <c r="D633" s="190"/>
      <c r="E633" s="305"/>
      <c r="F633" s="300"/>
      <c r="G633" s="301"/>
      <c r="H633" s="192"/>
      <c r="I633" s="179"/>
    </row>
    <row r="634" spans="1:9">
      <c r="A634" s="193"/>
      <c r="B634" s="155"/>
      <c r="C634" s="156" t="s">
        <v>1451</v>
      </c>
      <c r="D634" s="190" t="s">
        <v>93</v>
      </c>
      <c r="E634" s="305"/>
      <c r="F634" s="300"/>
      <c r="G634" s="301"/>
      <c r="H634" s="192"/>
      <c r="I634" s="179"/>
    </row>
    <row r="635" spans="1:9">
      <c r="A635" s="193"/>
      <c r="B635" s="155"/>
      <c r="C635" s="156" t="s">
        <v>1337</v>
      </c>
      <c r="D635" s="190" t="s">
        <v>795</v>
      </c>
      <c r="E635" s="305"/>
      <c r="F635" s="300"/>
      <c r="G635" s="301"/>
      <c r="H635" s="192"/>
      <c r="I635" s="179"/>
    </row>
    <row r="636" spans="1:9">
      <c r="A636" s="193"/>
      <c r="B636" s="155"/>
      <c r="C636" s="156"/>
      <c r="D636" s="190"/>
      <c r="E636" s="305"/>
      <c r="F636" s="300"/>
      <c r="G636" s="301"/>
      <c r="H636" s="192"/>
      <c r="I636" s="179"/>
    </row>
    <row r="637" spans="1:9">
      <c r="A637" s="193"/>
      <c r="B637" s="155"/>
      <c r="C637" s="156"/>
      <c r="D637" s="190"/>
      <c r="E637" s="305"/>
      <c r="F637" s="300"/>
      <c r="G637" s="301"/>
      <c r="H637" s="192"/>
      <c r="I637" s="179"/>
    </row>
    <row r="638" spans="1:9">
      <c r="A638" s="194"/>
      <c r="B638" s="153">
        <v>4</v>
      </c>
      <c r="C638" s="154" t="s">
        <v>1114</v>
      </c>
      <c r="D638" s="182"/>
      <c r="E638" s="302"/>
      <c r="F638" s="303"/>
      <c r="G638" s="304"/>
      <c r="H638" s="186"/>
      <c r="I638" s="187">
        <f>SUM(H639:H669)</f>
        <v>0</v>
      </c>
    </row>
    <row r="639" spans="1:9">
      <c r="A639" s="193"/>
      <c r="B639" s="155"/>
      <c r="C639" s="156"/>
      <c r="D639" s="190"/>
      <c r="E639" s="305"/>
      <c r="F639" s="300"/>
      <c r="G639" s="301"/>
      <c r="H639" s="192"/>
      <c r="I639" s="179"/>
    </row>
    <row r="640" spans="1:9">
      <c r="A640" s="209"/>
      <c r="B640" s="157">
        <v>4.0999999999999996</v>
      </c>
      <c r="C640" s="158" t="s">
        <v>1115</v>
      </c>
      <c r="D640" s="195"/>
      <c r="E640" s="307"/>
      <c r="F640" s="300"/>
      <c r="G640" s="301"/>
      <c r="H640" s="192"/>
      <c r="I640" s="179"/>
    </row>
    <row r="641" spans="1:9">
      <c r="A641" s="193"/>
      <c r="B641" s="155"/>
      <c r="C641" s="156"/>
      <c r="D641" s="190"/>
      <c r="E641" s="305"/>
      <c r="F641" s="300"/>
      <c r="G641" s="301"/>
      <c r="H641" s="192"/>
      <c r="I641" s="179"/>
    </row>
    <row r="642" spans="1:9">
      <c r="A642" s="193"/>
      <c r="B642" s="155"/>
      <c r="C642" s="156" t="s">
        <v>1116</v>
      </c>
      <c r="D642" s="190" t="s">
        <v>795</v>
      </c>
      <c r="E642" s="305"/>
      <c r="F642" s="300"/>
      <c r="G642" s="301"/>
      <c r="H642" s="192"/>
      <c r="I642" s="179"/>
    </row>
    <row r="643" spans="1:9">
      <c r="A643" s="193"/>
      <c r="B643" s="155"/>
      <c r="C643" s="156" t="s">
        <v>1464</v>
      </c>
      <c r="D643" s="190" t="s">
        <v>795</v>
      </c>
      <c r="E643" s="305"/>
      <c r="F643" s="300"/>
      <c r="G643" s="301"/>
      <c r="H643" s="192"/>
      <c r="I643" s="179"/>
    </row>
    <row r="644" spans="1:9">
      <c r="A644" s="193"/>
      <c r="B644" s="155"/>
      <c r="C644" s="156" t="s">
        <v>1118</v>
      </c>
      <c r="D644" s="190" t="s">
        <v>1234</v>
      </c>
      <c r="E644" s="305"/>
      <c r="F644" s="300"/>
      <c r="G644" s="301"/>
      <c r="H644" s="192"/>
      <c r="I644" s="179"/>
    </row>
    <row r="645" spans="1:9">
      <c r="A645" s="193"/>
      <c r="B645" s="155"/>
      <c r="C645" s="156"/>
      <c r="D645" s="190"/>
      <c r="E645" s="305"/>
      <c r="F645" s="300"/>
      <c r="G645" s="301"/>
      <c r="H645" s="192"/>
      <c r="I645" s="179"/>
    </row>
    <row r="646" spans="1:9">
      <c r="A646" s="209"/>
      <c r="B646" s="157">
        <v>4.2</v>
      </c>
      <c r="C646" s="158" t="s">
        <v>1119</v>
      </c>
      <c r="D646" s="195"/>
      <c r="E646" s="307"/>
      <c r="F646" s="300"/>
      <c r="G646" s="301"/>
      <c r="H646" s="192"/>
      <c r="I646" s="179"/>
    </row>
    <row r="647" spans="1:9">
      <c r="A647" s="193"/>
      <c r="B647" s="155"/>
      <c r="C647" s="156"/>
      <c r="D647" s="190"/>
      <c r="E647" s="305"/>
      <c r="F647" s="300"/>
      <c r="G647" s="301"/>
      <c r="H647" s="192"/>
      <c r="I647" s="179"/>
    </row>
    <row r="648" spans="1:9">
      <c r="A648" s="193"/>
      <c r="B648" s="155"/>
      <c r="C648" s="236" t="s">
        <v>1120</v>
      </c>
      <c r="D648" s="190" t="s">
        <v>795</v>
      </c>
      <c r="E648" s="305"/>
      <c r="F648" s="300"/>
      <c r="G648" s="301"/>
      <c r="H648" s="192"/>
      <c r="I648" s="179"/>
    </row>
    <row r="649" spans="1:9">
      <c r="A649" s="193"/>
      <c r="B649" s="155"/>
      <c r="C649" s="236" t="s">
        <v>1465</v>
      </c>
      <c r="D649" s="190" t="s">
        <v>795</v>
      </c>
      <c r="E649" s="305"/>
      <c r="F649" s="300"/>
      <c r="G649" s="301"/>
      <c r="H649" s="192"/>
      <c r="I649" s="179"/>
    </row>
    <row r="650" spans="1:9">
      <c r="A650" s="193"/>
      <c r="B650" s="155"/>
      <c r="C650" s="236" t="s">
        <v>1466</v>
      </c>
      <c r="D650" s="190" t="s">
        <v>795</v>
      </c>
      <c r="E650" s="305"/>
      <c r="F650" s="300"/>
      <c r="G650" s="301"/>
      <c r="H650" s="192"/>
      <c r="I650" s="179"/>
    </row>
    <row r="651" spans="1:9">
      <c r="A651" s="193"/>
      <c r="B651" s="155"/>
      <c r="C651" s="236" t="s">
        <v>1467</v>
      </c>
      <c r="D651" s="190" t="s">
        <v>1234</v>
      </c>
      <c r="E651" s="305"/>
      <c r="F651" s="300"/>
      <c r="G651" s="301"/>
      <c r="H651" s="192"/>
      <c r="I651" s="179"/>
    </row>
    <row r="652" spans="1:9">
      <c r="A652" s="193"/>
      <c r="B652" s="155"/>
      <c r="C652" s="236"/>
      <c r="D652" s="190"/>
      <c r="E652" s="305"/>
      <c r="F652" s="300"/>
      <c r="G652" s="301"/>
      <c r="H652" s="192"/>
      <c r="I652" s="179"/>
    </row>
    <row r="653" spans="1:9">
      <c r="A653" s="209"/>
      <c r="B653" s="157">
        <v>4.3</v>
      </c>
      <c r="C653" s="158" t="s">
        <v>1468</v>
      </c>
      <c r="D653" s="195"/>
      <c r="E653" s="307"/>
      <c r="F653" s="300"/>
      <c r="G653" s="301"/>
      <c r="H653" s="192"/>
      <c r="I653" s="179"/>
    </row>
    <row r="654" spans="1:9">
      <c r="A654" s="193"/>
      <c r="B654" s="155"/>
      <c r="C654" s="156"/>
      <c r="D654" s="190"/>
      <c r="E654" s="305"/>
      <c r="F654" s="300"/>
      <c r="G654" s="301"/>
      <c r="H654" s="192"/>
      <c r="I654" s="179"/>
    </row>
    <row r="655" spans="1:9">
      <c r="A655" s="193"/>
      <c r="B655" s="155"/>
      <c r="C655" s="156" t="s">
        <v>1496</v>
      </c>
      <c r="D655" s="190" t="s">
        <v>795</v>
      </c>
      <c r="E655" s="320"/>
      <c r="F655" s="300"/>
      <c r="G655" s="301"/>
      <c r="H655" s="192"/>
      <c r="I655" s="179"/>
    </row>
    <row r="656" spans="1:9">
      <c r="A656" s="193"/>
      <c r="B656" s="155"/>
      <c r="C656" s="156" t="s">
        <v>1470</v>
      </c>
      <c r="D656" s="190" t="s">
        <v>1234</v>
      </c>
      <c r="E656" s="305"/>
      <c r="F656" s="300"/>
      <c r="G656" s="301"/>
      <c r="H656" s="192"/>
      <c r="I656" s="179"/>
    </row>
    <row r="657" spans="1:9">
      <c r="A657" s="193"/>
      <c r="B657" s="155"/>
      <c r="C657" s="156" t="s">
        <v>1471</v>
      </c>
      <c r="D657" s="190" t="s">
        <v>1234</v>
      </c>
      <c r="E657" s="305"/>
      <c r="F657" s="300"/>
      <c r="G657" s="301"/>
      <c r="H657" s="192"/>
      <c r="I657" s="179"/>
    </row>
    <row r="658" spans="1:9">
      <c r="A658" s="193"/>
      <c r="B658" s="155"/>
      <c r="C658" s="156"/>
      <c r="D658" s="190"/>
      <c r="E658" s="305"/>
      <c r="F658" s="300"/>
      <c r="G658" s="301"/>
      <c r="H658" s="192"/>
      <c r="I658" s="179"/>
    </row>
    <row r="659" spans="1:9">
      <c r="A659" s="209"/>
      <c r="B659" s="157">
        <v>4.4000000000000004</v>
      </c>
      <c r="C659" s="158" t="s">
        <v>1124</v>
      </c>
      <c r="D659" s="195"/>
      <c r="E659" s="307"/>
      <c r="F659" s="300"/>
      <c r="G659" s="301"/>
      <c r="H659" s="192"/>
      <c r="I659" s="179"/>
    </row>
    <row r="660" spans="1:9">
      <c r="A660" s="193"/>
      <c r="B660" s="155"/>
      <c r="C660" s="156"/>
      <c r="D660" s="190"/>
      <c r="E660" s="305"/>
      <c r="F660" s="300"/>
      <c r="G660" s="301"/>
      <c r="H660" s="192"/>
      <c r="I660" s="179"/>
    </row>
    <row r="661" spans="1:9">
      <c r="A661" s="193"/>
      <c r="B661" s="155"/>
      <c r="C661" s="156" t="s">
        <v>1125</v>
      </c>
      <c r="D661" s="190" t="s">
        <v>1234</v>
      </c>
      <c r="E661" s="305"/>
      <c r="F661" s="300"/>
      <c r="G661" s="301"/>
      <c r="H661" s="192"/>
      <c r="I661" s="179"/>
    </row>
    <row r="662" spans="1:9">
      <c r="A662" s="193"/>
      <c r="B662" s="155"/>
      <c r="C662" s="156" t="s">
        <v>1126</v>
      </c>
      <c r="D662" s="190" t="s">
        <v>1234</v>
      </c>
      <c r="E662" s="305"/>
      <c r="F662" s="300"/>
      <c r="G662" s="301"/>
      <c r="H662" s="192"/>
      <c r="I662" s="179"/>
    </row>
    <row r="663" spans="1:9">
      <c r="A663" s="193"/>
      <c r="B663" s="155"/>
      <c r="C663" s="156" t="s">
        <v>1127</v>
      </c>
      <c r="D663" s="190" t="s">
        <v>1234</v>
      </c>
      <c r="E663" s="305"/>
      <c r="F663" s="300"/>
      <c r="G663" s="301"/>
      <c r="H663" s="192"/>
      <c r="I663" s="179"/>
    </row>
    <row r="664" spans="1:9">
      <c r="A664" s="193"/>
      <c r="B664" s="155"/>
      <c r="C664" s="156"/>
      <c r="D664" s="190"/>
      <c r="E664" s="305"/>
      <c r="F664" s="300"/>
      <c r="G664" s="301"/>
      <c r="H664" s="192"/>
      <c r="I664" s="179"/>
    </row>
    <row r="665" spans="1:9">
      <c r="A665" s="209"/>
      <c r="B665" s="157">
        <v>4.5</v>
      </c>
      <c r="C665" s="158" t="s">
        <v>1128</v>
      </c>
      <c r="D665" s="195"/>
      <c r="E665" s="307"/>
      <c r="F665" s="300"/>
      <c r="G665" s="301"/>
      <c r="H665" s="192"/>
      <c r="I665" s="179"/>
    </row>
    <row r="666" spans="1:9">
      <c r="A666" s="193"/>
      <c r="B666" s="155"/>
      <c r="C666" s="156"/>
      <c r="D666" s="190"/>
      <c r="E666" s="305"/>
      <c r="F666" s="300"/>
      <c r="G666" s="301"/>
      <c r="H666" s="192"/>
      <c r="I666" s="179"/>
    </row>
    <row r="667" spans="1:9">
      <c r="A667" s="193"/>
      <c r="B667" s="155"/>
      <c r="C667" s="156" t="s">
        <v>1129</v>
      </c>
      <c r="D667" s="190" t="s">
        <v>1234</v>
      </c>
      <c r="E667" s="305"/>
      <c r="F667" s="300"/>
      <c r="G667" s="301"/>
      <c r="H667" s="192"/>
      <c r="I667" s="179"/>
    </row>
    <row r="668" spans="1:9">
      <c r="A668" s="193"/>
      <c r="B668" s="155"/>
      <c r="C668" s="156" t="s">
        <v>1130</v>
      </c>
      <c r="D668" s="190" t="s">
        <v>1234</v>
      </c>
      <c r="E668" s="305"/>
      <c r="F668" s="300"/>
      <c r="G668" s="301"/>
      <c r="H668" s="192"/>
      <c r="I668" s="179"/>
    </row>
    <row r="669" spans="1:9">
      <c r="A669" s="193"/>
      <c r="B669" s="155"/>
      <c r="C669" s="156"/>
      <c r="D669" s="190"/>
      <c r="E669" s="305"/>
      <c r="F669" s="300"/>
      <c r="G669" s="301"/>
      <c r="H669" s="192"/>
      <c r="I669" s="179"/>
    </row>
    <row r="670" spans="1:9" ht="15" thickBot="1">
      <c r="A670" s="193"/>
      <c r="B670" s="155"/>
      <c r="C670" s="156"/>
      <c r="D670" s="190"/>
      <c r="E670" s="305"/>
      <c r="F670" s="300"/>
      <c r="G670" s="301"/>
      <c r="H670" s="192"/>
      <c r="I670" s="179"/>
    </row>
    <row r="671" spans="1:9" ht="25.2">
      <c r="A671" s="261"/>
      <c r="B671" s="406">
        <f>[2]PDG!B429</f>
        <v>0</v>
      </c>
      <c r="C671" s="407"/>
      <c r="D671" s="407"/>
      <c r="E671" s="408"/>
      <c r="F671" s="321" t="s">
        <v>1131</v>
      </c>
      <c r="G671" s="322">
        <f>SUM(G408:G670)</f>
        <v>0</v>
      </c>
      <c r="H671" s="322">
        <f>SUM(H408:H670)</f>
        <v>0</v>
      </c>
      <c r="I671" s="260">
        <f>SUM(I408:I670)</f>
        <v>0</v>
      </c>
    </row>
    <row r="672" spans="1:9">
      <c r="A672" s="160"/>
      <c r="B672" s="409"/>
      <c r="C672" s="410"/>
      <c r="D672" s="410"/>
      <c r="E672" s="411"/>
      <c r="F672" s="323">
        <v>0.2</v>
      </c>
      <c r="G672" s="324">
        <f>G671*0.2</f>
        <v>0</v>
      </c>
      <c r="H672" s="324">
        <f>H671*0.2</f>
        <v>0</v>
      </c>
      <c r="I672" s="275">
        <f>I671*0.2</f>
        <v>0</v>
      </c>
    </row>
    <row r="673" spans="1:9" ht="25.8" thickBot="1">
      <c r="A673" s="261"/>
      <c r="B673" s="412"/>
      <c r="C673" s="413"/>
      <c r="D673" s="413"/>
      <c r="E673" s="414"/>
      <c r="F673" s="325" t="s">
        <v>1133</v>
      </c>
      <c r="G673" s="326">
        <f>G671+G672</f>
        <v>0</v>
      </c>
      <c r="H673" s="326">
        <f>H671+H672</f>
        <v>0</v>
      </c>
      <c r="I673" s="279">
        <f>I671+I672</f>
        <v>0</v>
      </c>
    </row>
  </sheetData>
  <mergeCells count="12">
    <mergeCell ref="B671:E673"/>
    <mergeCell ref="B1:I1"/>
    <mergeCell ref="B2:I2"/>
    <mergeCell ref="B3:I3"/>
    <mergeCell ref="B4:C4"/>
    <mergeCell ref="B5:I5"/>
    <mergeCell ref="B399:E401"/>
    <mergeCell ref="B403:I403"/>
    <mergeCell ref="B404:I404"/>
    <mergeCell ref="B405:I405"/>
    <mergeCell ref="B406:C406"/>
    <mergeCell ref="B407:I407"/>
  </mergeCells>
  <conditionalFormatting sqref="G399">
    <cfRule type="expression" dxfId="9" priority="6">
      <formula>($G$399&lt;&gt;#REF!)</formula>
    </cfRule>
  </conditionalFormatting>
  <conditionalFormatting sqref="G671">
    <cfRule type="expression" dxfId="8" priority="3">
      <formula>($G$270&lt;&gt;#REF!)</formula>
    </cfRule>
  </conditionalFormatting>
  <conditionalFormatting sqref="H399">
    <cfRule type="expression" dxfId="7" priority="5">
      <formula>$H$399&lt;&gt;#REF!</formula>
    </cfRule>
  </conditionalFormatting>
  <conditionalFormatting sqref="H671">
    <cfRule type="expression" dxfId="6" priority="2">
      <formula>$H$270&lt;&gt;#REF!</formula>
    </cfRule>
  </conditionalFormatting>
  <conditionalFormatting sqref="I399">
    <cfRule type="expression" dxfId="5" priority="4">
      <formula>$I$399&lt;&gt;#REF!</formula>
    </cfRule>
  </conditionalFormatting>
  <conditionalFormatting sqref="I671">
    <cfRule type="expression" dxfId="4" priority="1">
      <formula>$I$270&lt;&gt;#REF!</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7DCE9-4145-40AB-9DEB-08FF585BC054}">
  <sheetPr>
    <pageSetUpPr fitToPage="1"/>
  </sheetPr>
  <dimension ref="A1:M108"/>
  <sheetViews>
    <sheetView showZeros="0" zoomScale="80" zoomScaleNormal="80" workbookViewId="0">
      <selection activeCell="A6" sqref="A6:H6"/>
    </sheetView>
  </sheetViews>
  <sheetFormatPr baseColWidth="10" defaultColWidth="11.44140625" defaultRowHeight="15"/>
  <cols>
    <col min="1" max="3" width="9.77734375" style="1" customWidth="1"/>
    <col min="4" max="4" width="48.21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3" ht="122.1" customHeight="1" thickTop="1" thickBot="1">
      <c r="A1" s="355" t="s">
        <v>36</v>
      </c>
      <c r="B1" s="356"/>
      <c r="C1" s="356"/>
      <c r="D1" s="356"/>
      <c r="E1" s="356"/>
      <c r="F1" s="356"/>
      <c r="G1" s="356"/>
      <c r="H1" s="357"/>
    </row>
    <row r="2" spans="1:13" ht="57" customHeight="1" thickTop="1" thickBot="1">
      <c r="A2" s="358" t="s">
        <v>742</v>
      </c>
      <c r="B2" s="359"/>
      <c r="C2" s="359"/>
      <c r="D2" s="360"/>
      <c r="E2" s="360"/>
      <c r="F2" s="360"/>
      <c r="G2" s="360"/>
      <c r="H2" s="361"/>
    </row>
    <row r="3" spans="1:13" ht="44.25" customHeight="1" thickTop="1" thickBot="1">
      <c r="A3" s="15" t="s">
        <v>1</v>
      </c>
      <c r="B3" s="362" t="s">
        <v>38</v>
      </c>
      <c r="C3" s="362"/>
      <c r="D3" s="363"/>
      <c r="E3" s="16" t="s">
        <v>39</v>
      </c>
      <c r="F3" s="17" t="s">
        <v>40</v>
      </c>
      <c r="G3" s="18" t="s">
        <v>41</v>
      </c>
      <c r="H3" s="19" t="s">
        <v>42</v>
      </c>
    </row>
    <row r="4" spans="1:13" ht="13.05" customHeight="1" thickTop="1">
      <c r="A4" s="20"/>
      <c r="B4" s="21"/>
      <c r="C4" s="21"/>
      <c r="D4" s="21"/>
      <c r="E4" s="22"/>
      <c r="F4" s="23"/>
      <c r="G4" s="24"/>
      <c r="H4" s="25"/>
    </row>
    <row r="5" spans="1:13" ht="13.05" customHeight="1">
      <c r="A5" s="26"/>
      <c r="B5" s="27" t="s">
        <v>43</v>
      </c>
      <c r="C5" s="28"/>
      <c r="D5" s="28"/>
      <c r="E5" s="29"/>
      <c r="F5" s="30"/>
      <c r="G5" s="31"/>
      <c r="H5" s="32"/>
    </row>
    <row r="6" spans="1:13" ht="35.549999999999997" customHeight="1">
      <c r="A6" s="372" t="s">
        <v>1525</v>
      </c>
      <c r="B6" s="373"/>
      <c r="C6" s="373"/>
      <c r="D6" s="373"/>
      <c r="E6" s="373"/>
      <c r="F6" s="373"/>
      <c r="G6" s="373"/>
      <c r="H6" s="374"/>
    </row>
    <row r="7" spans="1:13" ht="13.05" customHeight="1">
      <c r="A7" s="26"/>
      <c r="B7" s="28"/>
      <c r="C7" s="28"/>
      <c r="D7" s="28"/>
      <c r="E7" s="29"/>
      <c r="F7" s="33"/>
      <c r="G7" s="34"/>
      <c r="H7" s="35"/>
      <c r="J7" s="36"/>
      <c r="K7" s="36"/>
      <c r="L7" s="36"/>
    </row>
    <row r="8" spans="1:13" ht="13.05" customHeight="1">
      <c r="A8" s="84" t="s">
        <v>66</v>
      </c>
      <c r="B8" s="93" t="s">
        <v>67</v>
      </c>
      <c r="C8" s="86"/>
      <c r="D8" s="86"/>
      <c r="E8" s="87" t="s">
        <v>70</v>
      </c>
      <c r="F8" s="33"/>
      <c r="G8" s="34"/>
      <c r="H8" s="35"/>
      <c r="J8" s="36"/>
      <c r="K8" s="36"/>
      <c r="L8" s="36"/>
      <c r="M8" s="68"/>
    </row>
    <row r="9" spans="1:13" ht="13.05" customHeight="1">
      <c r="A9" s="84"/>
      <c r="B9" s="93"/>
      <c r="C9" s="86"/>
      <c r="D9" s="86"/>
      <c r="E9" s="87"/>
      <c r="F9" s="33"/>
      <c r="G9" s="34"/>
      <c r="H9" s="35"/>
      <c r="J9" s="36"/>
      <c r="K9" s="36"/>
      <c r="L9" s="36"/>
      <c r="M9" s="68"/>
    </row>
    <row r="10" spans="1:13" ht="13.05" customHeight="1">
      <c r="A10" s="84" t="s">
        <v>68</v>
      </c>
      <c r="B10" s="85" t="s">
        <v>353</v>
      </c>
      <c r="C10" s="86"/>
      <c r="D10" s="86"/>
      <c r="E10" s="87" t="s">
        <v>70</v>
      </c>
      <c r="F10" s="33"/>
      <c r="G10" s="34"/>
      <c r="H10" s="35"/>
      <c r="J10" s="36"/>
      <c r="K10" s="36"/>
      <c r="L10" s="36"/>
      <c r="M10" s="68"/>
    </row>
    <row r="11" spans="1:13" ht="13.05" customHeight="1">
      <c r="A11" s="84"/>
      <c r="B11" s="85"/>
      <c r="C11" s="86"/>
      <c r="D11" s="86"/>
      <c r="E11" s="87"/>
      <c r="F11" s="33"/>
      <c r="G11" s="34"/>
      <c r="H11" s="35"/>
      <c r="J11" s="36"/>
      <c r="K11" s="36"/>
      <c r="L11" s="36"/>
      <c r="M11" s="68"/>
    </row>
    <row r="12" spans="1:13" ht="13.05" customHeight="1">
      <c r="A12" s="84" t="s">
        <v>71</v>
      </c>
      <c r="B12" s="85" t="s">
        <v>743</v>
      </c>
      <c r="C12" s="86"/>
      <c r="D12" s="86"/>
      <c r="E12" s="87" t="s">
        <v>70</v>
      </c>
      <c r="F12" s="33"/>
      <c r="G12" s="34"/>
      <c r="H12" s="35"/>
      <c r="J12" s="36"/>
      <c r="K12" s="36"/>
      <c r="L12" s="36"/>
      <c r="M12" s="68"/>
    </row>
    <row r="13" spans="1:13" ht="13.05" customHeight="1">
      <c r="A13" s="84"/>
      <c r="B13" s="85"/>
      <c r="C13" s="86"/>
      <c r="D13" s="86"/>
      <c r="E13" s="87"/>
      <c r="F13" s="33"/>
      <c r="G13" s="34"/>
      <c r="H13" s="35"/>
      <c r="J13" s="36"/>
      <c r="K13" s="36"/>
      <c r="L13" s="36"/>
      <c r="M13" s="68"/>
    </row>
    <row r="14" spans="1:13" ht="13.05" customHeight="1">
      <c r="A14" s="84" t="s">
        <v>73</v>
      </c>
      <c r="B14" s="85" t="s">
        <v>744</v>
      </c>
      <c r="C14" s="86"/>
      <c r="D14" s="86"/>
      <c r="E14" s="87" t="s">
        <v>52</v>
      </c>
      <c r="F14" s="33"/>
      <c r="G14" s="34"/>
      <c r="H14" s="35"/>
      <c r="J14" s="36"/>
      <c r="K14" s="36"/>
      <c r="L14" s="36"/>
      <c r="M14" s="68"/>
    </row>
    <row r="15" spans="1:13" ht="13.05" customHeight="1">
      <c r="A15" s="84"/>
      <c r="B15" s="85"/>
      <c r="C15" s="86"/>
      <c r="D15" s="86"/>
      <c r="E15" s="87"/>
      <c r="F15" s="33"/>
      <c r="G15" s="34"/>
      <c r="H15" s="35"/>
      <c r="J15" s="36"/>
      <c r="K15" s="36"/>
      <c r="L15" s="36"/>
      <c r="M15" s="68"/>
    </row>
    <row r="16" spans="1:13" ht="13.05" customHeight="1">
      <c r="A16" s="84" t="s">
        <v>76</v>
      </c>
      <c r="B16" s="85" t="s">
        <v>745</v>
      </c>
      <c r="C16" s="86"/>
      <c r="D16" s="86"/>
      <c r="E16" s="87"/>
      <c r="F16" s="33"/>
      <c r="G16" s="34"/>
      <c r="H16" s="35"/>
      <c r="J16" s="69"/>
      <c r="K16" s="69"/>
      <c r="L16" s="69"/>
      <c r="M16" s="68"/>
    </row>
    <row r="17" spans="1:13" ht="13.05" customHeight="1">
      <c r="A17" s="84"/>
      <c r="B17" s="85"/>
      <c r="C17" s="86"/>
      <c r="D17" s="86"/>
      <c r="E17" s="87"/>
      <c r="F17" s="33"/>
      <c r="G17" s="34"/>
      <c r="H17" s="35"/>
      <c r="J17" s="69"/>
      <c r="K17" s="69"/>
      <c r="L17" s="69"/>
      <c r="M17" s="68"/>
    </row>
    <row r="18" spans="1:13" ht="13.05" customHeight="1">
      <c r="A18" s="88" t="s">
        <v>535</v>
      </c>
      <c r="B18" s="86" t="s">
        <v>746</v>
      </c>
      <c r="C18" s="86"/>
      <c r="D18" s="86"/>
      <c r="E18" s="87" t="s">
        <v>52</v>
      </c>
      <c r="F18" s="33"/>
      <c r="G18" s="34"/>
      <c r="H18" s="35"/>
      <c r="J18" s="69"/>
      <c r="K18" s="69"/>
      <c r="L18" s="69"/>
      <c r="M18" s="68"/>
    </row>
    <row r="19" spans="1:13" ht="13.05" customHeight="1">
      <c r="A19" s="88"/>
      <c r="B19" s="86"/>
      <c r="C19" s="86"/>
      <c r="D19" s="86"/>
      <c r="E19" s="87"/>
      <c r="F19" s="33"/>
      <c r="G19" s="34"/>
      <c r="H19" s="35"/>
      <c r="J19" s="69"/>
      <c r="K19" s="69"/>
      <c r="L19" s="69"/>
      <c r="M19" s="68"/>
    </row>
    <row r="20" spans="1:13" ht="13.05" customHeight="1">
      <c r="A20" s="88" t="s">
        <v>537</v>
      </c>
      <c r="B20" s="86" t="s">
        <v>747</v>
      </c>
      <c r="C20" s="86"/>
      <c r="D20" s="86"/>
      <c r="E20" s="87" t="s">
        <v>52</v>
      </c>
      <c r="F20" s="33"/>
      <c r="G20" s="34"/>
      <c r="H20" s="35"/>
      <c r="J20" s="36"/>
      <c r="K20" s="36"/>
      <c r="L20" s="36"/>
      <c r="M20" s="68"/>
    </row>
    <row r="21" spans="1:13" ht="13.05" customHeight="1">
      <c r="A21" s="88"/>
      <c r="B21" s="86"/>
      <c r="C21" s="86"/>
      <c r="D21" s="86"/>
      <c r="E21" s="87"/>
      <c r="F21" s="33"/>
      <c r="G21" s="34"/>
      <c r="H21" s="35"/>
      <c r="J21" s="36"/>
      <c r="K21" s="36"/>
      <c r="L21" s="36"/>
      <c r="M21" s="68"/>
    </row>
    <row r="22" spans="1:13" ht="13.05" customHeight="1">
      <c r="A22" s="84" t="s">
        <v>78</v>
      </c>
      <c r="B22" s="85" t="s">
        <v>748</v>
      </c>
      <c r="C22" s="86"/>
      <c r="D22" s="86"/>
      <c r="E22" s="87"/>
      <c r="F22" s="33"/>
      <c r="G22" s="34"/>
      <c r="H22" s="35"/>
      <c r="J22" s="69"/>
      <c r="K22" s="69"/>
      <c r="L22" s="69"/>
      <c r="M22" s="68"/>
    </row>
    <row r="23" spans="1:13" ht="13.05" customHeight="1">
      <c r="A23" s="84"/>
      <c r="B23" s="85"/>
      <c r="C23" s="86"/>
      <c r="D23" s="86"/>
      <c r="E23" s="87"/>
      <c r="F23" s="33"/>
      <c r="G23" s="34"/>
      <c r="H23" s="35"/>
      <c r="J23" s="69"/>
      <c r="K23" s="69"/>
      <c r="L23" s="69"/>
      <c r="M23" s="68"/>
    </row>
    <row r="24" spans="1:13" ht="13.05" customHeight="1">
      <c r="A24" s="88" t="s">
        <v>357</v>
      </c>
      <c r="B24" s="86" t="s">
        <v>749</v>
      </c>
      <c r="C24" s="86"/>
      <c r="D24" s="86"/>
      <c r="E24" s="87" t="s">
        <v>52</v>
      </c>
      <c r="F24" s="33"/>
      <c r="G24" s="34"/>
      <c r="H24" s="35"/>
      <c r="J24" s="69"/>
      <c r="K24" s="69"/>
      <c r="L24" s="69"/>
      <c r="M24" s="68"/>
    </row>
    <row r="25" spans="1:13" ht="13.05" customHeight="1">
      <c r="A25" s="88"/>
      <c r="B25" s="86"/>
      <c r="C25" s="86"/>
      <c r="D25" s="86"/>
      <c r="E25" s="87"/>
      <c r="F25" s="33"/>
      <c r="G25" s="34"/>
      <c r="H25" s="35"/>
      <c r="J25" s="69"/>
      <c r="K25" s="69"/>
      <c r="L25" s="69"/>
      <c r="M25" s="68"/>
    </row>
    <row r="26" spans="1:13" ht="13.05" customHeight="1">
      <c r="A26" s="88" t="s">
        <v>359</v>
      </c>
      <c r="B26" s="86" t="s">
        <v>750</v>
      </c>
      <c r="C26" s="86"/>
      <c r="D26" s="86"/>
      <c r="E26" s="87" t="s">
        <v>52</v>
      </c>
      <c r="F26" s="33"/>
      <c r="G26" s="34"/>
      <c r="H26" s="35"/>
      <c r="J26" s="69"/>
      <c r="K26" s="69"/>
      <c r="L26" s="69"/>
      <c r="M26" s="68"/>
    </row>
    <row r="27" spans="1:13" ht="13.05" customHeight="1">
      <c r="A27" s="88"/>
      <c r="B27" s="86"/>
      <c r="C27" s="86"/>
      <c r="D27" s="86"/>
      <c r="E27" s="87"/>
      <c r="F27" s="33"/>
      <c r="G27" s="34"/>
      <c r="H27" s="35"/>
      <c r="J27" s="69"/>
      <c r="K27" s="69"/>
      <c r="L27" s="69"/>
      <c r="M27" s="68"/>
    </row>
    <row r="28" spans="1:13" ht="13.05" customHeight="1">
      <c r="A28" s="88" t="s">
        <v>361</v>
      </c>
      <c r="B28" s="86" t="s">
        <v>751</v>
      </c>
      <c r="C28" s="86"/>
      <c r="D28" s="86"/>
      <c r="E28" s="87" t="s">
        <v>46</v>
      </c>
      <c r="F28" s="33"/>
      <c r="G28" s="34"/>
      <c r="H28" s="35"/>
      <c r="J28" s="36"/>
      <c r="K28" s="36"/>
      <c r="L28" s="36"/>
      <c r="M28" s="68"/>
    </row>
    <row r="29" spans="1:13" ht="13.05" customHeight="1">
      <c r="A29" s="88"/>
      <c r="B29" s="86"/>
      <c r="C29" s="86"/>
      <c r="D29" s="86"/>
      <c r="E29" s="87"/>
      <c r="F29" s="33"/>
      <c r="G29" s="34"/>
      <c r="H29" s="35"/>
      <c r="J29" s="36"/>
      <c r="K29" s="36"/>
      <c r="L29" s="36"/>
      <c r="M29" s="68"/>
    </row>
    <row r="30" spans="1:13" ht="13.05" customHeight="1">
      <c r="A30" s="84" t="s">
        <v>81</v>
      </c>
      <c r="B30" s="85" t="s">
        <v>752</v>
      </c>
      <c r="C30" s="86"/>
      <c r="D30" s="86"/>
      <c r="E30" s="87" t="s">
        <v>52</v>
      </c>
      <c r="F30" s="33"/>
      <c r="G30" s="34"/>
      <c r="H30" s="35"/>
      <c r="J30" s="69"/>
      <c r="K30" s="69"/>
      <c r="L30" s="69"/>
      <c r="M30" s="68"/>
    </row>
    <row r="31" spans="1:13" ht="13.05" customHeight="1">
      <c r="A31" s="84"/>
      <c r="B31" s="85"/>
      <c r="C31" s="86"/>
      <c r="D31" s="86"/>
      <c r="E31" s="87"/>
      <c r="F31" s="33"/>
      <c r="G31" s="34"/>
      <c r="H31" s="35"/>
      <c r="J31" s="69"/>
      <c r="K31" s="69"/>
      <c r="L31" s="69"/>
      <c r="M31" s="68"/>
    </row>
    <row r="32" spans="1:13" ht="13.05" customHeight="1">
      <c r="A32" s="88" t="s">
        <v>396</v>
      </c>
      <c r="B32" s="86" t="s">
        <v>753</v>
      </c>
      <c r="C32" s="86"/>
      <c r="D32" s="86"/>
      <c r="E32" s="87"/>
      <c r="F32" s="33"/>
      <c r="G32" s="34"/>
      <c r="H32" s="35"/>
      <c r="J32" s="69"/>
      <c r="K32" s="69"/>
      <c r="L32" s="69"/>
      <c r="M32" s="68"/>
    </row>
    <row r="33" spans="1:13" ht="13.05" customHeight="1">
      <c r="A33" s="88"/>
      <c r="B33" s="86"/>
      <c r="C33" s="86" t="s">
        <v>441</v>
      </c>
      <c r="D33" s="86"/>
      <c r="E33" s="87" t="s">
        <v>52</v>
      </c>
      <c r="F33" s="33"/>
      <c r="G33" s="34"/>
      <c r="H33" s="35"/>
      <c r="J33" s="69"/>
      <c r="K33" s="69"/>
      <c r="L33" s="69"/>
      <c r="M33" s="68"/>
    </row>
    <row r="34" spans="1:13" ht="13.05" customHeight="1">
      <c r="A34" s="88"/>
      <c r="B34" s="86"/>
      <c r="C34" s="86" t="s">
        <v>754</v>
      </c>
      <c r="D34" s="86"/>
      <c r="E34" s="87" t="s">
        <v>123</v>
      </c>
      <c r="F34" s="33"/>
      <c r="G34" s="34"/>
      <c r="H34" s="35"/>
      <c r="J34" s="69"/>
      <c r="K34" s="69"/>
      <c r="L34" s="69"/>
      <c r="M34" s="68"/>
    </row>
    <row r="35" spans="1:13" ht="13.05" customHeight="1">
      <c r="A35" s="88"/>
      <c r="B35" s="86"/>
      <c r="C35" s="86"/>
      <c r="D35" s="86"/>
      <c r="E35" s="87"/>
      <c r="F35" s="33"/>
      <c r="G35" s="34"/>
      <c r="H35" s="35"/>
      <c r="J35" s="69"/>
      <c r="K35" s="69"/>
      <c r="L35" s="69"/>
      <c r="M35" s="68"/>
    </row>
    <row r="36" spans="1:13" ht="13.05" customHeight="1">
      <c r="A36" s="88" t="s">
        <v>398</v>
      </c>
      <c r="B36" s="86" t="s">
        <v>755</v>
      </c>
      <c r="C36" s="86"/>
      <c r="D36" s="86"/>
      <c r="E36" s="87"/>
      <c r="F36" s="33"/>
      <c r="G36" s="34"/>
      <c r="H36" s="35"/>
      <c r="J36" s="36"/>
      <c r="K36" s="36"/>
      <c r="L36" s="36"/>
      <c r="M36" s="68"/>
    </row>
    <row r="37" spans="1:13" ht="13.05" customHeight="1">
      <c r="A37" s="88"/>
      <c r="B37" s="86"/>
      <c r="C37" s="86" t="s">
        <v>441</v>
      </c>
      <c r="D37" s="86"/>
      <c r="E37" s="87" t="s">
        <v>52</v>
      </c>
      <c r="F37" s="33"/>
      <c r="G37" s="34"/>
      <c r="H37" s="35"/>
      <c r="J37" s="69"/>
      <c r="K37" s="69"/>
      <c r="L37" s="69"/>
      <c r="M37" s="68"/>
    </row>
    <row r="38" spans="1:13" ht="13.05" customHeight="1">
      <c r="A38" s="88"/>
      <c r="B38" s="86"/>
      <c r="C38" s="86" t="s">
        <v>754</v>
      </c>
      <c r="D38" s="86"/>
      <c r="E38" s="87" t="s">
        <v>123</v>
      </c>
      <c r="F38" s="33"/>
      <c r="G38" s="34"/>
      <c r="H38" s="35"/>
      <c r="J38" s="69"/>
      <c r="K38" s="69"/>
      <c r="L38" s="69"/>
      <c r="M38" s="68"/>
    </row>
    <row r="39" spans="1:13" ht="13.05" customHeight="1">
      <c r="A39" s="88"/>
      <c r="B39" s="86"/>
      <c r="C39" s="86"/>
      <c r="D39" s="86"/>
      <c r="E39" s="87"/>
      <c r="F39" s="33"/>
      <c r="G39" s="34"/>
      <c r="H39" s="35"/>
      <c r="J39" s="36"/>
      <c r="K39" s="36"/>
      <c r="L39" s="36"/>
      <c r="M39" s="68"/>
    </row>
    <row r="40" spans="1:13" ht="13.05" customHeight="1">
      <c r="A40" s="84" t="s">
        <v>83</v>
      </c>
      <c r="B40" s="85" t="s">
        <v>756</v>
      </c>
      <c r="C40" s="86"/>
      <c r="D40" s="86"/>
      <c r="E40" s="87"/>
      <c r="F40" s="33"/>
      <c r="G40" s="34"/>
      <c r="H40" s="35"/>
      <c r="J40" s="69"/>
      <c r="K40" s="69"/>
      <c r="L40" s="69"/>
      <c r="M40" s="68"/>
    </row>
    <row r="41" spans="1:13" ht="13.05" customHeight="1">
      <c r="A41" s="84"/>
      <c r="B41" s="85"/>
      <c r="C41" s="86"/>
      <c r="D41" s="86"/>
      <c r="E41" s="87"/>
      <c r="F41" s="33"/>
      <c r="G41" s="34"/>
      <c r="H41" s="35"/>
      <c r="J41" s="69"/>
      <c r="K41" s="69"/>
      <c r="L41" s="69"/>
      <c r="M41" s="68"/>
    </row>
    <row r="42" spans="1:13" ht="13.05" customHeight="1">
      <c r="A42" s="88" t="s">
        <v>85</v>
      </c>
      <c r="B42" s="86" t="s">
        <v>757</v>
      </c>
      <c r="C42" s="86"/>
      <c r="D42" s="86"/>
      <c r="E42" s="87" t="s">
        <v>52</v>
      </c>
      <c r="F42" s="33"/>
      <c r="G42" s="34"/>
      <c r="H42" s="35"/>
      <c r="J42" s="69"/>
      <c r="K42" s="69"/>
      <c r="L42" s="69"/>
      <c r="M42" s="68"/>
    </row>
    <row r="43" spans="1:13" ht="13.05" customHeight="1">
      <c r="A43" s="88"/>
      <c r="B43" s="86"/>
      <c r="C43" s="86"/>
      <c r="D43" s="86"/>
      <c r="E43" s="87"/>
      <c r="F43" s="33"/>
      <c r="G43" s="34"/>
      <c r="H43" s="35"/>
      <c r="J43" s="69"/>
      <c r="K43" s="69"/>
      <c r="L43" s="69"/>
      <c r="M43" s="68"/>
    </row>
    <row r="44" spans="1:13" ht="13.05" customHeight="1">
      <c r="A44" s="88" t="s">
        <v>87</v>
      </c>
      <c r="B44" s="86" t="s">
        <v>755</v>
      </c>
      <c r="C44" s="86"/>
      <c r="D44" s="86"/>
      <c r="E44" s="87" t="s">
        <v>52</v>
      </c>
      <c r="F44" s="33"/>
      <c r="G44" s="34"/>
      <c r="H44" s="35"/>
      <c r="J44" s="69"/>
      <c r="K44" s="69"/>
      <c r="L44" s="69"/>
      <c r="M44" s="68"/>
    </row>
    <row r="45" spans="1:13" ht="13.05" customHeight="1">
      <c r="A45" s="84"/>
      <c r="B45" s="85"/>
      <c r="C45" s="86"/>
      <c r="D45" s="86"/>
      <c r="E45" s="87"/>
      <c r="F45" s="33"/>
      <c r="G45" s="34"/>
      <c r="H45" s="35"/>
      <c r="J45" s="69"/>
      <c r="K45" s="69"/>
      <c r="L45" s="69"/>
      <c r="M45" s="68"/>
    </row>
    <row r="46" spans="1:13" ht="13.05" customHeight="1">
      <c r="A46" s="84" t="s">
        <v>136</v>
      </c>
      <c r="B46" s="93" t="s">
        <v>758</v>
      </c>
      <c r="C46" s="86"/>
      <c r="D46" s="86"/>
      <c r="E46" s="87" t="s">
        <v>52</v>
      </c>
      <c r="F46" s="33"/>
      <c r="G46" s="34"/>
      <c r="H46" s="35"/>
      <c r="J46" s="69"/>
      <c r="K46" s="69"/>
      <c r="L46" s="69"/>
      <c r="M46"/>
    </row>
    <row r="47" spans="1:13" ht="13.05" customHeight="1">
      <c r="A47" s="37"/>
      <c r="B47" s="38"/>
      <c r="C47" s="13"/>
      <c r="D47" s="13"/>
      <c r="E47" s="77"/>
      <c r="F47" s="78"/>
      <c r="G47" s="79"/>
      <c r="H47" s="80"/>
      <c r="J47" s="36"/>
      <c r="K47" s="36"/>
      <c r="L47" s="36"/>
    </row>
    <row r="48" spans="1:13" ht="13.05" customHeight="1">
      <c r="A48" s="37"/>
      <c r="B48" s="72" t="s">
        <v>75</v>
      </c>
      <c r="C48" s="13"/>
      <c r="D48" s="13"/>
      <c r="E48" s="39"/>
      <c r="F48" s="40"/>
      <c r="G48" s="41"/>
      <c r="H48" s="42"/>
      <c r="J48" s="74"/>
      <c r="K48" s="74"/>
      <c r="L48" s="74"/>
    </row>
    <row r="49" spans="1:12" ht="13.05" customHeight="1">
      <c r="A49" s="37"/>
      <c r="B49" s="38"/>
      <c r="C49" s="13"/>
      <c r="D49" s="13"/>
      <c r="E49" s="39"/>
      <c r="F49" s="40"/>
      <c r="G49" s="41"/>
      <c r="H49" s="42"/>
      <c r="J49" s="36"/>
      <c r="K49" s="36"/>
      <c r="L49" s="36"/>
    </row>
    <row r="50" spans="1:12" ht="13.05" customHeight="1">
      <c r="A50" s="37"/>
      <c r="B50" s="38"/>
      <c r="C50" s="13"/>
      <c r="D50" s="13"/>
      <c r="E50" s="39"/>
      <c r="F50" s="40"/>
      <c r="G50" s="41"/>
      <c r="H50" s="42"/>
      <c r="J50" s="36"/>
      <c r="K50" s="36"/>
      <c r="L50" s="36"/>
    </row>
    <row r="51" spans="1:12" ht="13.05" customHeight="1">
      <c r="A51" s="37"/>
      <c r="B51" s="38"/>
      <c r="C51" s="13"/>
      <c r="D51" s="13"/>
      <c r="E51" s="39"/>
      <c r="F51" s="40"/>
      <c r="G51" s="41"/>
      <c r="H51" s="42"/>
      <c r="J51" s="36"/>
      <c r="K51" s="36"/>
      <c r="L51" s="36"/>
    </row>
    <row r="52" spans="1:12" ht="13.05" customHeight="1">
      <c r="A52" s="37"/>
      <c r="B52" s="38"/>
      <c r="C52" s="13"/>
      <c r="D52" s="13"/>
      <c r="E52" s="39"/>
      <c r="F52" s="40"/>
      <c r="G52" s="41"/>
      <c r="H52" s="42"/>
      <c r="J52" s="36"/>
      <c r="K52" s="36"/>
      <c r="L52" s="36"/>
    </row>
    <row r="53" spans="1:12" ht="13.05" customHeight="1">
      <c r="A53" s="37"/>
      <c r="B53" s="38"/>
      <c r="C53" s="13"/>
      <c r="D53" s="13"/>
      <c r="E53" s="39"/>
      <c r="F53" s="40"/>
      <c r="G53" s="41"/>
      <c r="H53" s="42"/>
      <c r="J53" s="36"/>
      <c r="K53" s="36"/>
      <c r="L53" s="36"/>
    </row>
    <row r="54" spans="1:12" ht="13.05" customHeight="1">
      <c r="A54" s="37"/>
      <c r="B54" s="38"/>
      <c r="C54" s="13"/>
      <c r="D54" s="13"/>
      <c r="E54" s="77"/>
      <c r="F54" s="78"/>
      <c r="G54" s="79"/>
      <c r="H54" s="80"/>
      <c r="J54" s="69"/>
      <c r="K54" s="69"/>
      <c r="L54" s="69"/>
    </row>
    <row r="55" spans="1:12" ht="13.05" customHeight="1">
      <c r="A55" s="37"/>
      <c r="B55" s="38"/>
      <c r="C55" s="13"/>
      <c r="D55" s="13"/>
      <c r="E55" s="77"/>
      <c r="F55" s="78"/>
      <c r="G55" s="79"/>
      <c r="H55" s="80"/>
      <c r="J55" s="69"/>
      <c r="K55" s="69"/>
      <c r="L55" s="69"/>
    </row>
    <row r="56" spans="1:12" ht="13.05" customHeight="1">
      <c r="A56" s="84"/>
      <c r="B56" s="93"/>
      <c r="C56" s="86"/>
      <c r="D56" s="86"/>
      <c r="E56" s="87"/>
      <c r="F56" s="33"/>
      <c r="G56" s="34"/>
      <c r="H56" s="35"/>
      <c r="J56" s="36"/>
      <c r="K56" s="36"/>
      <c r="L56" s="36"/>
    </row>
    <row r="57" spans="1:12" ht="13.05" customHeight="1">
      <c r="A57" s="84" t="s">
        <v>464</v>
      </c>
      <c r="B57" s="93" t="s">
        <v>759</v>
      </c>
      <c r="C57" s="86"/>
      <c r="D57" s="86"/>
      <c r="E57" s="87" t="s">
        <v>52</v>
      </c>
      <c r="F57" s="33"/>
      <c r="G57" s="34"/>
      <c r="H57" s="35"/>
      <c r="J57" s="36"/>
      <c r="K57" s="36"/>
      <c r="L57" s="36"/>
    </row>
    <row r="58" spans="1:12" ht="13.05" customHeight="1">
      <c r="A58" s="37"/>
      <c r="B58" s="38"/>
      <c r="C58" s="13"/>
      <c r="D58" s="13"/>
      <c r="E58" s="77"/>
      <c r="F58" s="78"/>
      <c r="G58" s="79"/>
      <c r="H58" s="80"/>
      <c r="J58" s="69"/>
      <c r="K58" s="69"/>
      <c r="L58" s="69"/>
    </row>
    <row r="59" spans="1:12" ht="13.05" customHeight="1">
      <c r="A59" s="37"/>
      <c r="B59" s="72" t="s">
        <v>75</v>
      </c>
      <c r="C59" s="13"/>
      <c r="D59" s="13"/>
      <c r="E59" s="39"/>
      <c r="F59" s="40"/>
      <c r="G59" s="41"/>
      <c r="H59" s="42"/>
      <c r="J59" s="69"/>
      <c r="K59" s="69"/>
      <c r="L59" s="69"/>
    </row>
    <row r="60" spans="1:12" ht="13.05" customHeight="1">
      <c r="A60" s="37"/>
      <c r="B60" s="38"/>
      <c r="C60" s="13"/>
      <c r="D60" s="13"/>
      <c r="E60" s="39"/>
      <c r="F60" s="40"/>
      <c r="G60" s="41"/>
      <c r="H60" s="42"/>
      <c r="J60" s="69"/>
      <c r="K60" s="69"/>
      <c r="L60" s="69"/>
    </row>
    <row r="61" spans="1:12" ht="13.05" customHeight="1">
      <c r="A61" s="37"/>
      <c r="B61" s="38"/>
      <c r="C61" s="13"/>
      <c r="D61" s="13"/>
      <c r="E61" s="39"/>
      <c r="F61" s="40"/>
      <c r="G61" s="41"/>
      <c r="H61" s="42"/>
      <c r="J61" s="69"/>
      <c r="K61" s="69"/>
      <c r="L61" s="69"/>
    </row>
    <row r="62" spans="1:12" ht="13.05" customHeight="1">
      <c r="A62" s="37"/>
      <c r="B62" s="38"/>
      <c r="C62" s="13"/>
      <c r="D62" s="13"/>
      <c r="E62" s="39"/>
      <c r="F62" s="40"/>
      <c r="G62" s="41"/>
      <c r="H62" s="42"/>
      <c r="J62" s="36"/>
      <c r="K62" s="36"/>
      <c r="L62" s="36"/>
    </row>
    <row r="63" spans="1:12" ht="13.05" customHeight="1">
      <c r="A63" s="37"/>
      <c r="B63" s="38"/>
      <c r="C63" s="13"/>
      <c r="D63" s="13"/>
      <c r="E63" s="39"/>
      <c r="F63" s="40"/>
      <c r="G63" s="41"/>
      <c r="H63" s="42"/>
      <c r="J63" s="36"/>
      <c r="K63" s="36"/>
      <c r="L63" s="36"/>
    </row>
    <row r="64" spans="1:12" ht="13.05" customHeight="1">
      <c r="A64" s="37"/>
      <c r="B64" s="38"/>
      <c r="C64" s="13"/>
      <c r="D64" s="13"/>
      <c r="E64" s="39"/>
      <c r="F64" s="40"/>
      <c r="G64" s="41"/>
      <c r="H64" s="42"/>
      <c r="J64" s="68"/>
      <c r="K64"/>
      <c r="L64"/>
    </row>
    <row r="65" spans="1:12" ht="13.05" customHeight="1">
      <c r="A65" s="37"/>
      <c r="B65" s="38"/>
      <c r="C65" s="13"/>
      <c r="D65" s="13"/>
      <c r="E65" s="77"/>
      <c r="F65" s="78"/>
      <c r="G65" s="79"/>
      <c r="H65" s="80"/>
      <c r="J65" s="69"/>
      <c r="K65" s="69"/>
      <c r="L65" s="69"/>
    </row>
    <row r="66" spans="1:12" ht="13.05" customHeight="1">
      <c r="A66" s="37"/>
      <c r="B66" s="38"/>
      <c r="C66" s="13"/>
      <c r="D66" s="13"/>
      <c r="E66" s="77"/>
      <c r="F66" s="78"/>
      <c r="G66" s="79"/>
      <c r="H66" s="80"/>
      <c r="J66" s="36"/>
      <c r="K66" s="36"/>
      <c r="L66" s="36"/>
    </row>
    <row r="67" spans="1:12" ht="13.05" customHeight="1">
      <c r="A67" s="84"/>
      <c r="B67" s="93"/>
      <c r="C67" s="86"/>
      <c r="D67" s="86"/>
      <c r="E67" s="87"/>
      <c r="F67" s="33"/>
      <c r="G67" s="34"/>
      <c r="H67" s="35"/>
      <c r="J67" s="36"/>
      <c r="K67" s="36"/>
      <c r="L67" s="36"/>
    </row>
    <row r="68" spans="1:12" ht="13.05" customHeight="1">
      <c r="A68" s="84" t="s">
        <v>471</v>
      </c>
      <c r="B68" s="93" t="s">
        <v>760</v>
      </c>
      <c r="C68" s="86"/>
      <c r="D68" s="86"/>
      <c r="E68" s="87" t="s">
        <v>615</v>
      </c>
      <c r="F68" s="33"/>
      <c r="G68" s="34"/>
      <c r="H68" s="35"/>
      <c r="J68" s="36"/>
      <c r="K68" s="36"/>
      <c r="L68" s="36"/>
    </row>
    <row r="69" spans="1:12" ht="13.05" customHeight="1">
      <c r="A69" s="84"/>
      <c r="B69" s="93"/>
      <c r="C69" s="86"/>
      <c r="D69" s="86"/>
      <c r="E69" s="87"/>
      <c r="F69" s="33"/>
      <c r="G69" s="34"/>
      <c r="H69" s="35"/>
      <c r="J69" s="36"/>
      <c r="K69" s="36"/>
      <c r="L69" s="36"/>
    </row>
    <row r="70" spans="1:12" ht="13.05" customHeight="1">
      <c r="A70" s="84" t="s">
        <v>473</v>
      </c>
      <c r="B70" s="93" t="s">
        <v>761</v>
      </c>
      <c r="C70" s="86"/>
      <c r="D70" s="86"/>
      <c r="E70" s="87" t="s">
        <v>615</v>
      </c>
      <c r="F70" s="33"/>
      <c r="G70" s="34"/>
      <c r="H70" s="35"/>
      <c r="J70" s="36"/>
      <c r="K70" s="36"/>
      <c r="L70" s="36"/>
    </row>
    <row r="71" spans="1:12" ht="13.05" customHeight="1">
      <c r="A71" s="84"/>
      <c r="B71" s="93"/>
      <c r="C71" s="86"/>
      <c r="D71" s="86"/>
      <c r="E71" s="87"/>
      <c r="F71" s="33"/>
      <c r="G71" s="34"/>
      <c r="H71" s="35"/>
      <c r="J71" s="36"/>
      <c r="K71" s="36"/>
      <c r="L71" s="36"/>
    </row>
    <row r="72" spans="1:12" ht="13.05" customHeight="1">
      <c r="A72" s="84" t="s">
        <v>475</v>
      </c>
      <c r="B72" s="93" t="s">
        <v>564</v>
      </c>
      <c r="C72" s="86"/>
      <c r="D72" s="86"/>
      <c r="E72" s="87" t="s">
        <v>46</v>
      </c>
      <c r="F72" s="33"/>
      <c r="G72" s="34"/>
      <c r="H72" s="35"/>
      <c r="J72" s="36"/>
      <c r="K72" s="36"/>
      <c r="L72" s="36"/>
    </row>
    <row r="73" spans="1:12" ht="13.05" customHeight="1">
      <c r="A73" s="84"/>
      <c r="B73" s="93"/>
      <c r="C73" s="86"/>
      <c r="D73" s="86"/>
      <c r="E73" s="87"/>
      <c r="F73" s="33"/>
      <c r="G73" s="34"/>
      <c r="H73" s="35"/>
      <c r="J73" s="36"/>
      <c r="K73" s="36"/>
      <c r="L73" s="36"/>
    </row>
    <row r="74" spans="1:12" ht="13.05" customHeight="1">
      <c r="A74" s="84" t="s">
        <v>477</v>
      </c>
      <c r="B74" s="93" t="s">
        <v>762</v>
      </c>
      <c r="C74" s="86"/>
      <c r="D74" s="86"/>
      <c r="E74" s="87" t="s">
        <v>52</v>
      </c>
      <c r="F74" s="33"/>
      <c r="G74" s="34"/>
      <c r="H74" s="35"/>
      <c r="J74" s="36"/>
      <c r="K74" s="36"/>
      <c r="L74" s="36"/>
    </row>
    <row r="75" spans="1:12" ht="13.05" customHeight="1">
      <c r="A75" s="37"/>
      <c r="B75" s="46"/>
      <c r="C75" s="13"/>
      <c r="D75" s="13"/>
      <c r="E75" s="39"/>
      <c r="F75" s="33"/>
      <c r="G75" s="34"/>
      <c r="H75" s="35"/>
      <c r="J75" s="36"/>
      <c r="K75" s="36"/>
      <c r="L75" s="36"/>
    </row>
    <row r="76" spans="1:12" ht="13.05" customHeight="1">
      <c r="A76" s="44" t="s">
        <v>527</v>
      </c>
      <c r="B76" s="13" t="s">
        <v>763</v>
      </c>
      <c r="C76" s="13"/>
      <c r="D76" s="13"/>
      <c r="E76" s="39" t="s">
        <v>52</v>
      </c>
      <c r="F76" s="40"/>
      <c r="G76" s="41"/>
      <c r="H76" s="42"/>
      <c r="J76" s="69"/>
      <c r="K76" s="69"/>
      <c r="L76" s="69"/>
    </row>
    <row r="77" spans="1:12" ht="13.05" customHeight="1">
      <c r="A77" s="44"/>
      <c r="B77" s="13"/>
      <c r="C77" s="13"/>
      <c r="D77" s="13"/>
      <c r="E77" s="39"/>
      <c r="F77" s="40"/>
      <c r="G77" s="41"/>
      <c r="H77" s="42"/>
      <c r="J77" s="69"/>
      <c r="K77" s="69"/>
      <c r="L77" s="69"/>
    </row>
    <row r="78" spans="1:12" ht="13.05" customHeight="1">
      <c r="A78" s="44" t="s">
        <v>529</v>
      </c>
      <c r="B78" s="13" t="s">
        <v>764</v>
      </c>
      <c r="C78" s="13"/>
      <c r="D78" s="13"/>
      <c r="E78" s="39" t="s">
        <v>52</v>
      </c>
      <c r="F78" s="40"/>
      <c r="G78" s="41"/>
      <c r="H78" s="42"/>
      <c r="J78" s="69"/>
      <c r="K78" s="69"/>
      <c r="L78" s="69"/>
    </row>
    <row r="79" spans="1:12" ht="13.05" customHeight="1">
      <c r="A79" s="45"/>
      <c r="B79" s="46"/>
      <c r="C79" s="47"/>
      <c r="D79" s="47"/>
      <c r="E79" s="48"/>
      <c r="F79" s="33"/>
      <c r="G79" s="34"/>
      <c r="H79" s="42">
        <f t="shared" ref="H79" si="0">G79*F79</f>
        <v>0</v>
      </c>
      <c r="J79"/>
      <c r="K79"/>
      <c r="L79"/>
    </row>
    <row r="80" spans="1:12" ht="13.05" customHeight="1" thickBot="1">
      <c r="A80" s="49"/>
      <c r="B80" s="50"/>
      <c r="C80" s="50"/>
      <c r="D80" s="50"/>
      <c r="E80" s="51"/>
      <c r="F80" s="52"/>
      <c r="G80" s="53"/>
      <c r="H80" s="54"/>
      <c r="J80"/>
      <c r="K80"/>
      <c r="L80"/>
    </row>
    <row r="81" spans="1:12" ht="20.100000000000001" customHeight="1" thickTop="1">
      <c r="A81" s="366" t="s">
        <v>62</v>
      </c>
      <c r="B81" s="367"/>
      <c r="C81" s="367"/>
      <c r="D81" s="368"/>
      <c r="E81" s="55"/>
      <c r="F81" s="56"/>
      <c r="G81" s="57"/>
      <c r="H81" s="58"/>
      <c r="J81"/>
      <c r="K81"/>
      <c r="L81"/>
    </row>
    <row r="82" spans="1:12" ht="20.100000000000001" customHeight="1">
      <c r="A82" s="369" t="s">
        <v>63</v>
      </c>
      <c r="B82" s="370"/>
      <c r="C82" s="370"/>
      <c r="D82" s="371"/>
      <c r="E82" s="59"/>
      <c r="F82" s="60"/>
      <c r="G82" s="61"/>
      <c r="H82" s="62"/>
      <c r="J82"/>
      <c r="K82"/>
      <c r="L82"/>
    </row>
    <row r="83" spans="1:12" ht="20.100000000000001" customHeight="1" thickBot="1">
      <c r="A83" s="352" t="s">
        <v>64</v>
      </c>
      <c r="B83" s="353"/>
      <c r="C83" s="353"/>
      <c r="D83" s="354"/>
      <c r="E83" s="63"/>
      <c r="F83" s="64"/>
      <c r="G83" s="65"/>
      <c r="H83" s="66"/>
      <c r="J83"/>
      <c r="K83"/>
      <c r="L83"/>
    </row>
    <row r="84" spans="1:12" ht="15.6" thickTop="1">
      <c r="J84"/>
      <c r="K84"/>
      <c r="L84"/>
    </row>
    <row r="85" spans="1:12">
      <c r="J85"/>
      <c r="K85"/>
      <c r="L85"/>
    </row>
    <row r="86" spans="1:12">
      <c r="J86"/>
      <c r="K86"/>
      <c r="L86"/>
    </row>
    <row r="87" spans="1:12">
      <c r="L87"/>
    </row>
    <row r="88" spans="1:12">
      <c r="L88"/>
    </row>
    <row r="89" spans="1:12">
      <c r="L89"/>
    </row>
    <row r="90" spans="1:12">
      <c r="L90"/>
    </row>
    <row r="91" spans="1:12">
      <c r="L91"/>
    </row>
    <row r="92" spans="1:12">
      <c r="L92"/>
    </row>
    <row r="93" spans="1:12">
      <c r="L93"/>
    </row>
    <row r="94" spans="1:12">
      <c r="L94"/>
    </row>
    <row r="95" spans="1:12">
      <c r="L95"/>
    </row>
    <row r="96" spans="1:12">
      <c r="L96"/>
    </row>
    <row r="97" spans="10:12">
      <c r="L97"/>
    </row>
    <row r="98" spans="10:12">
      <c r="L98"/>
    </row>
    <row r="99" spans="10:12">
      <c r="L99"/>
    </row>
    <row r="100" spans="10:12">
      <c r="L100"/>
    </row>
    <row r="101" spans="10:12">
      <c r="L101"/>
    </row>
    <row r="102" spans="10:12">
      <c r="L102"/>
    </row>
    <row r="103" spans="10:12">
      <c r="L103"/>
    </row>
    <row r="104" spans="10:12">
      <c r="L104"/>
    </row>
    <row r="105" spans="10:12">
      <c r="L105"/>
    </row>
    <row r="106" spans="10:12">
      <c r="L106"/>
    </row>
    <row r="107" spans="10:12">
      <c r="L107"/>
    </row>
    <row r="108" spans="10:12">
      <c r="J108" s="68"/>
      <c r="K108"/>
      <c r="L108"/>
    </row>
  </sheetData>
  <mergeCells count="7">
    <mergeCell ref="A83:D83"/>
    <mergeCell ref="A1:H1"/>
    <mergeCell ref="A2:H2"/>
    <mergeCell ref="B3:D3"/>
    <mergeCell ref="A81:D81"/>
    <mergeCell ref="A82:D82"/>
    <mergeCell ref="A6:H6"/>
  </mergeCells>
  <pageMargins left="0.70866141732283472" right="0.70866141732283472" top="0.74803149606299213" bottom="0.74803149606299213" header="0.31496062992125984" footer="0.31496062992125984"/>
  <pageSetup paperSize="9" scale="62" fitToHeight="11" orientation="portrait" horizontalDpi="0" verticalDpi="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738C7-65F0-4A5B-9B7A-97FB7226C84B}">
  <dimension ref="A1:L52"/>
  <sheetViews>
    <sheetView workbookViewId="0">
      <selection activeCell="A6" sqref="A6:H6"/>
    </sheetView>
  </sheetViews>
  <sheetFormatPr baseColWidth="10" defaultColWidth="11.44140625" defaultRowHeight="15"/>
  <cols>
    <col min="1" max="3" width="9.77734375" style="1" customWidth="1"/>
    <col min="4" max="4" width="34.2187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11" width="112.21875" style="1" customWidth="1"/>
    <col min="12" max="206" width="11.44140625" style="1"/>
    <col min="207" max="207" width="4.21875" style="1" customWidth="1"/>
    <col min="208" max="209" width="11.44140625" style="1"/>
    <col min="210" max="210" width="22" style="1" customWidth="1"/>
    <col min="211" max="211" width="6.77734375" style="1" customWidth="1"/>
    <col min="212" max="212" width="15.44140625" style="1" bestFit="1" customWidth="1"/>
    <col min="213" max="213" width="11.44140625" style="1"/>
    <col min="214" max="214" width="14.21875" style="1" bestFit="1" customWidth="1"/>
    <col min="215" max="215" width="11.77734375" style="1" bestFit="1" customWidth="1"/>
    <col min="216" max="216" width="13.21875" style="1" bestFit="1" customWidth="1"/>
    <col min="217" max="217" width="11.77734375" style="1" bestFit="1" customWidth="1"/>
    <col min="218" max="462" width="11.44140625" style="1"/>
    <col min="463" max="463" width="4.21875" style="1" customWidth="1"/>
    <col min="464" max="465" width="11.44140625" style="1"/>
    <col min="466" max="466" width="22" style="1" customWidth="1"/>
    <col min="467" max="467" width="6.77734375" style="1" customWidth="1"/>
    <col min="468" max="468" width="15.44140625" style="1" bestFit="1" customWidth="1"/>
    <col min="469" max="469" width="11.44140625" style="1"/>
    <col min="470" max="470" width="14.21875" style="1" bestFit="1" customWidth="1"/>
    <col min="471" max="471" width="11.77734375" style="1" bestFit="1" customWidth="1"/>
    <col min="472" max="472" width="13.21875" style="1" bestFit="1" customWidth="1"/>
    <col min="473" max="473" width="11.77734375" style="1" bestFit="1" customWidth="1"/>
    <col min="474" max="718" width="11.44140625" style="1"/>
    <col min="719" max="719" width="4.21875" style="1" customWidth="1"/>
    <col min="720" max="721" width="11.44140625" style="1"/>
    <col min="722" max="722" width="22" style="1" customWidth="1"/>
    <col min="723" max="723" width="6.77734375" style="1" customWidth="1"/>
    <col min="724" max="724" width="15.44140625" style="1" bestFit="1" customWidth="1"/>
    <col min="725" max="725" width="11.44140625" style="1"/>
    <col min="726" max="726" width="14.21875" style="1" bestFit="1" customWidth="1"/>
    <col min="727" max="727" width="11.77734375" style="1" bestFit="1" customWidth="1"/>
    <col min="728" max="728" width="13.21875" style="1" bestFit="1" customWidth="1"/>
    <col min="729" max="729" width="11.77734375" style="1" bestFit="1" customWidth="1"/>
    <col min="730" max="974" width="11.44140625" style="1"/>
    <col min="975" max="975" width="4.21875" style="1" customWidth="1"/>
    <col min="976" max="977" width="11.44140625" style="1"/>
    <col min="978" max="978" width="22" style="1" customWidth="1"/>
    <col min="979" max="979" width="6.77734375" style="1" customWidth="1"/>
    <col min="980" max="980" width="15.44140625" style="1" bestFit="1" customWidth="1"/>
    <col min="981" max="981" width="11.44140625" style="1"/>
    <col min="982" max="982" width="14.21875" style="1" bestFit="1" customWidth="1"/>
    <col min="983" max="983" width="11.77734375" style="1" bestFit="1" customWidth="1"/>
    <col min="984" max="984" width="13.21875" style="1" bestFit="1" customWidth="1"/>
    <col min="985" max="985" width="11.77734375" style="1" bestFit="1" customWidth="1"/>
    <col min="986" max="1230" width="11.44140625" style="1"/>
    <col min="1231" max="1231" width="4.21875" style="1" customWidth="1"/>
    <col min="1232" max="1233" width="11.44140625" style="1"/>
    <col min="1234" max="1234" width="22" style="1" customWidth="1"/>
    <col min="1235" max="1235" width="6.77734375" style="1" customWidth="1"/>
    <col min="1236" max="1236" width="15.44140625" style="1" bestFit="1" customWidth="1"/>
    <col min="1237" max="1237" width="11.44140625" style="1"/>
    <col min="1238" max="1238" width="14.21875" style="1" bestFit="1" customWidth="1"/>
    <col min="1239" max="1239" width="11.77734375" style="1" bestFit="1" customWidth="1"/>
    <col min="1240" max="1240" width="13.21875" style="1" bestFit="1" customWidth="1"/>
    <col min="1241" max="1241" width="11.77734375" style="1" bestFit="1" customWidth="1"/>
    <col min="1242" max="1486" width="11.44140625" style="1"/>
    <col min="1487" max="1487" width="4.21875" style="1" customWidth="1"/>
    <col min="1488" max="1489" width="11.44140625" style="1"/>
    <col min="1490" max="1490" width="22" style="1" customWidth="1"/>
    <col min="1491" max="1491" width="6.77734375" style="1" customWidth="1"/>
    <col min="1492" max="1492" width="15.44140625" style="1" bestFit="1" customWidth="1"/>
    <col min="1493" max="1493" width="11.44140625" style="1"/>
    <col min="1494" max="1494" width="14.21875" style="1" bestFit="1" customWidth="1"/>
    <col min="1495" max="1495" width="11.77734375" style="1" bestFit="1" customWidth="1"/>
    <col min="1496" max="1496" width="13.21875" style="1" bestFit="1" customWidth="1"/>
    <col min="1497" max="1497" width="11.77734375" style="1" bestFit="1" customWidth="1"/>
    <col min="1498" max="1742" width="11.44140625" style="1"/>
    <col min="1743" max="1743" width="4.21875" style="1" customWidth="1"/>
    <col min="1744" max="1745" width="11.44140625" style="1"/>
    <col min="1746" max="1746" width="22" style="1" customWidth="1"/>
    <col min="1747" max="1747" width="6.77734375" style="1" customWidth="1"/>
    <col min="1748" max="1748" width="15.44140625" style="1" bestFit="1" customWidth="1"/>
    <col min="1749" max="1749" width="11.44140625" style="1"/>
    <col min="1750" max="1750" width="14.21875" style="1" bestFit="1" customWidth="1"/>
    <col min="1751" max="1751" width="11.77734375" style="1" bestFit="1" customWidth="1"/>
    <col min="1752" max="1752" width="13.21875" style="1" bestFit="1" customWidth="1"/>
    <col min="1753" max="1753" width="11.77734375" style="1" bestFit="1" customWidth="1"/>
    <col min="1754" max="1998" width="11.44140625" style="1"/>
    <col min="1999" max="1999" width="4.21875" style="1" customWidth="1"/>
    <col min="2000" max="2001" width="11.44140625" style="1"/>
    <col min="2002" max="2002" width="22" style="1" customWidth="1"/>
    <col min="2003" max="2003" width="6.77734375" style="1" customWidth="1"/>
    <col min="2004" max="2004" width="15.44140625" style="1" bestFit="1" customWidth="1"/>
    <col min="2005" max="2005" width="11.44140625" style="1"/>
    <col min="2006" max="2006" width="14.21875" style="1" bestFit="1" customWidth="1"/>
    <col min="2007" max="2007" width="11.77734375" style="1" bestFit="1" customWidth="1"/>
    <col min="2008" max="2008" width="13.21875" style="1" bestFit="1" customWidth="1"/>
    <col min="2009" max="2009" width="11.77734375" style="1" bestFit="1" customWidth="1"/>
    <col min="2010" max="2254" width="11.44140625" style="1"/>
    <col min="2255" max="2255" width="4.21875" style="1" customWidth="1"/>
    <col min="2256" max="2257" width="11.44140625" style="1"/>
    <col min="2258" max="2258" width="22" style="1" customWidth="1"/>
    <col min="2259" max="2259" width="6.77734375" style="1" customWidth="1"/>
    <col min="2260" max="2260" width="15.44140625" style="1" bestFit="1" customWidth="1"/>
    <col min="2261" max="2261" width="11.44140625" style="1"/>
    <col min="2262" max="2262" width="14.21875" style="1" bestFit="1" customWidth="1"/>
    <col min="2263" max="2263" width="11.77734375" style="1" bestFit="1" customWidth="1"/>
    <col min="2264" max="2264" width="13.21875" style="1" bestFit="1" customWidth="1"/>
    <col min="2265" max="2265" width="11.77734375" style="1" bestFit="1" customWidth="1"/>
    <col min="2266" max="2510" width="11.44140625" style="1"/>
    <col min="2511" max="2511" width="4.21875" style="1" customWidth="1"/>
    <col min="2512" max="2513" width="11.44140625" style="1"/>
    <col min="2514" max="2514" width="22" style="1" customWidth="1"/>
    <col min="2515" max="2515" width="6.77734375" style="1" customWidth="1"/>
    <col min="2516" max="2516" width="15.44140625" style="1" bestFit="1" customWidth="1"/>
    <col min="2517" max="2517" width="11.44140625" style="1"/>
    <col min="2518" max="2518" width="14.21875" style="1" bestFit="1" customWidth="1"/>
    <col min="2519" max="2519" width="11.77734375" style="1" bestFit="1" customWidth="1"/>
    <col min="2520" max="2520" width="13.21875" style="1" bestFit="1" customWidth="1"/>
    <col min="2521" max="2521" width="11.77734375" style="1" bestFit="1" customWidth="1"/>
    <col min="2522" max="2766" width="11.44140625" style="1"/>
    <col min="2767" max="2767" width="4.21875" style="1" customWidth="1"/>
    <col min="2768" max="2769" width="11.44140625" style="1"/>
    <col min="2770" max="2770" width="22" style="1" customWidth="1"/>
    <col min="2771" max="2771" width="6.77734375" style="1" customWidth="1"/>
    <col min="2772" max="2772" width="15.44140625" style="1" bestFit="1" customWidth="1"/>
    <col min="2773" max="2773" width="11.44140625" style="1"/>
    <col min="2774" max="2774" width="14.21875" style="1" bestFit="1" customWidth="1"/>
    <col min="2775" max="2775" width="11.77734375" style="1" bestFit="1" customWidth="1"/>
    <col min="2776" max="2776" width="13.21875" style="1" bestFit="1" customWidth="1"/>
    <col min="2777" max="2777" width="11.77734375" style="1" bestFit="1" customWidth="1"/>
    <col min="2778" max="3022" width="11.44140625" style="1"/>
    <col min="3023" max="3023" width="4.21875" style="1" customWidth="1"/>
    <col min="3024" max="3025" width="11.44140625" style="1"/>
    <col min="3026" max="3026" width="22" style="1" customWidth="1"/>
    <col min="3027" max="3027" width="6.77734375" style="1" customWidth="1"/>
    <col min="3028" max="3028" width="15.44140625" style="1" bestFit="1" customWidth="1"/>
    <col min="3029" max="3029" width="11.44140625" style="1"/>
    <col min="3030" max="3030" width="14.21875" style="1" bestFit="1" customWidth="1"/>
    <col min="3031" max="3031" width="11.77734375" style="1" bestFit="1" customWidth="1"/>
    <col min="3032" max="3032" width="13.21875" style="1" bestFit="1" customWidth="1"/>
    <col min="3033" max="3033" width="11.77734375" style="1" bestFit="1" customWidth="1"/>
    <col min="3034" max="3278" width="11.44140625" style="1"/>
    <col min="3279" max="3279" width="4.21875" style="1" customWidth="1"/>
    <col min="3280" max="3281" width="11.44140625" style="1"/>
    <col min="3282" max="3282" width="22" style="1" customWidth="1"/>
    <col min="3283" max="3283" width="6.77734375" style="1" customWidth="1"/>
    <col min="3284" max="3284" width="15.44140625" style="1" bestFit="1" customWidth="1"/>
    <col min="3285" max="3285" width="11.44140625" style="1"/>
    <col min="3286" max="3286" width="14.21875" style="1" bestFit="1" customWidth="1"/>
    <col min="3287" max="3287" width="11.77734375" style="1" bestFit="1" customWidth="1"/>
    <col min="3288" max="3288" width="13.21875" style="1" bestFit="1" customWidth="1"/>
    <col min="3289" max="3289" width="11.77734375" style="1" bestFit="1" customWidth="1"/>
    <col min="3290" max="3534" width="11.44140625" style="1"/>
    <col min="3535" max="3535" width="4.21875" style="1" customWidth="1"/>
    <col min="3536" max="3537" width="11.44140625" style="1"/>
    <col min="3538" max="3538" width="22" style="1" customWidth="1"/>
    <col min="3539" max="3539" width="6.77734375" style="1" customWidth="1"/>
    <col min="3540" max="3540" width="15.44140625" style="1" bestFit="1" customWidth="1"/>
    <col min="3541" max="3541" width="11.44140625" style="1"/>
    <col min="3542" max="3542" width="14.21875" style="1" bestFit="1" customWidth="1"/>
    <col min="3543" max="3543" width="11.77734375" style="1" bestFit="1" customWidth="1"/>
    <col min="3544" max="3544" width="13.21875" style="1" bestFit="1" customWidth="1"/>
    <col min="3545" max="3545" width="11.77734375" style="1" bestFit="1" customWidth="1"/>
    <col min="3546" max="3790" width="11.44140625" style="1"/>
    <col min="3791" max="3791" width="4.21875" style="1" customWidth="1"/>
    <col min="3792" max="3793" width="11.44140625" style="1"/>
    <col min="3794" max="3794" width="22" style="1" customWidth="1"/>
    <col min="3795" max="3795" width="6.77734375" style="1" customWidth="1"/>
    <col min="3796" max="3796" width="15.44140625" style="1" bestFit="1" customWidth="1"/>
    <col min="3797" max="3797" width="11.44140625" style="1"/>
    <col min="3798" max="3798" width="14.21875" style="1" bestFit="1" customWidth="1"/>
    <col min="3799" max="3799" width="11.77734375" style="1" bestFit="1" customWidth="1"/>
    <col min="3800" max="3800" width="13.21875" style="1" bestFit="1" customWidth="1"/>
    <col min="3801" max="3801" width="11.77734375" style="1" bestFit="1" customWidth="1"/>
    <col min="3802" max="4046" width="11.44140625" style="1"/>
    <col min="4047" max="4047" width="4.21875" style="1" customWidth="1"/>
    <col min="4048" max="4049" width="11.44140625" style="1"/>
    <col min="4050" max="4050" width="22" style="1" customWidth="1"/>
    <col min="4051" max="4051" width="6.77734375" style="1" customWidth="1"/>
    <col min="4052" max="4052" width="15.44140625" style="1" bestFit="1" customWidth="1"/>
    <col min="4053" max="4053" width="11.44140625" style="1"/>
    <col min="4054" max="4054" width="14.21875" style="1" bestFit="1" customWidth="1"/>
    <col min="4055" max="4055" width="11.77734375" style="1" bestFit="1" customWidth="1"/>
    <col min="4056" max="4056" width="13.21875" style="1" bestFit="1" customWidth="1"/>
    <col min="4057" max="4057" width="11.77734375" style="1" bestFit="1" customWidth="1"/>
    <col min="4058" max="4302" width="11.44140625" style="1"/>
    <col min="4303" max="4303" width="4.21875" style="1" customWidth="1"/>
    <col min="4304" max="4305" width="11.44140625" style="1"/>
    <col min="4306" max="4306" width="22" style="1" customWidth="1"/>
    <col min="4307" max="4307" width="6.77734375" style="1" customWidth="1"/>
    <col min="4308" max="4308" width="15.44140625" style="1" bestFit="1" customWidth="1"/>
    <col min="4309" max="4309" width="11.44140625" style="1"/>
    <col min="4310" max="4310" width="14.21875" style="1" bestFit="1" customWidth="1"/>
    <col min="4311" max="4311" width="11.77734375" style="1" bestFit="1" customWidth="1"/>
    <col min="4312" max="4312" width="13.21875" style="1" bestFit="1" customWidth="1"/>
    <col min="4313" max="4313" width="11.77734375" style="1" bestFit="1" customWidth="1"/>
    <col min="4314" max="4558" width="11.44140625" style="1"/>
    <col min="4559" max="4559" width="4.21875" style="1" customWidth="1"/>
    <col min="4560" max="4561" width="11.44140625" style="1"/>
    <col min="4562" max="4562" width="22" style="1" customWidth="1"/>
    <col min="4563" max="4563" width="6.77734375" style="1" customWidth="1"/>
    <col min="4564" max="4564" width="15.44140625" style="1" bestFit="1" customWidth="1"/>
    <col min="4565" max="4565" width="11.44140625" style="1"/>
    <col min="4566" max="4566" width="14.21875" style="1" bestFit="1" customWidth="1"/>
    <col min="4567" max="4567" width="11.77734375" style="1" bestFit="1" customWidth="1"/>
    <col min="4568" max="4568" width="13.21875" style="1" bestFit="1" customWidth="1"/>
    <col min="4569" max="4569" width="11.77734375" style="1" bestFit="1" customWidth="1"/>
    <col min="4570" max="4814" width="11.44140625" style="1"/>
    <col min="4815" max="4815" width="4.21875" style="1" customWidth="1"/>
    <col min="4816" max="4817" width="11.44140625" style="1"/>
    <col min="4818" max="4818" width="22" style="1" customWidth="1"/>
    <col min="4819" max="4819" width="6.77734375" style="1" customWidth="1"/>
    <col min="4820" max="4820" width="15.44140625" style="1" bestFit="1" customWidth="1"/>
    <col min="4821" max="4821" width="11.44140625" style="1"/>
    <col min="4822" max="4822" width="14.21875" style="1" bestFit="1" customWidth="1"/>
    <col min="4823" max="4823" width="11.77734375" style="1" bestFit="1" customWidth="1"/>
    <col min="4824" max="4824" width="13.21875" style="1" bestFit="1" customWidth="1"/>
    <col min="4825" max="4825" width="11.77734375" style="1" bestFit="1" customWidth="1"/>
    <col min="4826" max="5070" width="11.44140625" style="1"/>
    <col min="5071" max="5071" width="4.21875" style="1" customWidth="1"/>
    <col min="5072" max="5073" width="11.44140625" style="1"/>
    <col min="5074" max="5074" width="22" style="1" customWidth="1"/>
    <col min="5075" max="5075" width="6.77734375" style="1" customWidth="1"/>
    <col min="5076" max="5076" width="15.44140625" style="1" bestFit="1" customWidth="1"/>
    <col min="5077" max="5077" width="11.44140625" style="1"/>
    <col min="5078" max="5078" width="14.21875" style="1" bestFit="1" customWidth="1"/>
    <col min="5079" max="5079" width="11.77734375" style="1" bestFit="1" customWidth="1"/>
    <col min="5080" max="5080" width="13.21875" style="1" bestFit="1" customWidth="1"/>
    <col min="5081" max="5081" width="11.77734375" style="1" bestFit="1" customWidth="1"/>
    <col min="5082" max="5326" width="11.44140625" style="1"/>
    <col min="5327" max="5327" width="4.21875" style="1" customWidth="1"/>
    <col min="5328" max="5329" width="11.44140625" style="1"/>
    <col min="5330" max="5330" width="22" style="1" customWidth="1"/>
    <col min="5331" max="5331" width="6.77734375" style="1" customWidth="1"/>
    <col min="5332" max="5332" width="15.44140625" style="1" bestFit="1" customWidth="1"/>
    <col min="5333" max="5333" width="11.44140625" style="1"/>
    <col min="5334" max="5334" width="14.21875" style="1" bestFit="1" customWidth="1"/>
    <col min="5335" max="5335" width="11.77734375" style="1" bestFit="1" customWidth="1"/>
    <col min="5336" max="5336" width="13.21875" style="1" bestFit="1" customWidth="1"/>
    <col min="5337" max="5337" width="11.77734375" style="1" bestFit="1" customWidth="1"/>
    <col min="5338" max="5582" width="11.44140625" style="1"/>
    <col min="5583" max="5583" width="4.21875" style="1" customWidth="1"/>
    <col min="5584" max="5585" width="11.44140625" style="1"/>
    <col min="5586" max="5586" width="22" style="1" customWidth="1"/>
    <col min="5587" max="5587" width="6.77734375" style="1" customWidth="1"/>
    <col min="5588" max="5588" width="15.44140625" style="1" bestFit="1" customWidth="1"/>
    <col min="5589" max="5589" width="11.44140625" style="1"/>
    <col min="5590" max="5590" width="14.21875" style="1" bestFit="1" customWidth="1"/>
    <col min="5591" max="5591" width="11.77734375" style="1" bestFit="1" customWidth="1"/>
    <col min="5592" max="5592" width="13.21875" style="1" bestFit="1" customWidth="1"/>
    <col min="5593" max="5593" width="11.77734375" style="1" bestFit="1" customWidth="1"/>
    <col min="5594" max="5838" width="11.44140625" style="1"/>
    <col min="5839" max="5839" width="4.21875" style="1" customWidth="1"/>
    <col min="5840" max="5841" width="11.44140625" style="1"/>
    <col min="5842" max="5842" width="22" style="1" customWidth="1"/>
    <col min="5843" max="5843" width="6.77734375" style="1" customWidth="1"/>
    <col min="5844" max="5844" width="15.44140625" style="1" bestFit="1" customWidth="1"/>
    <col min="5845" max="5845" width="11.44140625" style="1"/>
    <col min="5846" max="5846" width="14.21875" style="1" bestFit="1" customWidth="1"/>
    <col min="5847" max="5847" width="11.77734375" style="1" bestFit="1" customWidth="1"/>
    <col min="5848" max="5848" width="13.21875" style="1" bestFit="1" customWidth="1"/>
    <col min="5849" max="5849" width="11.77734375" style="1" bestFit="1" customWidth="1"/>
    <col min="5850" max="6094" width="11.44140625" style="1"/>
    <col min="6095" max="6095" width="4.21875" style="1" customWidth="1"/>
    <col min="6096" max="6097" width="11.44140625" style="1"/>
    <col min="6098" max="6098" width="22" style="1" customWidth="1"/>
    <col min="6099" max="6099" width="6.77734375" style="1" customWidth="1"/>
    <col min="6100" max="6100" width="15.44140625" style="1" bestFit="1" customWidth="1"/>
    <col min="6101" max="6101" width="11.44140625" style="1"/>
    <col min="6102" max="6102" width="14.21875" style="1" bestFit="1" customWidth="1"/>
    <col min="6103" max="6103" width="11.77734375" style="1" bestFit="1" customWidth="1"/>
    <col min="6104" max="6104" width="13.21875" style="1" bestFit="1" customWidth="1"/>
    <col min="6105" max="6105" width="11.77734375" style="1" bestFit="1" customWidth="1"/>
    <col min="6106" max="6350" width="11.44140625" style="1"/>
    <col min="6351" max="6351" width="4.21875" style="1" customWidth="1"/>
    <col min="6352" max="6353" width="11.44140625" style="1"/>
    <col min="6354" max="6354" width="22" style="1" customWidth="1"/>
    <col min="6355" max="6355" width="6.77734375" style="1" customWidth="1"/>
    <col min="6356" max="6356" width="15.44140625" style="1" bestFit="1" customWidth="1"/>
    <col min="6357" max="6357" width="11.44140625" style="1"/>
    <col min="6358" max="6358" width="14.21875" style="1" bestFit="1" customWidth="1"/>
    <col min="6359" max="6359" width="11.77734375" style="1" bestFit="1" customWidth="1"/>
    <col min="6360" max="6360" width="13.21875" style="1" bestFit="1" customWidth="1"/>
    <col min="6361" max="6361" width="11.77734375" style="1" bestFit="1" customWidth="1"/>
    <col min="6362" max="6606" width="11.44140625" style="1"/>
    <col min="6607" max="6607" width="4.21875" style="1" customWidth="1"/>
    <col min="6608" max="6609" width="11.44140625" style="1"/>
    <col min="6610" max="6610" width="22" style="1" customWidth="1"/>
    <col min="6611" max="6611" width="6.77734375" style="1" customWidth="1"/>
    <col min="6612" max="6612" width="15.44140625" style="1" bestFit="1" customWidth="1"/>
    <col min="6613" max="6613" width="11.44140625" style="1"/>
    <col min="6614" max="6614" width="14.21875" style="1" bestFit="1" customWidth="1"/>
    <col min="6615" max="6615" width="11.77734375" style="1" bestFit="1" customWidth="1"/>
    <col min="6616" max="6616" width="13.21875" style="1" bestFit="1" customWidth="1"/>
    <col min="6617" max="6617" width="11.77734375" style="1" bestFit="1" customWidth="1"/>
    <col min="6618" max="6862" width="11.44140625" style="1"/>
    <col min="6863" max="6863" width="4.21875" style="1" customWidth="1"/>
    <col min="6864" max="6865" width="11.44140625" style="1"/>
    <col min="6866" max="6866" width="22" style="1" customWidth="1"/>
    <col min="6867" max="6867" width="6.77734375" style="1" customWidth="1"/>
    <col min="6868" max="6868" width="15.44140625" style="1" bestFit="1" customWidth="1"/>
    <col min="6869" max="6869" width="11.44140625" style="1"/>
    <col min="6870" max="6870" width="14.21875" style="1" bestFit="1" customWidth="1"/>
    <col min="6871" max="6871" width="11.77734375" style="1" bestFit="1" customWidth="1"/>
    <col min="6872" max="6872" width="13.21875" style="1" bestFit="1" customWidth="1"/>
    <col min="6873" max="6873" width="11.77734375" style="1" bestFit="1" customWidth="1"/>
    <col min="6874" max="7118" width="11.44140625" style="1"/>
    <col min="7119" max="7119" width="4.21875" style="1" customWidth="1"/>
    <col min="7120" max="7121" width="11.44140625" style="1"/>
    <col min="7122" max="7122" width="22" style="1" customWidth="1"/>
    <col min="7123" max="7123" width="6.77734375" style="1" customWidth="1"/>
    <col min="7124" max="7124" width="15.44140625" style="1" bestFit="1" customWidth="1"/>
    <col min="7125" max="7125" width="11.44140625" style="1"/>
    <col min="7126" max="7126" width="14.21875" style="1" bestFit="1" customWidth="1"/>
    <col min="7127" max="7127" width="11.77734375" style="1" bestFit="1" customWidth="1"/>
    <col min="7128" max="7128" width="13.21875" style="1" bestFit="1" customWidth="1"/>
    <col min="7129" max="7129" width="11.77734375" style="1" bestFit="1" customWidth="1"/>
    <col min="7130" max="7374" width="11.44140625" style="1"/>
    <col min="7375" max="7375" width="4.21875" style="1" customWidth="1"/>
    <col min="7376" max="7377" width="11.44140625" style="1"/>
    <col min="7378" max="7378" width="22" style="1" customWidth="1"/>
    <col min="7379" max="7379" width="6.77734375" style="1" customWidth="1"/>
    <col min="7380" max="7380" width="15.44140625" style="1" bestFit="1" customWidth="1"/>
    <col min="7381" max="7381" width="11.44140625" style="1"/>
    <col min="7382" max="7382" width="14.21875" style="1" bestFit="1" customWidth="1"/>
    <col min="7383" max="7383" width="11.77734375" style="1" bestFit="1" customWidth="1"/>
    <col min="7384" max="7384" width="13.21875" style="1" bestFit="1" customWidth="1"/>
    <col min="7385" max="7385" width="11.77734375" style="1" bestFit="1" customWidth="1"/>
    <col min="7386" max="7630" width="11.44140625" style="1"/>
    <col min="7631" max="7631" width="4.21875" style="1" customWidth="1"/>
    <col min="7632" max="7633" width="11.44140625" style="1"/>
    <col min="7634" max="7634" width="22" style="1" customWidth="1"/>
    <col min="7635" max="7635" width="6.77734375" style="1" customWidth="1"/>
    <col min="7636" max="7636" width="15.44140625" style="1" bestFit="1" customWidth="1"/>
    <col min="7637" max="7637" width="11.44140625" style="1"/>
    <col min="7638" max="7638" width="14.21875" style="1" bestFit="1" customWidth="1"/>
    <col min="7639" max="7639" width="11.77734375" style="1" bestFit="1" customWidth="1"/>
    <col min="7640" max="7640" width="13.21875" style="1" bestFit="1" customWidth="1"/>
    <col min="7641" max="7641" width="11.77734375" style="1" bestFit="1" customWidth="1"/>
    <col min="7642" max="7886" width="11.44140625" style="1"/>
    <col min="7887" max="7887" width="4.21875" style="1" customWidth="1"/>
    <col min="7888" max="7889" width="11.44140625" style="1"/>
    <col min="7890" max="7890" width="22" style="1" customWidth="1"/>
    <col min="7891" max="7891" width="6.77734375" style="1" customWidth="1"/>
    <col min="7892" max="7892" width="15.44140625" style="1" bestFit="1" customWidth="1"/>
    <col min="7893" max="7893" width="11.44140625" style="1"/>
    <col min="7894" max="7894" width="14.21875" style="1" bestFit="1" customWidth="1"/>
    <col min="7895" max="7895" width="11.77734375" style="1" bestFit="1" customWidth="1"/>
    <col min="7896" max="7896" width="13.21875" style="1" bestFit="1" customWidth="1"/>
    <col min="7897" max="7897" width="11.77734375" style="1" bestFit="1" customWidth="1"/>
    <col min="7898" max="8142" width="11.44140625" style="1"/>
    <col min="8143" max="8143" width="4.21875" style="1" customWidth="1"/>
    <col min="8144" max="8145" width="11.44140625" style="1"/>
    <col min="8146" max="8146" width="22" style="1" customWidth="1"/>
    <col min="8147" max="8147" width="6.77734375" style="1" customWidth="1"/>
    <col min="8148" max="8148" width="15.44140625" style="1" bestFit="1" customWidth="1"/>
    <col min="8149" max="8149" width="11.44140625" style="1"/>
    <col min="8150" max="8150" width="14.21875" style="1" bestFit="1" customWidth="1"/>
    <col min="8151" max="8151" width="11.77734375" style="1" bestFit="1" customWidth="1"/>
    <col min="8152" max="8152" width="13.21875" style="1" bestFit="1" customWidth="1"/>
    <col min="8153" max="8153" width="11.77734375" style="1" bestFit="1" customWidth="1"/>
    <col min="8154" max="8398" width="11.44140625" style="1"/>
    <col min="8399" max="8399" width="4.21875" style="1" customWidth="1"/>
    <col min="8400" max="8401" width="11.44140625" style="1"/>
    <col min="8402" max="8402" width="22" style="1" customWidth="1"/>
    <col min="8403" max="8403" width="6.77734375" style="1" customWidth="1"/>
    <col min="8404" max="8404" width="15.44140625" style="1" bestFit="1" customWidth="1"/>
    <col min="8405" max="8405" width="11.44140625" style="1"/>
    <col min="8406" max="8406" width="14.21875" style="1" bestFit="1" customWidth="1"/>
    <col min="8407" max="8407" width="11.77734375" style="1" bestFit="1" customWidth="1"/>
    <col min="8408" max="8408" width="13.21875" style="1" bestFit="1" customWidth="1"/>
    <col min="8409" max="8409" width="11.77734375" style="1" bestFit="1" customWidth="1"/>
    <col min="8410" max="8654" width="11.44140625" style="1"/>
    <col min="8655" max="8655" width="4.21875" style="1" customWidth="1"/>
    <col min="8656" max="8657" width="11.44140625" style="1"/>
    <col min="8658" max="8658" width="22" style="1" customWidth="1"/>
    <col min="8659" max="8659" width="6.77734375" style="1" customWidth="1"/>
    <col min="8660" max="8660" width="15.44140625" style="1" bestFit="1" customWidth="1"/>
    <col min="8661" max="8661" width="11.44140625" style="1"/>
    <col min="8662" max="8662" width="14.21875" style="1" bestFit="1" customWidth="1"/>
    <col min="8663" max="8663" width="11.77734375" style="1" bestFit="1" customWidth="1"/>
    <col min="8664" max="8664" width="13.21875" style="1" bestFit="1" customWidth="1"/>
    <col min="8665" max="8665" width="11.77734375" style="1" bestFit="1" customWidth="1"/>
    <col min="8666" max="8910" width="11.44140625" style="1"/>
    <col min="8911" max="8911" width="4.21875" style="1" customWidth="1"/>
    <col min="8912" max="8913" width="11.44140625" style="1"/>
    <col min="8914" max="8914" width="22" style="1" customWidth="1"/>
    <col min="8915" max="8915" width="6.77734375" style="1" customWidth="1"/>
    <col min="8916" max="8916" width="15.44140625" style="1" bestFit="1" customWidth="1"/>
    <col min="8917" max="8917" width="11.44140625" style="1"/>
    <col min="8918" max="8918" width="14.21875" style="1" bestFit="1" customWidth="1"/>
    <col min="8919" max="8919" width="11.77734375" style="1" bestFit="1" customWidth="1"/>
    <col min="8920" max="8920" width="13.21875" style="1" bestFit="1" customWidth="1"/>
    <col min="8921" max="8921" width="11.77734375" style="1" bestFit="1" customWidth="1"/>
    <col min="8922" max="9166" width="11.44140625" style="1"/>
    <col min="9167" max="9167" width="4.21875" style="1" customWidth="1"/>
    <col min="9168" max="9169" width="11.44140625" style="1"/>
    <col min="9170" max="9170" width="22" style="1" customWidth="1"/>
    <col min="9171" max="9171" width="6.77734375" style="1" customWidth="1"/>
    <col min="9172" max="9172" width="15.44140625" style="1" bestFit="1" customWidth="1"/>
    <col min="9173" max="9173" width="11.44140625" style="1"/>
    <col min="9174" max="9174" width="14.21875" style="1" bestFit="1" customWidth="1"/>
    <col min="9175" max="9175" width="11.77734375" style="1" bestFit="1" customWidth="1"/>
    <col min="9176" max="9176" width="13.21875" style="1" bestFit="1" customWidth="1"/>
    <col min="9177" max="9177" width="11.77734375" style="1" bestFit="1" customWidth="1"/>
    <col min="9178" max="9422" width="11.44140625" style="1"/>
    <col min="9423" max="9423" width="4.21875" style="1" customWidth="1"/>
    <col min="9424" max="9425" width="11.44140625" style="1"/>
    <col min="9426" max="9426" width="22" style="1" customWidth="1"/>
    <col min="9427" max="9427" width="6.77734375" style="1" customWidth="1"/>
    <col min="9428" max="9428" width="15.44140625" style="1" bestFit="1" customWidth="1"/>
    <col min="9429" max="9429" width="11.44140625" style="1"/>
    <col min="9430" max="9430" width="14.21875" style="1" bestFit="1" customWidth="1"/>
    <col min="9431" max="9431" width="11.77734375" style="1" bestFit="1" customWidth="1"/>
    <col min="9432" max="9432" width="13.21875" style="1" bestFit="1" customWidth="1"/>
    <col min="9433" max="9433" width="11.77734375" style="1" bestFit="1" customWidth="1"/>
    <col min="9434" max="9678" width="11.44140625" style="1"/>
    <col min="9679" max="9679" width="4.21875" style="1" customWidth="1"/>
    <col min="9680" max="9681" width="11.44140625" style="1"/>
    <col min="9682" max="9682" width="22" style="1" customWidth="1"/>
    <col min="9683" max="9683" width="6.77734375" style="1" customWidth="1"/>
    <col min="9684" max="9684" width="15.44140625" style="1" bestFit="1" customWidth="1"/>
    <col min="9685" max="9685" width="11.44140625" style="1"/>
    <col min="9686" max="9686" width="14.21875" style="1" bestFit="1" customWidth="1"/>
    <col min="9687" max="9687" width="11.77734375" style="1" bestFit="1" customWidth="1"/>
    <col min="9688" max="9688" width="13.21875" style="1" bestFit="1" customWidth="1"/>
    <col min="9689" max="9689" width="11.77734375" style="1" bestFit="1" customWidth="1"/>
    <col min="9690" max="9934" width="11.44140625" style="1"/>
    <col min="9935" max="9935" width="4.21875" style="1" customWidth="1"/>
    <col min="9936" max="9937" width="11.44140625" style="1"/>
    <col min="9938" max="9938" width="22" style="1" customWidth="1"/>
    <col min="9939" max="9939" width="6.77734375" style="1" customWidth="1"/>
    <col min="9940" max="9940" width="15.44140625" style="1" bestFit="1" customWidth="1"/>
    <col min="9941" max="9941" width="11.44140625" style="1"/>
    <col min="9942" max="9942" width="14.21875" style="1" bestFit="1" customWidth="1"/>
    <col min="9943" max="9943" width="11.77734375" style="1" bestFit="1" customWidth="1"/>
    <col min="9944" max="9944" width="13.21875" style="1" bestFit="1" customWidth="1"/>
    <col min="9945" max="9945" width="11.77734375" style="1" bestFit="1" customWidth="1"/>
    <col min="9946" max="10190" width="11.44140625" style="1"/>
    <col min="10191" max="10191" width="4.21875" style="1" customWidth="1"/>
    <col min="10192" max="10193" width="11.44140625" style="1"/>
    <col min="10194" max="10194" width="22" style="1" customWidth="1"/>
    <col min="10195" max="10195" width="6.77734375" style="1" customWidth="1"/>
    <col min="10196" max="10196" width="15.44140625" style="1" bestFit="1" customWidth="1"/>
    <col min="10197" max="10197" width="11.44140625" style="1"/>
    <col min="10198" max="10198" width="14.21875" style="1" bestFit="1" customWidth="1"/>
    <col min="10199" max="10199" width="11.77734375" style="1" bestFit="1" customWidth="1"/>
    <col min="10200" max="10200" width="13.21875" style="1" bestFit="1" customWidth="1"/>
    <col min="10201" max="10201" width="11.77734375" style="1" bestFit="1" customWidth="1"/>
    <col min="10202" max="10446" width="11.44140625" style="1"/>
    <col min="10447" max="10447" width="4.21875" style="1" customWidth="1"/>
    <col min="10448" max="10449" width="11.44140625" style="1"/>
    <col min="10450" max="10450" width="22" style="1" customWidth="1"/>
    <col min="10451" max="10451" width="6.77734375" style="1" customWidth="1"/>
    <col min="10452" max="10452" width="15.44140625" style="1" bestFit="1" customWidth="1"/>
    <col min="10453" max="10453" width="11.44140625" style="1"/>
    <col min="10454" max="10454" width="14.21875" style="1" bestFit="1" customWidth="1"/>
    <col min="10455" max="10455" width="11.77734375" style="1" bestFit="1" customWidth="1"/>
    <col min="10456" max="10456" width="13.21875" style="1" bestFit="1" customWidth="1"/>
    <col min="10457" max="10457" width="11.77734375" style="1" bestFit="1" customWidth="1"/>
    <col min="10458" max="10702" width="11.44140625" style="1"/>
    <col min="10703" max="10703" width="4.21875" style="1" customWidth="1"/>
    <col min="10704" max="10705" width="11.44140625" style="1"/>
    <col min="10706" max="10706" width="22" style="1" customWidth="1"/>
    <col min="10707" max="10707" width="6.77734375" style="1" customWidth="1"/>
    <col min="10708" max="10708" width="15.44140625" style="1" bestFit="1" customWidth="1"/>
    <col min="10709" max="10709" width="11.44140625" style="1"/>
    <col min="10710" max="10710" width="14.21875" style="1" bestFit="1" customWidth="1"/>
    <col min="10711" max="10711" width="11.77734375" style="1" bestFit="1" customWidth="1"/>
    <col min="10712" max="10712" width="13.21875" style="1" bestFit="1" customWidth="1"/>
    <col min="10713" max="10713" width="11.77734375" style="1" bestFit="1" customWidth="1"/>
    <col min="10714" max="10958" width="11.44140625" style="1"/>
    <col min="10959" max="10959" width="4.21875" style="1" customWidth="1"/>
    <col min="10960" max="10961" width="11.44140625" style="1"/>
    <col min="10962" max="10962" width="22" style="1" customWidth="1"/>
    <col min="10963" max="10963" width="6.77734375" style="1" customWidth="1"/>
    <col min="10964" max="10964" width="15.44140625" style="1" bestFit="1" customWidth="1"/>
    <col min="10965" max="10965" width="11.44140625" style="1"/>
    <col min="10966" max="10966" width="14.21875" style="1" bestFit="1" customWidth="1"/>
    <col min="10967" max="10967" width="11.77734375" style="1" bestFit="1" customWidth="1"/>
    <col min="10968" max="10968" width="13.21875" style="1" bestFit="1" customWidth="1"/>
    <col min="10969" max="10969" width="11.77734375" style="1" bestFit="1" customWidth="1"/>
    <col min="10970" max="11214" width="11.44140625" style="1"/>
    <col min="11215" max="11215" width="4.21875" style="1" customWidth="1"/>
    <col min="11216" max="11217" width="11.44140625" style="1"/>
    <col min="11218" max="11218" width="22" style="1" customWidth="1"/>
    <col min="11219" max="11219" width="6.77734375" style="1" customWidth="1"/>
    <col min="11220" max="11220" width="15.44140625" style="1" bestFit="1" customWidth="1"/>
    <col min="11221" max="11221" width="11.44140625" style="1"/>
    <col min="11222" max="11222" width="14.21875" style="1" bestFit="1" customWidth="1"/>
    <col min="11223" max="11223" width="11.77734375" style="1" bestFit="1" customWidth="1"/>
    <col min="11224" max="11224" width="13.21875" style="1" bestFit="1" customWidth="1"/>
    <col min="11225" max="11225" width="11.77734375" style="1" bestFit="1" customWidth="1"/>
    <col min="11226" max="11470" width="11.44140625" style="1"/>
    <col min="11471" max="11471" width="4.21875" style="1" customWidth="1"/>
    <col min="11472" max="11473" width="11.44140625" style="1"/>
    <col min="11474" max="11474" width="22" style="1" customWidth="1"/>
    <col min="11475" max="11475" width="6.77734375" style="1" customWidth="1"/>
    <col min="11476" max="11476" width="15.44140625" style="1" bestFit="1" customWidth="1"/>
    <col min="11477" max="11477" width="11.44140625" style="1"/>
    <col min="11478" max="11478" width="14.21875" style="1" bestFit="1" customWidth="1"/>
    <col min="11479" max="11479" width="11.77734375" style="1" bestFit="1" customWidth="1"/>
    <col min="11480" max="11480" width="13.21875" style="1" bestFit="1" customWidth="1"/>
    <col min="11481" max="11481" width="11.77734375" style="1" bestFit="1" customWidth="1"/>
    <col min="11482" max="11726" width="11.44140625" style="1"/>
    <col min="11727" max="11727" width="4.21875" style="1" customWidth="1"/>
    <col min="11728" max="11729" width="11.44140625" style="1"/>
    <col min="11730" max="11730" width="22" style="1" customWidth="1"/>
    <col min="11731" max="11731" width="6.77734375" style="1" customWidth="1"/>
    <col min="11732" max="11732" width="15.44140625" style="1" bestFit="1" customWidth="1"/>
    <col min="11733" max="11733" width="11.44140625" style="1"/>
    <col min="11734" max="11734" width="14.21875" style="1" bestFit="1" customWidth="1"/>
    <col min="11735" max="11735" width="11.77734375" style="1" bestFit="1" customWidth="1"/>
    <col min="11736" max="11736" width="13.21875" style="1" bestFit="1" customWidth="1"/>
    <col min="11737" max="11737" width="11.77734375" style="1" bestFit="1" customWidth="1"/>
    <col min="11738" max="11982" width="11.44140625" style="1"/>
    <col min="11983" max="11983" width="4.21875" style="1" customWidth="1"/>
    <col min="11984" max="11985" width="11.44140625" style="1"/>
    <col min="11986" max="11986" width="22" style="1" customWidth="1"/>
    <col min="11987" max="11987" width="6.77734375" style="1" customWidth="1"/>
    <col min="11988" max="11988" width="15.44140625" style="1" bestFit="1" customWidth="1"/>
    <col min="11989" max="11989" width="11.44140625" style="1"/>
    <col min="11990" max="11990" width="14.21875" style="1" bestFit="1" customWidth="1"/>
    <col min="11991" max="11991" width="11.77734375" style="1" bestFit="1" customWidth="1"/>
    <col min="11992" max="11992" width="13.21875" style="1" bestFit="1" customWidth="1"/>
    <col min="11993" max="11993" width="11.77734375" style="1" bestFit="1" customWidth="1"/>
    <col min="11994" max="12238" width="11.44140625" style="1"/>
    <col min="12239" max="12239" width="4.21875" style="1" customWidth="1"/>
    <col min="12240" max="12241" width="11.44140625" style="1"/>
    <col min="12242" max="12242" width="22" style="1" customWidth="1"/>
    <col min="12243" max="12243" width="6.77734375" style="1" customWidth="1"/>
    <col min="12244" max="12244" width="15.44140625" style="1" bestFit="1" customWidth="1"/>
    <col min="12245" max="12245" width="11.44140625" style="1"/>
    <col min="12246" max="12246" width="14.21875" style="1" bestFit="1" customWidth="1"/>
    <col min="12247" max="12247" width="11.77734375" style="1" bestFit="1" customWidth="1"/>
    <col min="12248" max="12248" width="13.21875" style="1" bestFit="1" customWidth="1"/>
    <col min="12249" max="12249" width="11.77734375" style="1" bestFit="1" customWidth="1"/>
    <col min="12250" max="12494" width="11.44140625" style="1"/>
    <col min="12495" max="12495" width="4.21875" style="1" customWidth="1"/>
    <col min="12496" max="12497" width="11.44140625" style="1"/>
    <col min="12498" max="12498" width="22" style="1" customWidth="1"/>
    <col min="12499" max="12499" width="6.77734375" style="1" customWidth="1"/>
    <col min="12500" max="12500" width="15.44140625" style="1" bestFit="1" customWidth="1"/>
    <col min="12501" max="12501" width="11.44140625" style="1"/>
    <col min="12502" max="12502" width="14.21875" style="1" bestFit="1" customWidth="1"/>
    <col min="12503" max="12503" width="11.77734375" style="1" bestFit="1" customWidth="1"/>
    <col min="12504" max="12504" width="13.21875" style="1" bestFit="1" customWidth="1"/>
    <col min="12505" max="12505" width="11.77734375" style="1" bestFit="1" customWidth="1"/>
    <col min="12506" max="12750" width="11.44140625" style="1"/>
    <col min="12751" max="12751" width="4.21875" style="1" customWidth="1"/>
    <col min="12752" max="12753" width="11.44140625" style="1"/>
    <col min="12754" max="12754" width="22" style="1" customWidth="1"/>
    <col min="12755" max="12755" width="6.77734375" style="1" customWidth="1"/>
    <col min="12756" max="12756" width="15.44140625" style="1" bestFit="1" customWidth="1"/>
    <col min="12757" max="12757" width="11.44140625" style="1"/>
    <col min="12758" max="12758" width="14.21875" style="1" bestFit="1" customWidth="1"/>
    <col min="12759" max="12759" width="11.77734375" style="1" bestFit="1" customWidth="1"/>
    <col min="12760" max="12760" width="13.21875" style="1" bestFit="1" customWidth="1"/>
    <col min="12761" max="12761" width="11.77734375" style="1" bestFit="1" customWidth="1"/>
    <col min="12762" max="13006" width="11.44140625" style="1"/>
    <col min="13007" max="13007" width="4.21875" style="1" customWidth="1"/>
    <col min="13008" max="13009" width="11.44140625" style="1"/>
    <col min="13010" max="13010" width="22" style="1" customWidth="1"/>
    <col min="13011" max="13011" width="6.77734375" style="1" customWidth="1"/>
    <col min="13012" max="13012" width="15.44140625" style="1" bestFit="1" customWidth="1"/>
    <col min="13013" max="13013" width="11.44140625" style="1"/>
    <col min="13014" max="13014" width="14.21875" style="1" bestFit="1" customWidth="1"/>
    <col min="13015" max="13015" width="11.77734375" style="1" bestFit="1" customWidth="1"/>
    <col min="13016" max="13016" width="13.21875" style="1" bestFit="1" customWidth="1"/>
    <col min="13017" max="13017" width="11.77734375" style="1" bestFit="1" customWidth="1"/>
    <col min="13018" max="13262" width="11.44140625" style="1"/>
    <col min="13263" max="13263" width="4.21875" style="1" customWidth="1"/>
    <col min="13264" max="13265" width="11.44140625" style="1"/>
    <col min="13266" max="13266" width="22" style="1" customWidth="1"/>
    <col min="13267" max="13267" width="6.77734375" style="1" customWidth="1"/>
    <col min="13268" max="13268" width="15.44140625" style="1" bestFit="1" customWidth="1"/>
    <col min="13269" max="13269" width="11.44140625" style="1"/>
    <col min="13270" max="13270" width="14.21875" style="1" bestFit="1" customWidth="1"/>
    <col min="13271" max="13271" width="11.77734375" style="1" bestFit="1" customWidth="1"/>
    <col min="13272" max="13272" width="13.21875" style="1" bestFit="1" customWidth="1"/>
    <col min="13273" max="13273" width="11.77734375" style="1" bestFit="1" customWidth="1"/>
    <col min="13274" max="13518" width="11.44140625" style="1"/>
    <col min="13519" max="13519" width="4.21875" style="1" customWidth="1"/>
    <col min="13520" max="13521" width="11.44140625" style="1"/>
    <col min="13522" max="13522" width="22" style="1" customWidth="1"/>
    <col min="13523" max="13523" width="6.77734375" style="1" customWidth="1"/>
    <col min="13524" max="13524" width="15.44140625" style="1" bestFit="1" customWidth="1"/>
    <col min="13525" max="13525" width="11.44140625" style="1"/>
    <col min="13526" max="13526" width="14.21875" style="1" bestFit="1" customWidth="1"/>
    <col min="13527" max="13527" width="11.77734375" style="1" bestFit="1" customWidth="1"/>
    <col min="13528" max="13528" width="13.21875" style="1" bestFit="1" customWidth="1"/>
    <col min="13529" max="13529" width="11.77734375" style="1" bestFit="1" customWidth="1"/>
    <col min="13530" max="13774" width="11.44140625" style="1"/>
    <col min="13775" max="13775" width="4.21875" style="1" customWidth="1"/>
    <col min="13776" max="13777" width="11.44140625" style="1"/>
    <col min="13778" max="13778" width="22" style="1" customWidth="1"/>
    <col min="13779" max="13779" width="6.77734375" style="1" customWidth="1"/>
    <col min="13780" max="13780" width="15.44140625" style="1" bestFit="1" customWidth="1"/>
    <col min="13781" max="13781" width="11.44140625" style="1"/>
    <col min="13782" max="13782" width="14.21875" style="1" bestFit="1" customWidth="1"/>
    <col min="13783" max="13783" width="11.77734375" style="1" bestFit="1" customWidth="1"/>
    <col min="13784" max="13784" width="13.21875" style="1" bestFit="1" customWidth="1"/>
    <col min="13785" max="13785" width="11.77734375" style="1" bestFit="1" customWidth="1"/>
    <col min="13786" max="14030" width="11.44140625" style="1"/>
    <col min="14031" max="14031" width="4.21875" style="1" customWidth="1"/>
    <col min="14032" max="14033" width="11.44140625" style="1"/>
    <col min="14034" max="14034" width="22" style="1" customWidth="1"/>
    <col min="14035" max="14035" width="6.77734375" style="1" customWidth="1"/>
    <col min="14036" max="14036" width="15.44140625" style="1" bestFit="1" customWidth="1"/>
    <col min="14037" max="14037" width="11.44140625" style="1"/>
    <col min="14038" max="14038" width="14.21875" style="1" bestFit="1" customWidth="1"/>
    <col min="14039" max="14039" width="11.77734375" style="1" bestFit="1" customWidth="1"/>
    <col min="14040" max="14040" width="13.21875" style="1" bestFit="1" customWidth="1"/>
    <col min="14041" max="14041" width="11.77734375" style="1" bestFit="1" customWidth="1"/>
    <col min="14042" max="14286" width="11.44140625" style="1"/>
    <col min="14287" max="14287" width="4.21875" style="1" customWidth="1"/>
    <col min="14288" max="14289" width="11.44140625" style="1"/>
    <col min="14290" max="14290" width="22" style="1" customWidth="1"/>
    <col min="14291" max="14291" width="6.77734375" style="1" customWidth="1"/>
    <col min="14292" max="14292" width="15.44140625" style="1" bestFit="1" customWidth="1"/>
    <col min="14293" max="14293" width="11.44140625" style="1"/>
    <col min="14294" max="14294" width="14.21875" style="1" bestFit="1" customWidth="1"/>
    <col min="14295" max="14295" width="11.77734375" style="1" bestFit="1" customWidth="1"/>
    <col min="14296" max="14296" width="13.21875" style="1" bestFit="1" customWidth="1"/>
    <col min="14297" max="14297" width="11.77734375" style="1" bestFit="1" customWidth="1"/>
    <col min="14298" max="14542" width="11.44140625" style="1"/>
    <col min="14543" max="14543" width="4.21875" style="1" customWidth="1"/>
    <col min="14544" max="14545" width="11.44140625" style="1"/>
    <col min="14546" max="14546" width="22" style="1" customWidth="1"/>
    <col min="14547" max="14547" width="6.77734375" style="1" customWidth="1"/>
    <col min="14548" max="14548" width="15.44140625" style="1" bestFit="1" customWidth="1"/>
    <col min="14549" max="14549" width="11.44140625" style="1"/>
    <col min="14550" max="14550" width="14.21875" style="1" bestFit="1" customWidth="1"/>
    <col min="14551" max="14551" width="11.77734375" style="1" bestFit="1" customWidth="1"/>
    <col min="14552" max="14552" width="13.21875" style="1" bestFit="1" customWidth="1"/>
    <col min="14553" max="14553" width="11.77734375" style="1" bestFit="1" customWidth="1"/>
    <col min="14554" max="14798" width="11.44140625" style="1"/>
    <col min="14799" max="14799" width="4.21875" style="1" customWidth="1"/>
    <col min="14800" max="14801" width="11.44140625" style="1"/>
    <col min="14802" max="14802" width="22" style="1" customWidth="1"/>
    <col min="14803" max="14803" width="6.77734375" style="1" customWidth="1"/>
    <col min="14804" max="14804" width="15.44140625" style="1" bestFit="1" customWidth="1"/>
    <col min="14805" max="14805" width="11.44140625" style="1"/>
    <col min="14806" max="14806" width="14.21875" style="1" bestFit="1" customWidth="1"/>
    <col min="14807" max="14807" width="11.77734375" style="1" bestFit="1" customWidth="1"/>
    <col min="14808" max="14808" width="13.21875" style="1" bestFit="1" customWidth="1"/>
    <col min="14809" max="14809" width="11.77734375" style="1" bestFit="1" customWidth="1"/>
    <col min="14810" max="15054" width="11.44140625" style="1"/>
    <col min="15055" max="15055" width="4.21875" style="1" customWidth="1"/>
    <col min="15056" max="15057" width="11.44140625" style="1"/>
    <col min="15058" max="15058" width="22" style="1" customWidth="1"/>
    <col min="15059" max="15059" width="6.77734375" style="1" customWidth="1"/>
    <col min="15060" max="15060" width="15.44140625" style="1" bestFit="1" customWidth="1"/>
    <col min="15061" max="15061" width="11.44140625" style="1"/>
    <col min="15062" max="15062" width="14.21875" style="1" bestFit="1" customWidth="1"/>
    <col min="15063" max="15063" width="11.77734375" style="1" bestFit="1" customWidth="1"/>
    <col min="15064" max="15064" width="13.21875" style="1" bestFit="1" customWidth="1"/>
    <col min="15065" max="15065" width="11.77734375" style="1" bestFit="1" customWidth="1"/>
    <col min="15066" max="15310" width="11.44140625" style="1"/>
    <col min="15311" max="15311" width="4.21875" style="1" customWidth="1"/>
    <col min="15312" max="15313" width="11.44140625" style="1"/>
    <col min="15314" max="15314" width="22" style="1" customWidth="1"/>
    <col min="15315" max="15315" width="6.77734375" style="1" customWidth="1"/>
    <col min="15316" max="15316" width="15.44140625" style="1" bestFit="1" customWidth="1"/>
    <col min="15317" max="15317" width="11.44140625" style="1"/>
    <col min="15318" max="15318" width="14.21875" style="1" bestFit="1" customWidth="1"/>
    <col min="15319" max="15319" width="11.77734375" style="1" bestFit="1" customWidth="1"/>
    <col min="15320" max="15320" width="13.21875" style="1" bestFit="1" customWidth="1"/>
    <col min="15321" max="15321" width="11.77734375" style="1" bestFit="1" customWidth="1"/>
    <col min="15322" max="15566" width="11.44140625" style="1"/>
    <col min="15567" max="15567" width="4.21875" style="1" customWidth="1"/>
    <col min="15568" max="15569" width="11.44140625" style="1"/>
    <col min="15570" max="15570" width="22" style="1" customWidth="1"/>
    <col min="15571" max="15571" width="6.77734375" style="1" customWidth="1"/>
    <col min="15572" max="15572" width="15.44140625" style="1" bestFit="1" customWidth="1"/>
    <col min="15573" max="15573" width="11.44140625" style="1"/>
    <col min="15574" max="15574" width="14.21875" style="1" bestFit="1" customWidth="1"/>
    <col min="15575" max="15575" width="11.77734375" style="1" bestFit="1" customWidth="1"/>
    <col min="15576" max="15576" width="13.21875" style="1" bestFit="1" customWidth="1"/>
    <col min="15577" max="15577" width="11.77734375" style="1" bestFit="1" customWidth="1"/>
    <col min="15578" max="15822" width="11.44140625" style="1"/>
    <col min="15823" max="15823" width="4.21875" style="1" customWidth="1"/>
    <col min="15824" max="15825" width="11.44140625" style="1"/>
    <col min="15826" max="15826" width="22" style="1" customWidth="1"/>
    <col min="15827" max="15827" width="6.77734375" style="1" customWidth="1"/>
    <col min="15828" max="15828" width="15.44140625" style="1" bestFit="1" customWidth="1"/>
    <col min="15829" max="15829" width="11.44140625" style="1"/>
    <col min="15830" max="15830" width="14.21875" style="1" bestFit="1" customWidth="1"/>
    <col min="15831" max="15831" width="11.77734375" style="1" bestFit="1" customWidth="1"/>
    <col min="15832" max="15832" width="13.21875" style="1" bestFit="1" customWidth="1"/>
    <col min="15833" max="15833" width="11.77734375" style="1" bestFit="1" customWidth="1"/>
    <col min="15834" max="16078" width="11.44140625" style="1"/>
    <col min="16079" max="16079" width="4.21875" style="1" customWidth="1"/>
    <col min="16080" max="16081" width="11.44140625" style="1"/>
    <col min="16082" max="16082" width="22" style="1" customWidth="1"/>
    <col min="16083" max="16083" width="6.77734375" style="1" customWidth="1"/>
    <col min="16084" max="16084" width="15.44140625" style="1" bestFit="1" customWidth="1"/>
    <col min="16085" max="16085" width="11.44140625" style="1"/>
    <col min="16086" max="16086" width="14.21875" style="1" bestFit="1" customWidth="1"/>
    <col min="16087" max="16087" width="11.77734375" style="1" bestFit="1" customWidth="1"/>
    <col min="16088" max="16088" width="13.21875" style="1" bestFit="1" customWidth="1"/>
    <col min="16089" max="16089" width="11.77734375" style="1" bestFit="1" customWidth="1"/>
    <col min="16090" max="16384" width="11.44140625" style="1"/>
  </cols>
  <sheetData>
    <row r="1" spans="1:12" ht="122.1" customHeight="1" thickTop="1" thickBot="1">
      <c r="A1" s="355" t="s">
        <v>36</v>
      </c>
      <c r="B1" s="356"/>
      <c r="C1" s="356"/>
      <c r="D1" s="356"/>
      <c r="E1" s="356"/>
      <c r="F1" s="356"/>
      <c r="G1" s="356"/>
      <c r="H1" s="357"/>
    </row>
    <row r="2" spans="1:12" ht="57" customHeight="1" thickTop="1" thickBot="1">
      <c r="A2" s="358" t="s">
        <v>765</v>
      </c>
      <c r="B2" s="359"/>
      <c r="C2" s="359"/>
      <c r="D2" s="360"/>
      <c r="E2" s="360"/>
      <c r="F2" s="360"/>
      <c r="G2" s="360"/>
      <c r="H2" s="361"/>
    </row>
    <row r="3" spans="1:12" ht="44.25" customHeight="1" thickTop="1" thickBot="1">
      <c r="A3" s="15" t="s">
        <v>1</v>
      </c>
      <c r="B3" s="362" t="s">
        <v>38</v>
      </c>
      <c r="C3" s="362"/>
      <c r="D3" s="363"/>
      <c r="E3" s="16" t="s">
        <v>39</v>
      </c>
      <c r="F3" s="17" t="s">
        <v>40</v>
      </c>
      <c r="G3" s="18" t="s">
        <v>41</v>
      </c>
      <c r="H3" s="19" t="s">
        <v>42</v>
      </c>
    </row>
    <row r="4" spans="1:12" ht="13.05" customHeight="1" thickTop="1">
      <c r="A4" s="20"/>
      <c r="B4" s="21"/>
      <c r="C4" s="21"/>
      <c r="D4" s="21"/>
      <c r="E4" s="22"/>
      <c r="F4" s="23"/>
      <c r="G4" s="24"/>
      <c r="H4" s="25"/>
    </row>
    <row r="5" spans="1:12" ht="13.05" customHeight="1">
      <c r="A5" s="26"/>
      <c r="B5" s="27" t="s">
        <v>43</v>
      </c>
      <c r="C5" s="28"/>
      <c r="D5" s="28"/>
      <c r="E5" s="29"/>
      <c r="F5" s="30"/>
      <c r="G5" s="31"/>
      <c r="H5" s="32"/>
    </row>
    <row r="6" spans="1:12" ht="37.049999999999997" customHeight="1">
      <c r="A6" s="372" t="s">
        <v>1525</v>
      </c>
      <c r="B6" s="373"/>
      <c r="C6" s="373"/>
      <c r="D6" s="373"/>
      <c r="E6" s="373"/>
      <c r="F6" s="373"/>
      <c r="G6" s="373"/>
      <c r="H6" s="374"/>
    </row>
    <row r="7" spans="1:12" ht="13.05" customHeight="1">
      <c r="A7" s="26"/>
      <c r="B7" s="28"/>
      <c r="C7" s="28"/>
      <c r="D7" s="28"/>
      <c r="E7" s="29"/>
      <c r="F7" s="33"/>
      <c r="G7" s="34"/>
      <c r="H7" s="35"/>
      <c r="J7" s="36"/>
      <c r="K7" s="36"/>
      <c r="L7" s="36"/>
    </row>
    <row r="8" spans="1:12" ht="13.05" customHeight="1">
      <c r="A8" s="37" t="s">
        <v>66</v>
      </c>
      <c r="B8" s="38" t="s">
        <v>766</v>
      </c>
      <c r="C8" s="13"/>
      <c r="D8" s="13"/>
      <c r="E8" s="39" t="s">
        <v>70</v>
      </c>
      <c r="F8" s="40"/>
      <c r="G8" s="41"/>
      <c r="H8" s="42"/>
      <c r="J8" s="69"/>
      <c r="K8" s="69"/>
      <c r="L8" s="69"/>
    </row>
    <row r="9" spans="1:12" ht="13.05" customHeight="1">
      <c r="A9" s="37"/>
      <c r="B9" s="38"/>
      <c r="C9" s="13"/>
      <c r="D9" s="13"/>
      <c r="E9" s="39"/>
      <c r="F9" s="40"/>
      <c r="G9" s="41"/>
      <c r="H9" s="42"/>
      <c r="J9" s="69"/>
      <c r="K9" s="69"/>
      <c r="L9" s="69"/>
    </row>
    <row r="10" spans="1:12" ht="13.05" customHeight="1">
      <c r="A10" s="37" t="s">
        <v>68</v>
      </c>
      <c r="B10" s="38" t="s">
        <v>67</v>
      </c>
      <c r="C10" s="13"/>
      <c r="D10" s="13"/>
      <c r="E10" s="77" t="s">
        <v>70</v>
      </c>
      <c r="F10" s="78"/>
      <c r="G10" s="79"/>
      <c r="H10" s="80"/>
      <c r="J10" s="36"/>
      <c r="K10" s="36"/>
      <c r="L10" s="36"/>
    </row>
    <row r="11" spans="1:12" ht="13.05" customHeight="1">
      <c r="A11" s="37"/>
      <c r="B11" s="38"/>
      <c r="C11" s="13"/>
      <c r="D11" s="13"/>
      <c r="E11" s="77"/>
      <c r="F11" s="78"/>
      <c r="G11" s="79"/>
      <c r="H11" s="80"/>
      <c r="J11" s="36"/>
      <c r="K11" s="36"/>
      <c r="L11" s="36"/>
    </row>
    <row r="12" spans="1:12" ht="13.05" customHeight="1">
      <c r="A12" s="37" t="s">
        <v>71</v>
      </c>
      <c r="B12" s="38" t="s">
        <v>353</v>
      </c>
      <c r="C12" s="13"/>
      <c r="D12" s="13"/>
      <c r="E12" s="77" t="s">
        <v>70</v>
      </c>
      <c r="F12" s="78"/>
      <c r="G12" s="79"/>
      <c r="H12" s="80"/>
      <c r="J12" s="36"/>
      <c r="K12" s="36"/>
      <c r="L12" s="36"/>
    </row>
    <row r="13" spans="1:12" ht="13.05" customHeight="1">
      <c r="A13" s="37"/>
      <c r="B13" s="38"/>
      <c r="C13" s="13"/>
      <c r="D13" s="13"/>
      <c r="E13" s="77"/>
      <c r="F13" s="78"/>
      <c r="G13" s="79"/>
      <c r="H13" s="80"/>
      <c r="J13" s="36"/>
      <c r="K13" s="36"/>
      <c r="L13" s="36"/>
    </row>
    <row r="14" spans="1:12" ht="13.05" customHeight="1">
      <c r="A14" s="37" t="s">
        <v>73</v>
      </c>
      <c r="B14" s="38" t="s">
        <v>767</v>
      </c>
      <c r="C14" s="13"/>
      <c r="D14" s="13"/>
      <c r="E14" s="432" t="s">
        <v>46</v>
      </c>
      <c r="F14" s="441"/>
      <c r="G14" s="438"/>
      <c r="H14" s="435"/>
      <c r="J14" s="36"/>
      <c r="K14" s="36"/>
      <c r="L14" s="36"/>
    </row>
    <row r="15" spans="1:12" ht="13.05" customHeight="1">
      <c r="A15" s="37"/>
      <c r="B15" s="38"/>
      <c r="C15" s="13"/>
      <c r="D15" s="13"/>
      <c r="E15" s="433"/>
      <c r="F15" s="442"/>
      <c r="G15" s="439"/>
      <c r="H15" s="436"/>
      <c r="J15" s="36"/>
      <c r="K15" s="36"/>
      <c r="L15" s="36"/>
    </row>
    <row r="16" spans="1:12" ht="13.05" customHeight="1">
      <c r="A16" s="37" t="s">
        <v>76</v>
      </c>
      <c r="B16" s="38" t="s">
        <v>768</v>
      </c>
      <c r="C16" s="13"/>
      <c r="D16" s="13"/>
      <c r="E16" s="433"/>
      <c r="F16" s="442"/>
      <c r="G16" s="439"/>
      <c r="H16" s="436"/>
      <c r="J16" s="36"/>
      <c r="K16" s="36"/>
      <c r="L16" s="36"/>
    </row>
    <row r="17" spans="1:12" ht="13.05" customHeight="1">
      <c r="A17" s="37"/>
      <c r="B17" s="38"/>
      <c r="C17" s="13"/>
      <c r="D17" s="13"/>
      <c r="E17" s="433"/>
      <c r="F17" s="442"/>
      <c r="G17" s="439"/>
      <c r="H17" s="436"/>
      <c r="J17" s="36"/>
      <c r="K17" s="36"/>
      <c r="L17" s="36"/>
    </row>
    <row r="18" spans="1:12" ht="25.5" customHeight="1">
      <c r="A18" s="37" t="s">
        <v>78</v>
      </c>
      <c r="B18" s="403" t="s">
        <v>769</v>
      </c>
      <c r="C18" s="403"/>
      <c r="D18" s="404"/>
      <c r="E18" s="434"/>
      <c r="F18" s="443"/>
      <c r="G18" s="440"/>
      <c r="H18" s="437"/>
      <c r="J18" s="36"/>
      <c r="K18" s="36"/>
      <c r="L18" s="36"/>
    </row>
    <row r="19" spans="1:12" ht="13.05" customHeight="1">
      <c r="A19" s="37"/>
      <c r="B19" s="38"/>
      <c r="C19" s="13"/>
      <c r="D19" s="13"/>
      <c r="E19" s="77"/>
      <c r="F19" s="78"/>
      <c r="G19" s="79"/>
      <c r="H19" s="80"/>
      <c r="J19" s="36"/>
      <c r="K19" s="36"/>
      <c r="L19" s="36"/>
    </row>
    <row r="20" spans="1:12" ht="13.05" customHeight="1">
      <c r="A20" s="37" t="s">
        <v>81</v>
      </c>
      <c r="B20" s="38" t="s">
        <v>770</v>
      </c>
      <c r="C20" s="13"/>
      <c r="D20" s="13"/>
      <c r="E20" s="77" t="s">
        <v>46</v>
      </c>
      <c r="F20" s="78"/>
      <c r="G20" s="79"/>
      <c r="H20" s="80"/>
      <c r="J20" s="2"/>
      <c r="K20" s="2"/>
      <c r="L20" s="101"/>
    </row>
    <row r="21" spans="1:12" ht="13.05" customHeight="1">
      <c r="A21" s="37"/>
      <c r="B21" s="38"/>
      <c r="C21" s="13"/>
      <c r="D21" s="13"/>
      <c r="E21" s="77"/>
      <c r="F21" s="78"/>
      <c r="G21" s="79"/>
      <c r="H21" s="80"/>
      <c r="J21" s="2"/>
      <c r="K21" s="2"/>
      <c r="L21" s="101"/>
    </row>
    <row r="22" spans="1:12" ht="13.05" customHeight="1">
      <c r="A22" s="37" t="s">
        <v>83</v>
      </c>
      <c r="B22" s="38" t="s">
        <v>771</v>
      </c>
      <c r="C22" s="13"/>
      <c r="D22" s="13"/>
      <c r="E22" s="77" t="s">
        <v>46</v>
      </c>
      <c r="F22" s="78"/>
      <c r="G22" s="79"/>
      <c r="H22" s="80"/>
      <c r="J22" s="75"/>
      <c r="K22" s="75"/>
      <c r="L22" s="68"/>
    </row>
    <row r="23" spans="1:12" ht="13.05" customHeight="1">
      <c r="A23" s="44"/>
      <c r="B23" s="13"/>
      <c r="C23" s="13"/>
      <c r="D23" s="13"/>
      <c r="E23" s="77"/>
      <c r="F23" s="78"/>
      <c r="G23" s="79"/>
      <c r="H23" s="80"/>
      <c r="J23" s="75"/>
      <c r="K23" s="75"/>
      <c r="L23" s="68"/>
    </row>
    <row r="24" spans="1:12" ht="13.05" customHeight="1" thickBot="1">
      <c r="A24" s="49"/>
      <c r="B24" s="50"/>
      <c r="C24" s="50"/>
      <c r="D24" s="50"/>
      <c r="E24" s="51"/>
      <c r="F24" s="52"/>
      <c r="G24" s="53"/>
      <c r="H24" s="54"/>
      <c r="J24" s="75"/>
      <c r="K24" s="75"/>
      <c r="L24" s="68"/>
    </row>
    <row r="25" spans="1:12" ht="20.100000000000001" customHeight="1" thickTop="1">
      <c r="A25" s="366" t="s">
        <v>62</v>
      </c>
      <c r="B25" s="367"/>
      <c r="C25" s="367"/>
      <c r="D25" s="368"/>
      <c r="E25" s="55"/>
      <c r="F25" s="56"/>
      <c r="G25" s="57"/>
      <c r="H25" s="58"/>
      <c r="J25" s="75"/>
      <c r="K25" s="75"/>
      <c r="L25" s="68"/>
    </row>
    <row r="26" spans="1:12" ht="20.100000000000001" customHeight="1">
      <c r="A26" s="369" t="s">
        <v>63</v>
      </c>
      <c r="B26" s="370"/>
      <c r="C26" s="370"/>
      <c r="D26" s="371"/>
      <c r="E26" s="59"/>
      <c r="F26" s="60"/>
      <c r="G26" s="61"/>
      <c r="H26" s="62"/>
      <c r="J26" s="75"/>
      <c r="K26" s="75"/>
      <c r="L26" s="68"/>
    </row>
    <row r="27" spans="1:12" ht="20.100000000000001" customHeight="1" thickBot="1">
      <c r="A27" s="352" t="s">
        <v>64</v>
      </c>
      <c r="B27" s="353"/>
      <c r="C27" s="353"/>
      <c r="D27" s="354"/>
      <c r="E27" s="63"/>
      <c r="F27" s="64"/>
      <c r="G27" s="65"/>
      <c r="H27" s="66"/>
      <c r="J27" s="75"/>
      <c r="K27" s="75"/>
      <c r="L27" s="68"/>
    </row>
    <row r="28" spans="1:12" ht="15.6" thickTop="1">
      <c r="J28" s="68"/>
      <c r="K28"/>
      <c r="L28"/>
    </row>
    <row r="29" spans="1:12">
      <c r="J29" s="81"/>
      <c r="K29" s="81"/>
      <c r="L29" s="81"/>
    </row>
    <row r="30" spans="1:12">
      <c r="J30" s="81"/>
      <c r="K30" s="81"/>
      <c r="L30" s="81"/>
    </row>
    <row r="31" spans="1:12">
      <c r="L31" s="81"/>
    </row>
    <row r="32" spans="1:12">
      <c r="L32" s="81"/>
    </row>
    <row r="33" spans="12:12">
      <c r="L33" s="81"/>
    </row>
    <row r="34" spans="12:12">
      <c r="L34" s="81"/>
    </row>
    <row r="35" spans="12:12">
      <c r="L35" s="81"/>
    </row>
    <row r="36" spans="12:12">
      <c r="L36" s="81"/>
    </row>
    <row r="37" spans="12:12">
      <c r="L37" s="81"/>
    </row>
    <row r="38" spans="12:12">
      <c r="L38" s="81"/>
    </row>
    <row r="39" spans="12:12">
      <c r="L39" s="81"/>
    </row>
    <row r="40" spans="12:12">
      <c r="L40" s="81"/>
    </row>
    <row r="41" spans="12:12">
      <c r="L41" s="81"/>
    </row>
    <row r="42" spans="12:12">
      <c r="L42" s="81"/>
    </row>
    <row r="43" spans="12:12">
      <c r="L43" s="81"/>
    </row>
    <row r="44" spans="12:12">
      <c r="L44" s="81"/>
    </row>
    <row r="45" spans="12:12">
      <c r="L45" s="81"/>
    </row>
    <row r="46" spans="12:12">
      <c r="L46" s="81"/>
    </row>
    <row r="47" spans="12:12">
      <c r="L47" s="81"/>
    </row>
    <row r="48" spans="12:12">
      <c r="L48" s="81"/>
    </row>
    <row r="49" spans="10:12">
      <c r="L49" s="81"/>
    </row>
    <row r="50" spans="10:12">
      <c r="L50" s="81"/>
    </row>
    <row r="51" spans="10:12">
      <c r="L51" s="81"/>
    </row>
    <row r="52" spans="10:12">
      <c r="J52" s="75"/>
      <c r="K52" s="81"/>
      <c r="L52" s="81"/>
    </row>
  </sheetData>
  <mergeCells count="12">
    <mergeCell ref="A27:D27"/>
    <mergeCell ref="A1:H1"/>
    <mergeCell ref="A2:H2"/>
    <mergeCell ref="B3:D3"/>
    <mergeCell ref="A25:D25"/>
    <mergeCell ref="A26:D26"/>
    <mergeCell ref="E14:E18"/>
    <mergeCell ref="H14:H18"/>
    <mergeCell ref="G14:G18"/>
    <mergeCell ref="F14:F18"/>
    <mergeCell ref="B18:D18"/>
    <mergeCell ref="A6:H6"/>
  </mergeCells>
  <pageMargins left="0.7" right="0.7" top="0.75" bottom="0.75" header="0.3" footer="0.3"/>
  <pageSetup paperSize="8" orientation="portrait" horizontalDpi="0" verticalDpi="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DFB1E0-EDF2-4EF8-9FAA-902FE4D5F308}">
  <dimension ref="A1:Q1891"/>
  <sheetViews>
    <sheetView zoomScale="90" zoomScaleNormal="90" workbookViewId="0">
      <selection activeCell="P5" sqref="P5"/>
    </sheetView>
  </sheetViews>
  <sheetFormatPr baseColWidth="10" defaultColWidth="11.44140625" defaultRowHeight="11.4" outlineLevelRow="2" outlineLevelCol="1"/>
  <cols>
    <col min="1" max="1" width="11.5546875" style="160" bestFit="1" customWidth="1"/>
    <col min="2" max="2" width="92.77734375" style="286" customWidth="1"/>
    <col min="3" max="3" width="12.44140625" style="281" customWidth="1"/>
    <col min="4" max="4" width="12.21875" style="281" customWidth="1" outlineLevel="1"/>
    <col min="5" max="6" width="17.77734375" style="159" customWidth="1"/>
    <col min="7" max="7" width="23" style="159" customWidth="1" outlineLevel="1"/>
    <col min="8" max="8" width="22" style="285" customWidth="1"/>
    <col min="9" max="9" width="15" style="159" hidden="1" customWidth="1" outlineLevel="1"/>
    <col min="10" max="10" width="15" style="160" hidden="1" customWidth="1" outlineLevel="1"/>
    <col min="11" max="15" width="15" style="159" hidden="1" customWidth="1" outlineLevel="1"/>
    <col min="16" max="16" width="60.77734375" style="160" customWidth="1" collapsed="1"/>
    <col min="17" max="16384" width="11.44140625" style="160"/>
  </cols>
  <sheetData>
    <row r="1" spans="1:16" ht="47.55" customHeight="1">
      <c r="A1" s="444" t="s">
        <v>772</v>
      </c>
      <c r="B1" s="444"/>
      <c r="C1" s="444"/>
      <c r="D1" s="444"/>
      <c r="E1" s="444"/>
      <c r="F1" s="444"/>
      <c r="G1" s="444"/>
      <c r="H1" s="444"/>
    </row>
    <row r="2" spans="1:16" ht="17.25" customHeight="1">
      <c r="A2" s="419" t="s">
        <v>773</v>
      </c>
      <c r="B2" s="419"/>
      <c r="C2" s="419"/>
      <c r="D2" s="419"/>
      <c r="E2" s="419"/>
      <c r="F2" s="419"/>
      <c r="G2" s="419"/>
      <c r="H2" s="419"/>
    </row>
    <row r="3" spans="1:16" ht="25.5" customHeight="1" thickBot="1">
      <c r="A3" s="422"/>
      <c r="B3" s="422"/>
      <c r="C3" s="422"/>
      <c r="D3" s="422"/>
      <c r="E3" s="422"/>
      <c r="F3" s="422"/>
      <c r="G3" s="422"/>
      <c r="H3" s="422"/>
    </row>
    <row r="4" spans="1:16" s="170" customFormat="1" ht="53.55" customHeight="1" thickBot="1">
      <c r="A4" s="424" t="s">
        <v>774</v>
      </c>
      <c r="B4" s="425"/>
      <c r="C4" s="161" t="s">
        <v>48</v>
      </c>
      <c r="D4" s="162" t="s">
        <v>775</v>
      </c>
      <c r="E4" s="163" t="s">
        <v>776</v>
      </c>
      <c r="F4" s="164" t="s">
        <v>777</v>
      </c>
      <c r="G4" s="164" t="s">
        <v>778</v>
      </c>
      <c r="H4" s="165" t="s">
        <v>779</v>
      </c>
      <c r="I4" s="166" t="s">
        <v>780</v>
      </c>
      <c r="J4" s="167" t="s">
        <v>781</v>
      </c>
      <c r="K4" s="168" t="s">
        <v>782</v>
      </c>
      <c r="L4" s="168" t="s">
        <v>783</v>
      </c>
      <c r="M4" s="168" t="s">
        <v>784</v>
      </c>
      <c r="N4" s="168" t="s">
        <v>785</v>
      </c>
      <c r="O4" s="169" t="s">
        <v>786</v>
      </c>
    </row>
    <row r="5" spans="1:16" ht="129" customHeight="1" thickBot="1">
      <c r="A5" s="426" t="s">
        <v>1526</v>
      </c>
      <c r="B5" s="427"/>
      <c r="C5" s="427"/>
      <c r="D5" s="427"/>
      <c r="E5" s="427"/>
      <c r="F5" s="427"/>
      <c r="G5" s="427"/>
      <c r="H5" s="428"/>
      <c r="I5" s="171"/>
      <c r="J5" s="171"/>
      <c r="K5" s="171"/>
      <c r="L5" s="171"/>
      <c r="M5" s="171"/>
      <c r="N5" s="171"/>
      <c r="O5" s="172"/>
    </row>
    <row r="6" spans="1:16">
      <c r="A6" s="173"/>
      <c r="B6" s="174"/>
      <c r="C6" s="173"/>
      <c r="D6" s="175"/>
      <c r="E6" s="176"/>
      <c r="F6" s="177"/>
      <c r="G6" s="178"/>
      <c r="H6" s="179"/>
      <c r="I6" s="339" t="e">
        <f>IF(#REF!="",#REF!*#REF!,IF(#REF!=0,#REF!*#REF!,#REF!*#REF!*#REF!))</f>
        <v>#REF!</v>
      </c>
      <c r="J6" s="180" t="e">
        <f>#REF!*#REF!</f>
        <v>#REF!</v>
      </c>
      <c r="K6" s="178" t="e">
        <f>#REF!*mo</f>
        <v>#REF!</v>
      </c>
      <c r="L6" s="178" t="e">
        <f>J6*mo</f>
        <v>#REF!</v>
      </c>
      <c r="M6" s="178" t="e">
        <f>#REF!*#REF!</f>
        <v>#REF!</v>
      </c>
      <c r="N6" s="178" t="e">
        <f>#REF!+K6+#REF!</f>
        <v>#REF!</v>
      </c>
      <c r="O6" s="181" t="e">
        <f>M6+L6+I6</f>
        <v>#REF!</v>
      </c>
    </row>
    <row r="7" spans="1:16" s="189" customFormat="1" ht="12.6">
      <c r="A7" s="153">
        <v>1</v>
      </c>
      <c r="B7" s="154" t="s">
        <v>788</v>
      </c>
      <c r="C7" s="182"/>
      <c r="D7" s="183"/>
      <c r="E7" s="184"/>
      <c r="F7" s="185"/>
      <c r="G7" s="186"/>
      <c r="H7" s="187"/>
      <c r="I7" s="340" t="e">
        <f>IF(#REF!="",#REF!*#REF!,IF(#REF!=0,#REF!*#REF!,#REF!*#REF!*#REF!))</f>
        <v>#REF!</v>
      </c>
      <c r="J7" s="188" t="e">
        <f>#REF!*#REF!</f>
        <v>#REF!</v>
      </c>
      <c r="K7" s="186" t="e">
        <f>#REF!*mo</f>
        <v>#REF!</v>
      </c>
      <c r="L7" s="186" t="e">
        <f>J7*mo</f>
        <v>#REF!</v>
      </c>
      <c r="M7" s="186" t="e">
        <f>#REF!*#REF!</f>
        <v>#REF!</v>
      </c>
      <c r="N7" s="186" t="e">
        <f>#REF!+K7+#REF!</f>
        <v>#REF!</v>
      </c>
      <c r="O7" s="187" t="e">
        <f>M7+L7+I7</f>
        <v>#REF!</v>
      </c>
    </row>
    <row r="8" spans="1:16" outlineLevel="2">
      <c r="A8" s="155"/>
      <c r="B8" s="156"/>
      <c r="C8" s="190"/>
      <c r="D8" s="191"/>
      <c r="E8" s="176"/>
      <c r="F8" s="177"/>
      <c r="G8" s="192"/>
      <c r="H8" s="179"/>
      <c r="I8" s="339" t="e">
        <f>IF(#REF!="",#REF!*#REF!,IF(#REF!=0,#REF!*#REF!,#REF!*#REF!*#REF!))</f>
        <v>#REF!</v>
      </c>
      <c r="J8" s="180" t="e">
        <f>#REF!*#REF!</f>
        <v>#REF!</v>
      </c>
      <c r="K8" s="178" t="e">
        <f>#REF!*mo</f>
        <v>#REF!</v>
      </c>
      <c r="L8" s="178" t="e">
        <f>J8*mo</f>
        <v>#REF!</v>
      </c>
      <c r="M8" s="178" t="e">
        <f>#REF!*#REF!</f>
        <v>#REF!</v>
      </c>
      <c r="N8" s="178" t="e">
        <f>#REF!+K8+#REF!</f>
        <v>#REF!</v>
      </c>
      <c r="O8" s="181" t="e">
        <f>M8+L8+I8</f>
        <v>#REF!</v>
      </c>
    </row>
    <row r="9" spans="1:16" ht="42.75" customHeight="1" outlineLevel="2">
      <c r="A9" s="155"/>
      <c r="B9" s="156" t="s">
        <v>789</v>
      </c>
      <c r="C9" s="190"/>
      <c r="D9" s="191"/>
      <c r="E9" s="176"/>
      <c r="F9" s="177"/>
      <c r="G9" s="192"/>
      <c r="H9" s="179"/>
      <c r="I9" s="339" t="e">
        <f>IF(#REF!="",#REF!*#REF!,IF(#REF!=0,#REF!*#REF!,#REF!*#REF!*#REF!))</f>
        <v>#REF!</v>
      </c>
      <c r="J9" s="180" t="e">
        <f>#REF!*#REF!</f>
        <v>#REF!</v>
      </c>
      <c r="K9" s="178" t="e">
        <f>#REF!*mo</f>
        <v>#REF!</v>
      </c>
      <c r="L9" s="178" t="e">
        <f t="shared" ref="L9:L10" si="0">J9*mo</f>
        <v>#REF!</v>
      </c>
      <c r="M9" s="178" t="e">
        <f>#REF!*#REF!</f>
        <v>#REF!</v>
      </c>
      <c r="N9" s="178" t="e">
        <f>#REF!+K9+#REF!</f>
        <v>#REF!</v>
      </c>
      <c r="O9" s="181" t="e">
        <f t="shared" ref="O9:O10" si="1">M9+L9+I9</f>
        <v>#REF!</v>
      </c>
      <c r="P9" s="193"/>
    </row>
    <row r="10" spans="1:16" outlineLevel="1">
      <c r="A10" s="155"/>
      <c r="B10" s="156"/>
      <c r="C10" s="190"/>
      <c r="D10" s="191"/>
      <c r="E10" s="176"/>
      <c r="F10" s="177"/>
      <c r="G10" s="192"/>
      <c r="H10" s="179"/>
      <c r="I10" s="339" t="e">
        <f>IF(#REF!="",#REF!*#REF!,IF(#REF!=0,#REF!*#REF!,#REF!*#REF!*#REF!))</f>
        <v>#REF!</v>
      </c>
      <c r="J10" s="180" t="e">
        <f>#REF!*#REF!</f>
        <v>#REF!</v>
      </c>
      <c r="K10" s="178" t="e">
        <f>#REF!*mo</f>
        <v>#REF!</v>
      </c>
      <c r="L10" s="178" t="e">
        <f t="shared" si="0"/>
        <v>#REF!</v>
      </c>
      <c r="M10" s="178" t="e">
        <f>#REF!*#REF!</f>
        <v>#REF!</v>
      </c>
      <c r="N10" s="178" t="e">
        <f>#REF!+K10+#REF!</f>
        <v>#REF!</v>
      </c>
      <c r="O10" s="181" t="e">
        <f t="shared" si="1"/>
        <v>#REF!</v>
      </c>
      <c r="P10" s="193"/>
    </row>
    <row r="11" spans="1:16" s="194" customFormat="1" ht="12.6">
      <c r="A11" s="153">
        <v>2</v>
      </c>
      <c r="B11" s="154" t="s">
        <v>790</v>
      </c>
      <c r="C11" s="182"/>
      <c r="D11" s="183"/>
      <c r="E11" s="184"/>
      <c r="F11" s="185"/>
      <c r="G11" s="186"/>
      <c r="H11" s="187">
        <f>SUM(H12:H13)</f>
        <v>0</v>
      </c>
      <c r="I11" s="340" t="e">
        <f>IF(#REF!="",#REF!*#REF!,IF(#REF!=0,#REF!*#REF!,#REF!*#REF!*#REF!))</f>
        <v>#REF!</v>
      </c>
      <c r="J11" s="188"/>
      <c r="K11" s="186"/>
      <c r="L11" s="186"/>
      <c r="M11" s="186"/>
      <c r="N11" s="186"/>
      <c r="O11" s="187"/>
    </row>
    <row r="12" spans="1:16" s="193" customFormat="1" outlineLevel="1">
      <c r="A12" s="155"/>
      <c r="B12" s="156"/>
      <c r="C12" s="190"/>
      <c r="D12" s="191"/>
      <c r="E12" s="176"/>
      <c r="F12" s="177"/>
      <c r="G12" s="192"/>
      <c r="H12" s="179"/>
      <c r="I12" s="339" t="e">
        <f>IF(#REF!="",#REF!*#REF!,IF(#REF!=0,#REF!*#REF!,#REF!*#REF!*#REF!))</f>
        <v>#REF!</v>
      </c>
      <c r="J12" s="180" t="e">
        <f>#REF!*#REF!</f>
        <v>#REF!</v>
      </c>
      <c r="K12" s="178" t="e">
        <f>#REF!*mo</f>
        <v>#REF!</v>
      </c>
      <c r="L12" s="178" t="e">
        <f>J12*mo</f>
        <v>#REF!</v>
      </c>
      <c r="M12" s="178" t="e">
        <f>#REF!*#REF!</f>
        <v>#REF!</v>
      </c>
      <c r="N12" s="178" t="e">
        <f>#REF!+K12+#REF!</f>
        <v>#REF!</v>
      </c>
      <c r="O12" s="181" t="e">
        <f>M12+L12+I12</f>
        <v>#REF!</v>
      </c>
    </row>
    <row r="13" spans="1:16" s="193" customFormat="1" outlineLevel="1">
      <c r="A13" s="155"/>
      <c r="B13" s="156"/>
      <c r="C13" s="190"/>
      <c r="D13" s="191"/>
      <c r="E13" s="176"/>
      <c r="F13" s="177"/>
      <c r="G13" s="192"/>
      <c r="H13" s="179"/>
      <c r="I13" s="339" t="e">
        <f>IF(#REF!="",#REF!*#REF!,IF(#REF!=0,#REF!*#REF!,#REF!*#REF!*#REF!))</f>
        <v>#REF!</v>
      </c>
      <c r="J13" s="180" t="e">
        <f>#REF!*#REF!</f>
        <v>#REF!</v>
      </c>
      <c r="K13" s="178" t="e">
        <f>#REF!*mo</f>
        <v>#REF!</v>
      </c>
      <c r="L13" s="178" t="e">
        <f t="shared" ref="L13" si="2">J13*mo</f>
        <v>#REF!</v>
      </c>
      <c r="M13" s="178" t="e">
        <f>#REF!*#REF!</f>
        <v>#REF!</v>
      </c>
      <c r="N13" s="178" t="e">
        <f>#REF!+K13+#REF!</f>
        <v>#REF!</v>
      </c>
      <c r="O13" s="181" t="e">
        <f t="shared" ref="O13" si="3">M13+L13+I13</f>
        <v>#REF!</v>
      </c>
    </row>
    <row r="14" spans="1:16" s="189" customFormat="1" ht="12.6">
      <c r="A14" s="153">
        <v>3</v>
      </c>
      <c r="B14" s="154" t="s">
        <v>791</v>
      </c>
      <c r="C14" s="182"/>
      <c r="D14" s="183"/>
      <c r="E14" s="184"/>
      <c r="F14" s="185"/>
      <c r="G14" s="186"/>
      <c r="H14" s="187">
        <f>SUM(H15:H285)</f>
        <v>0</v>
      </c>
      <c r="I14" s="340" t="e">
        <f>IF(#REF!="",#REF!*#REF!,IF(#REF!=0,#REF!*#REF!,#REF!*#REF!*#REF!))</f>
        <v>#REF!</v>
      </c>
      <c r="J14" s="188" t="e">
        <f>#REF!*#REF!</f>
        <v>#REF!</v>
      </c>
      <c r="K14" s="186" t="e">
        <f>#REF!*mo</f>
        <v>#REF!</v>
      </c>
      <c r="L14" s="186" t="e">
        <f>J14*mo</f>
        <v>#REF!</v>
      </c>
      <c r="M14" s="186" t="e">
        <f>#REF!*#REF!</f>
        <v>#REF!</v>
      </c>
      <c r="N14" s="186" t="e">
        <f>#REF!+K14+#REF!</f>
        <v>#REF!</v>
      </c>
      <c r="O14" s="187" t="e">
        <f>M14+L14+I14</f>
        <v>#REF!</v>
      </c>
      <c r="P14" s="194"/>
    </row>
    <row r="15" spans="1:16" s="193" customFormat="1" outlineLevel="1">
      <c r="A15" s="155"/>
      <c r="B15" s="156"/>
      <c r="C15" s="190"/>
      <c r="D15" s="191"/>
      <c r="E15" s="176"/>
      <c r="F15" s="177"/>
      <c r="G15" s="192"/>
      <c r="H15" s="179"/>
      <c r="I15" s="339" t="e">
        <f>IF(#REF!="",#REF!*#REF!,IF(#REF!=0,#REF!*#REF!,#REF!*#REF!*#REF!))</f>
        <v>#REF!</v>
      </c>
      <c r="J15" s="180" t="e">
        <f>#REF!*#REF!</f>
        <v>#REF!</v>
      </c>
      <c r="K15" s="178" t="e">
        <f>#REF!*mo</f>
        <v>#REF!</v>
      </c>
      <c r="L15" s="178" t="e">
        <f>J15*mo</f>
        <v>#REF!</v>
      </c>
      <c r="M15" s="178" t="e">
        <f>#REF!*#REF!</f>
        <v>#REF!</v>
      </c>
      <c r="N15" s="178" t="e">
        <f>#REF!+K15+#REF!</f>
        <v>#REF!</v>
      </c>
      <c r="O15" s="181" t="e">
        <f>M15+L15+I15</f>
        <v>#REF!</v>
      </c>
    </row>
    <row r="16" spans="1:16" s="193" customFormat="1" outlineLevel="1">
      <c r="A16" s="157" t="str">
        <f>$A$14&amp;".1"</f>
        <v>3.1</v>
      </c>
      <c r="B16" s="158" t="s">
        <v>792</v>
      </c>
      <c r="C16" s="195"/>
      <c r="D16" s="170"/>
      <c r="E16" s="176"/>
      <c r="F16" s="177"/>
      <c r="G16" s="192"/>
      <c r="H16" s="196"/>
      <c r="I16" s="339" t="e">
        <f>IF(#REF!="",#REF!*#REF!,IF(#REF!=0,#REF!*#REF!,#REF!*#REF!*#REF!))</f>
        <v>#REF!</v>
      </c>
      <c r="J16" s="180" t="e">
        <f>#REF!*#REF!</f>
        <v>#REF!</v>
      </c>
      <c r="K16" s="178" t="e">
        <f>#REF!*mo</f>
        <v>#REF!</v>
      </c>
      <c r="L16" s="178" t="e">
        <f t="shared" ref="L16:L52" si="4">J16*mo</f>
        <v>#REF!</v>
      </c>
      <c r="M16" s="178" t="e">
        <f>#REF!*#REF!</f>
        <v>#REF!</v>
      </c>
      <c r="N16" s="178" t="e">
        <f>#REF!+K16+#REF!</f>
        <v>#REF!</v>
      </c>
      <c r="O16" s="181" t="e">
        <f t="shared" ref="O16:O55" si="5">M16+L16+I16</f>
        <v>#REF!</v>
      </c>
    </row>
    <row r="17" spans="1:15" s="193" customFormat="1" outlineLevel="1">
      <c r="A17" s="155"/>
      <c r="B17" s="156"/>
      <c r="C17" s="190"/>
      <c r="D17" s="191"/>
      <c r="E17" s="176"/>
      <c r="F17" s="177"/>
      <c r="G17" s="192"/>
      <c r="H17" s="179"/>
      <c r="I17" s="339" t="e">
        <f>IF(#REF!="",#REF!*#REF!,IF(#REF!=0,#REF!*#REF!,#REF!*#REF!*#REF!))</f>
        <v>#REF!</v>
      </c>
      <c r="J17" s="180" t="e">
        <f>#REF!*#REF!</f>
        <v>#REF!</v>
      </c>
      <c r="K17" s="178" t="e">
        <f>#REF!*mo</f>
        <v>#REF!</v>
      </c>
      <c r="L17" s="178" t="e">
        <f t="shared" si="4"/>
        <v>#REF!</v>
      </c>
      <c r="M17" s="178" t="e">
        <f>#REF!*#REF!</f>
        <v>#REF!</v>
      </c>
      <c r="N17" s="178" t="e">
        <f>#REF!+K17+#REF!</f>
        <v>#REF!</v>
      </c>
      <c r="O17" s="181" t="e">
        <f t="shared" si="5"/>
        <v>#REF!</v>
      </c>
    </row>
    <row r="18" spans="1:15" s="193" customFormat="1" outlineLevel="1">
      <c r="A18" s="157" t="str">
        <f>$A$16&amp;".2"</f>
        <v>3.1.2</v>
      </c>
      <c r="B18" s="158" t="s">
        <v>793</v>
      </c>
      <c r="C18" s="195"/>
      <c r="D18" s="170"/>
      <c r="E18" s="176"/>
      <c r="F18" s="177"/>
      <c r="G18" s="192">
        <f>SUM(F19:F23)</f>
        <v>0</v>
      </c>
      <c r="H18" s="179"/>
      <c r="I18" s="339" t="e">
        <f>IF(#REF!="",#REF!*#REF!,IF(#REF!=0,#REF!*#REF!,#REF!*#REF!*#REF!))</f>
        <v>#REF!</v>
      </c>
      <c r="J18" s="180" t="e">
        <f>#REF!*#REF!</f>
        <v>#REF!</v>
      </c>
      <c r="K18" s="178" t="e">
        <f>#REF!*mo</f>
        <v>#REF!</v>
      </c>
      <c r="L18" s="178" t="e">
        <f t="shared" si="4"/>
        <v>#REF!</v>
      </c>
      <c r="M18" s="178" t="e">
        <f>#REF!*#REF!</f>
        <v>#REF!</v>
      </c>
      <c r="N18" s="178" t="e">
        <f>#REF!+K18+#REF!</f>
        <v>#REF!</v>
      </c>
      <c r="O18" s="181" t="e">
        <f t="shared" si="5"/>
        <v>#REF!</v>
      </c>
    </row>
    <row r="19" spans="1:15" s="193" customFormat="1" outlineLevel="2">
      <c r="A19" s="155"/>
      <c r="B19" s="156"/>
      <c r="C19" s="190"/>
      <c r="D19" s="191"/>
      <c r="E19" s="176"/>
      <c r="F19" s="177"/>
      <c r="G19" s="192"/>
      <c r="H19" s="179"/>
      <c r="I19" s="339" t="e">
        <f>IF(#REF!="",#REF!*#REF!,IF(#REF!=0,#REF!*#REF!,#REF!*#REF!*#REF!))</f>
        <v>#REF!</v>
      </c>
      <c r="J19" s="180" t="e">
        <f>#REF!*#REF!</f>
        <v>#REF!</v>
      </c>
      <c r="K19" s="178" t="e">
        <f>#REF!*mo</f>
        <v>#REF!</v>
      </c>
      <c r="L19" s="178" t="e">
        <f t="shared" si="4"/>
        <v>#REF!</v>
      </c>
      <c r="M19" s="178" t="e">
        <f>#REF!*#REF!</f>
        <v>#REF!</v>
      </c>
      <c r="N19" s="178" t="e">
        <f>#REF!+K19+#REF!</f>
        <v>#REF!</v>
      </c>
      <c r="O19" s="181" t="e">
        <f t="shared" si="5"/>
        <v>#REF!</v>
      </c>
    </row>
    <row r="20" spans="1:15" s="193" customFormat="1" outlineLevel="2">
      <c r="A20" s="155"/>
      <c r="B20" s="156" t="s">
        <v>794</v>
      </c>
      <c r="C20" s="190" t="s">
        <v>795</v>
      </c>
      <c r="D20" s="191"/>
      <c r="E20" s="176"/>
      <c r="F20" s="177"/>
      <c r="G20" s="192"/>
      <c r="H20" s="179"/>
      <c r="I20" s="339" t="e">
        <f>IF(#REF!="",#REF!*#REF!,IF(#REF!=0,#REF!*#REF!,#REF!*#REF!*#REF!))</f>
        <v>#REF!</v>
      </c>
      <c r="J20" s="180" t="e">
        <f>#REF!*#REF!</f>
        <v>#REF!</v>
      </c>
      <c r="K20" s="178" t="e">
        <f>#REF!*mo</f>
        <v>#REF!</v>
      </c>
      <c r="L20" s="178" t="e">
        <f t="shared" si="4"/>
        <v>#REF!</v>
      </c>
      <c r="M20" s="178" t="e">
        <f>#REF!*#REF!</f>
        <v>#REF!</v>
      </c>
      <c r="N20" s="178" t="e">
        <f>#REF!+K20+#REF!</f>
        <v>#REF!</v>
      </c>
      <c r="O20" s="181" t="e">
        <f t="shared" si="5"/>
        <v>#REF!</v>
      </c>
    </row>
    <row r="21" spans="1:15" s="193" customFormat="1" outlineLevel="2">
      <c r="A21" s="155"/>
      <c r="B21" s="156" t="s">
        <v>796</v>
      </c>
      <c r="C21" s="190" t="s">
        <v>93</v>
      </c>
      <c r="D21" s="191"/>
      <c r="E21" s="176"/>
      <c r="F21" s="177"/>
      <c r="G21" s="192"/>
      <c r="H21" s="179"/>
      <c r="I21" s="339" t="e">
        <f>IF(#REF!="",#REF!*#REF!,IF(#REF!=0,#REF!*#REF!,#REF!*#REF!*#REF!))</f>
        <v>#REF!</v>
      </c>
      <c r="J21" s="180" t="e">
        <f>#REF!*#REF!</f>
        <v>#REF!</v>
      </c>
      <c r="K21" s="178" t="e">
        <f>#REF!*mo</f>
        <v>#REF!</v>
      </c>
      <c r="L21" s="178" t="e">
        <f t="shared" si="4"/>
        <v>#REF!</v>
      </c>
      <c r="M21" s="178" t="e">
        <f>#REF!*#REF!</f>
        <v>#REF!</v>
      </c>
      <c r="N21" s="178" t="e">
        <f>#REF!+K21+#REF!</f>
        <v>#REF!</v>
      </c>
      <c r="O21" s="181" t="e">
        <f t="shared" si="5"/>
        <v>#REF!</v>
      </c>
    </row>
    <row r="22" spans="1:15" s="193" customFormat="1" outlineLevel="2">
      <c r="A22" s="155"/>
      <c r="B22" s="156" t="s">
        <v>797</v>
      </c>
      <c r="C22" s="190" t="s">
        <v>795</v>
      </c>
      <c r="D22" s="191"/>
      <c r="E22" s="176"/>
      <c r="F22" s="177"/>
      <c r="G22" s="192"/>
      <c r="H22" s="179"/>
      <c r="I22" s="339" t="e">
        <f>IF(#REF!="",#REF!*#REF!,IF(#REF!=0,#REF!*#REF!,#REF!*#REF!*#REF!))</f>
        <v>#REF!</v>
      </c>
      <c r="J22" s="180" t="e">
        <f>#REF!*#REF!</f>
        <v>#REF!</v>
      </c>
      <c r="K22" s="178" t="e">
        <f>#REF!*mo</f>
        <v>#REF!</v>
      </c>
      <c r="L22" s="178" t="e">
        <f t="shared" si="4"/>
        <v>#REF!</v>
      </c>
      <c r="M22" s="178" t="e">
        <f>#REF!*#REF!</f>
        <v>#REF!</v>
      </c>
      <c r="N22" s="178" t="e">
        <f>#REF!+K22+#REF!</f>
        <v>#REF!</v>
      </c>
      <c r="O22" s="181" t="e">
        <f t="shared" si="5"/>
        <v>#REF!</v>
      </c>
    </row>
    <row r="23" spans="1:15" s="193" customFormat="1" outlineLevel="2">
      <c r="A23" s="155"/>
      <c r="B23" s="156"/>
      <c r="C23" s="190"/>
      <c r="D23" s="191"/>
      <c r="E23" s="176"/>
      <c r="F23" s="177"/>
      <c r="G23" s="192"/>
      <c r="H23" s="179"/>
      <c r="I23" s="339" t="e">
        <f>IF(#REF!="",#REF!*#REF!,IF(#REF!=0,#REF!*#REF!,#REF!*#REF!*#REF!))</f>
        <v>#REF!</v>
      </c>
      <c r="J23" s="180" t="e">
        <f>#REF!*#REF!</f>
        <v>#REF!</v>
      </c>
      <c r="K23" s="178" t="e">
        <f>#REF!*mo</f>
        <v>#REF!</v>
      </c>
      <c r="L23" s="178" t="e">
        <f t="shared" si="4"/>
        <v>#REF!</v>
      </c>
      <c r="M23" s="178" t="e">
        <f>#REF!*#REF!</f>
        <v>#REF!</v>
      </c>
      <c r="N23" s="178" t="e">
        <f>#REF!+K23+#REF!</f>
        <v>#REF!</v>
      </c>
      <c r="O23" s="181" t="e">
        <f t="shared" si="5"/>
        <v>#REF!</v>
      </c>
    </row>
    <row r="24" spans="1:15" s="193" customFormat="1" outlineLevel="1">
      <c r="A24" s="157" t="str">
        <f>$A$16&amp;".3"</f>
        <v>3.1.3</v>
      </c>
      <c r="B24" s="158" t="s">
        <v>798</v>
      </c>
      <c r="C24" s="195"/>
      <c r="D24" s="170"/>
      <c r="E24" s="176"/>
      <c r="F24" s="177"/>
      <c r="G24" s="192">
        <f>SUM(F25:F29)</f>
        <v>0</v>
      </c>
      <c r="H24" s="179"/>
      <c r="I24" s="339" t="e">
        <f>IF(#REF!="",#REF!*#REF!,IF(#REF!=0,#REF!*#REF!,#REF!*#REF!*#REF!))</f>
        <v>#REF!</v>
      </c>
      <c r="J24" s="180" t="e">
        <f>#REF!*#REF!</f>
        <v>#REF!</v>
      </c>
      <c r="K24" s="178" t="e">
        <f>#REF!*mo</f>
        <v>#REF!</v>
      </c>
      <c r="L24" s="178" t="e">
        <f t="shared" si="4"/>
        <v>#REF!</v>
      </c>
      <c r="M24" s="178" t="e">
        <f>#REF!*#REF!</f>
        <v>#REF!</v>
      </c>
      <c r="N24" s="178" t="e">
        <f>#REF!+K24+#REF!</f>
        <v>#REF!</v>
      </c>
      <c r="O24" s="181" t="e">
        <f t="shared" si="5"/>
        <v>#REF!</v>
      </c>
    </row>
    <row r="25" spans="1:15" s="193" customFormat="1" outlineLevel="2">
      <c r="A25" s="155"/>
      <c r="B25" s="156"/>
      <c r="C25" s="190"/>
      <c r="D25" s="191"/>
      <c r="E25" s="176"/>
      <c r="F25" s="177"/>
      <c r="G25" s="192"/>
      <c r="H25" s="179"/>
      <c r="I25" s="339" t="e">
        <f>IF(#REF!="",#REF!*#REF!,IF(#REF!=0,#REF!*#REF!,#REF!*#REF!*#REF!))</f>
        <v>#REF!</v>
      </c>
      <c r="J25" s="180" t="e">
        <f>#REF!*#REF!</f>
        <v>#REF!</v>
      </c>
      <c r="K25" s="178" t="e">
        <f>#REF!*mo</f>
        <v>#REF!</v>
      </c>
      <c r="L25" s="178" t="e">
        <f t="shared" si="4"/>
        <v>#REF!</v>
      </c>
      <c r="M25" s="178" t="e">
        <f>#REF!*#REF!</f>
        <v>#REF!</v>
      </c>
      <c r="N25" s="178" t="e">
        <f>#REF!+K25+#REF!</f>
        <v>#REF!</v>
      </c>
      <c r="O25" s="181" t="e">
        <f t="shared" si="5"/>
        <v>#REF!</v>
      </c>
    </row>
    <row r="26" spans="1:15" s="193" customFormat="1" outlineLevel="2">
      <c r="A26" s="155"/>
      <c r="B26" s="156" t="s">
        <v>799</v>
      </c>
      <c r="C26" s="190" t="s">
        <v>93</v>
      </c>
      <c r="D26" s="191"/>
      <c r="E26" s="176"/>
      <c r="F26" s="177"/>
      <c r="G26" s="192"/>
      <c r="H26" s="179"/>
      <c r="I26" s="339" t="e">
        <f>IF(#REF!="",#REF!*#REF!,IF(#REF!=0,#REF!*#REF!,#REF!*#REF!*#REF!))</f>
        <v>#REF!</v>
      </c>
      <c r="J26" s="180" t="e">
        <f>#REF!*#REF!</f>
        <v>#REF!</v>
      </c>
      <c r="K26" s="178" t="e">
        <f>#REF!*mo</f>
        <v>#REF!</v>
      </c>
      <c r="L26" s="178" t="e">
        <f t="shared" si="4"/>
        <v>#REF!</v>
      </c>
      <c r="M26" s="178" t="e">
        <f>#REF!*#REF!</f>
        <v>#REF!</v>
      </c>
      <c r="N26" s="178" t="e">
        <f>#REF!+K26+#REF!</f>
        <v>#REF!</v>
      </c>
      <c r="O26" s="181" t="e">
        <f t="shared" si="5"/>
        <v>#REF!</v>
      </c>
    </row>
    <row r="27" spans="1:15" s="193" customFormat="1" outlineLevel="2">
      <c r="A27" s="155"/>
      <c r="B27" s="197" t="s">
        <v>800</v>
      </c>
      <c r="C27" s="190" t="s">
        <v>801</v>
      </c>
      <c r="D27" s="191"/>
      <c r="E27" s="176"/>
      <c r="F27" s="177"/>
      <c r="G27" s="192"/>
      <c r="H27" s="179"/>
      <c r="I27" s="339" t="e">
        <f>IF(#REF!="",#REF!*#REF!,IF(#REF!=0,#REF!*#REF!,#REF!*#REF!*#REF!))</f>
        <v>#REF!</v>
      </c>
      <c r="J27" s="180" t="e">
        <f>#REF!*#REF!</f>
        <v>#REF!</v>
      </c>
      <c r="K27" s="178" t="e">
        <f>#REF!*mo</f>
        <v>#REF!</v>
      </c>
      <c r="L27" s="178" t="e">
        <f t="shared" si="4"/>
        <v>#REF!</v>
      </c>
      <c r="M27" s="178" t="e">
        <f>#REF!*#REF!</f>
        <v>#REF!</v>
      </c>
      <c r="N27" s="178" t="e">
        <f>#REF!+K27+#REF!</f>
        <v>#REF!</v>
      </c>
      <c r="O27" s="181" t="e">
        <f t="shared" si="5"/>
        <v>#REF!</v>
      </c>
    </row>
    <row r="28" spans="1:15" s="193" customFormat="1" outlineLevel="2">
      <c r="A28" s="155"/>
      <c r="B28" s="197" t="s">
        <v>802</v>
      </c>
      <c r="C28" s="190" t="s">
        <v>801</v>
      </c>
      <c r="D28" s="191"/>
      <c r="E28" s="176"/>
      <c r="F28" s="177"/>
      <c r="G28" s="192"/>
      <c r="H28" s="179"/>
      <c r="I28" s="339" t="e">
        <f>IF(#REF!="",#REF!*#REF!,IF(#REF!=0,#REF!*#REF!,#REF!*#REF!*#REF!))</f>
        <v>#REF!</v>
      </c>
      <c r="J28" s="180" t="e">
        <f>#REF!*#REF!</f>
        <v>#REF!</v>
      </c>
      <c r="K28" s="178" t="e">
        <f>#REF!*mo</f>
        <v>#REF!</v>
      </c>
      <c r="L28" s="178" t="e">
        <f t="shared" si="4"/>
        <v>#REF!</v>
      </c>
      <c r="M28" s="178" t="e">
        <f>#REF!*#REF!</f>
        <v>#REF!</v>
      </c>
      <c r="N28" s="178" t="e">
        <f>#REF!+K28+#REF!</f>
        <v>#REF!</v>
      </c>
      <c r="O28" s="181" t="e">
        <f t="shared" si="5"/>
        <v>#REF!</v>
      </c>
    </row>
    <row r="29" spans="1:15" s="193" customFormat="1" outlineLevel="2">
      <c r="A29" s="155"/>
      <c r="B29" s="156"/>
      <c r="C29" s="190"/>
      <c r="D29" s="191"/>
      <c r="E29" s="176"/>
      <c r="F29" s="177"/>
      <c r="G29" s="192"/>
      <c r="H29" s="179"/>
      <c r="I29" s="339" t="e">
        <f>IF(#REF!="",#REF!*#REF!,IF(#REF!=0,#REF!*#REF!,#REF!*#REF!*#REF!))</f>
        <v>#REF!</v>
      </c>
      <c r="J29" s="180" t="e">
        <f>#REF!*#REF!</f>
        <v>#REF!</v>
      </c>
      <c r="K29" s="178" t="e">
        <f>#REF!*mo</f>
        <v>#REF!</v>
      </c>
      <c r="L29" s="178" t="e">
        <f t="shared" si="4"/>
        <v>#REF!</v>
      </c>
      <c r="M29" s="178" t="e">
        <f>#REF!*#REF!</f>
        <v>#REF!</v>
      </c>
      <c r="N29" s="178" t="e">
        <f>#REF!+K29+#REF!</f>
        <v>#REF!</v>
      </c>
      <c r="O29" s="181" t="e">
        <f t="shared" si="5"/>
        <v>#REF!</v>
      </c>
    </row>
    <row r="30" spans="1:15" s="193" customFormat="1" outlineLevel="1">
      <c r="A30" s="157" t="str">
        <f>$A$16&amp;".4"</f>
        <v>3.1.4</v>
      </c>
      <c r="B30" s="158" t="s">
        <v>803</v>
      </c>
      <c r="C30" s="195"/>
      <c r="D30" s="170"/>
      <c r="E30" s="176"/>
      <c r="F30" s="177"/>
      <c r="G30" s="192">
        <f>SUM(F31:F37)</f>
        <v>0</v>
      </c>
      <c r="H30" s="179"/>
      <c r="I30" s="339" t="e">
        <f>IF(#REF!="",#REF!*#REF!,IF(#REF!=0,#REF!*#REF!,#REF!*#REF!*#REF!))</f>
        <v>#REF!</v>
      </c>
      <c r="J30" s="180" t="e">
        <f>#REF!*#REF!</f>
        <v>#REF!</v>
      </c>
      <c r="K30" s="178" t="e">
        <f>#REF!*mo</f>
        <v>#REF!</v>
      </c>
      <c r="L30" s="178" t="e">
        <f t="shared" si="4"/>
        <v>#REF!</v>
      </c>
      <c r="M30" s="178" t="e">
        <f>#REF!*#REF!</f>
        <v>#REF!</v>
      </c>
      <c r="N30" s="178" t="e">
        <f>#REF!+K30+#REF!</f>
        <v>#REF!</v>
      </c>
      <c r="O30" s="181" t="e">
        <f t="shared" si="5"/>
        <v>#REF!</v>
      </c>
    </row>
    <row r="31" spans="1:15" s="193" customFormat="1" outlineLevel="2">
      <c r="A31" s="155"/>
      <c r="B31" s="156"/>
      <c r="C31" s="190"/>
      <c r="D31" s="191"/>
      <c r="E31" s="176"/>
      <c r="F31" s="177"/>
      <c r="G31" s="192"/>
      <c r="H31" s="179"/>
      <c r="I31" s="339" t="e">
        <f>IF(#REF!="",#REF!*#REF!,IF(#REF!=0,#REF!*#REF!,#REF!*#REF!*#REF!))</f>
        <v>#REF!</v>
      </c>
      <c r="J31" s="180" t="e">
        <f>#REF!*#REF!</f>
        <v>#REF!</v>
      </c>
      <c r="K31" s="178" t="e">
        <f>#REF!*mo</f>
        <v>#REF!</v>
      </c>
      <c r="L31" s="178" t="e">
        <f t="shared" si="4"/>
        <v>#REF!</v>
      </c>
      <c r="M31" s="178" t="e">
        <f>#REF!*#REF!</f>
        <v>#REF!</v>
      </c>
      <c r="N31" s="178" t="e">
        <f>#REF!+K31+#REF!</f>
        <v>#REF!</v>
      </c>
      <c r="O31" s="181" t="e">
        <f t="shared" si="5"/>
        <v>#REF!</v>
      </c>
    </row>
    <row r="32" spans="1:15" s="193" customFormat="1" outlineLevel="2">
      <c r="A32" s="155"/>
      <c r="B32" s="156" t="s">
        <v>804</v>
      </c>
      <c r="C32" s="190" t="s">
        <v>795</v>
      </c>
      <c r="D32" s="191"/>
      <c r="E32" s="176"/>
      <c r="F32" s="177"/>
      <c r="G32" s="192"/>
      <c r="H32" s="179"/>
      <c r="I32" s="339" t="e">
        <f>IF(#REF!="",#REF!*#REF!,IF(#REF!=0,#REF!*#REF!,#REF!*#REF!*#REF!))</f>
        <v>#REF!</v>
      </c>
      <c r="J32" s="180" t="e">
        <f>#REF!*#REF!</f>
        <v>#REF!</v>
      </c>
      <c r="K32" s="178" t="e">
        <f>#REF!*mo</f>
        <v>#REF!</v>
      </c>
      <c r="L32" s="178" t="e">
        <f t="shared" si="4"/>
        <v>#REF!</v>
      </c>
      <c r="M32" s="178" t="e">
        <f>#REF!*#REF!</f>
        <v>#REF!</v>
      </c>
      <c r="N32" s="178" t="e">
        <f>#REF!+K32+#REF!</f>
        <v>#REF!</v>
      </c>
      <c r="O32" s="181" t="e">
        <f t="shared" si="5"/>
        <v>#REF!</v>
      </c>
    </row>
    <row r="33" spans="1:15" s="193" customFormat="1" outlineLevel="2">
      <c r="A33" s="155"/>
      <c r="B33" s="156" t="s">
        <v>805</v>
      </c>
      <c r="C33" s="190" t="s">
        <v>795</v>
      </c>
      <c r="D33" s="191"/>
      <c r="E33" s="176"/>
      <c r="F33" s="177"/>
      <c r="G33" s="192"/>
      <c r="H33" s="179"/>
      <c r="I33" s="339" t="e">
        <f>IF(#REF!="",#REF!*#REF!,IF(#REF!=0,#REF!*#REF!,#REF!*#REF!*#REF!))</f>
        <v>#REF!</v>
      </c>
      <c r="J33" s="180" t="e">
        <f>#REF!*#REF!</f>
        <v>#REF!</v>
      </c>
      <c r="K33" s="178" t="e">
        <f>#REF!*mo</f>
        <v>#REF!</v>
      </c>
      <c r="L33" s="178" t="e">
        <f t="shared" si="4"/>
        <v>#REF!</v>
      </c>
      <c r="M33" s="178" t="e">
        <f>#REF!*#REF!</f>
        <v>#REF!</v>
      </c>
      <c r="N33" s="178" t="e">
        <f>#REF!+K33+#REF!</f>
        <v>#REF!</v>
      </c>
      <c r="O33" s="181" t="e">
        <f t="shared" si="5"/>
        <v>#REF!</v>
      </c>
    </row>
    <row r="34" spans="1:15" s="193" customFormat="1" outlineLevel="2">
      <c r="A34" s="155"/>
      <c r="B34" s="156" t="s">
        <v>806</v>
      </c>
      <c r="C34" s="190" t="s">
        <v>93</v>
      </c>
      <c r="D34" s="191"/>
      <c r="E34" s="176"/>
      <c r="F34" s="177"/>
      <c r="G34" s="192"/>
      <c r="H34" s="179"/>
      <c r="I34" s="339" t="e">
        <f>IF(#REF!="",#REF!*#REF!,IF(#REF!=0,#REF!*#REF!,#REF!*#REF!*#REF!))</f>
        <v>#REF!</v>
      </c>
      <c r="J34" s="180" t="e">
        <f>#REF!*#REF!</f>
        <v>#REF!</v>
      </c>
      <c r="K34" s="178" t="e">
        <f>#REF!*mo</f>
        <v>#REF!</v>
      </c>
      <c r="L34" s="178" t="e">
        <f t="shared" si="4"/>
        <v>#REF!</v>
      </c>
      <c r="M34" s="178" t="e">
        <f>#REF!*#REF!</f>
        <v>#REF!</v>
      </c>
      <c r="N34" s="178" t="e">
        <f>#REF!+K34+#REF!</f>
        <v>#REF!</v>
      </c>
      <c r="O34" s="181" t="e">
        <f t="shared" si="5"/>
        <v>#REF!</v>
      </c>
    </row>
    <row r="35" spans="1:15" s="193" customFormat="1" outlineLevel="2">
      <c r="A35" s="155"/>
      <c r="B35" s="156" t="s">
        <v>807</v>
      </c>
      <c r="C35" s="190" t="s">
        <v>93</v>
      </c>
      <c r="D35" s="191"/>
      <c r="E35" s="176"/>
      <c r="F35" s="177"/>
      <c r="G35" s="192"/>
      <c r="H35" s="179"/>
      <c r="I35" s="339" t="e">
        <f>IF(#REF!="",#REF!*#REF!,IF(#REF!=0,#REF!*#REF!,#REF!*#REF!*#REF!))</f>
        <v>#REF!</v>
      </c>
      <c r="J35" s="180" t="e">
        <f>#REF!*#REF!</f>
        <v>#REF!</v>
      </c>
      <c r="K35" s="178" t="e">
        <f>#REF!*mo</f>
        <v>#REF!</v>
      </c>
      <c r="L35" s="178" t="e">
        <f t="shared" si="4"/>
        <v>#REF!</v>
      </c>
      <c r="M35" s="178" t="e">
        <f>#REF!*#REF!</f>
        <v>#REF!</v>
      </c>
      <c r="N35" s="178" t="e">
        <f>#REF!+K35+#REF!</f>
        <v>#REF!</v>
      </c>
      <c r="O35" s="181" t="e">
        <f t="shared" si="5"/>
        <v>#REF!</v>
      </c>
    </row>
    <row r="36" spans="1:15" s="193" customFormat="1" outlineLevel="2">
      <c r="A36" s="155"/>
      <c r="B36" s="156" t="s">
        <v>808</v>
      </c>
      <c r="C36" s="190" t="s">
        <v>93</v>
      </c>
      <c r="D36" s="191"/>
      <c r="E36" s="176"/>
      <c r="F36" s="177"/>
      <c r="G36" s="192"/>
      <c r="H36" s="179"/>
      <c r="I36" s="339" t="e">
        <f>IF(#REF!="",#REF!*#REF!,IF(#REF!=0,#REF!*#REF!,#REF!*#REF!*#REF!))</f>
        <v>#REF!</v>
      </c>
      <c r="J36" s="180" t="e">
        <f>#REF!*#REF!</f>
        <v>#REF!</v>
      </c>
      <c r="K36" s="178" t="e">
        <f>#REF!*mo</f>
        <v>#REF!</v>
      </c>
      <c r="L36" s="178" t="e">
        <f t="shared" si="4"/>
        <v>#REF!</v>
      </c>
      <c r="M36" s="178" t="e">
        <f>#REF!*#REF!</f>
        <v>#REF!</v>
      </c>
      <c r="N36" s="178" t="e">
        <f>#REF!+K36+#REF!</f>
        <v>#REF!</v>
      </c>
      <c r="O36" s="181" t="e">
        <f t="shared" si="5"/>
        <v>#REF!</v>
      </c>
    </row>
    <row r="37" spans="1:15" s="193" customFormat="1" outlineLevel="2">
      <c r="A37" s="155"/>
      <c r="B37" s="156"/>
      <c r="C37" s="190"/>
      <c r="D37" s="191"/>
      <c r="E37" s="176"/>
      <c r="F37" s="177"/>
      <c r="G37" s="192"/>
      <c r="H37" s="179"/>
      <c r="I37" s="339" t="e">
        <f>IF(#REF!="",#REF!*#REF!,IF(#REF!=0,#REF!*#REF!,#REF!*#REF!*#REF!))</f>
        <v>#REF!</v>
      </c>
      <c r="J37" s="180" t="e">
        <f>#REF!*#REF!</f>
        <v>#REF!</v>
      </c>
      <c r="K37" s="178" t="e">
        <f>#REF!*mo</f>
        <v>#REF!</v>
      </c>
      <c r="L37" s="178" t="e">
        <f t="shared" si="4"/>
        <v>#REF!</v>
      </c>
      <c r="M37" s="178" t="e">
        <f>#REF!*#REF!</f>
        <v>#REF!</v>
      </c>
      <c r="N37" s="178" t="e">
        <f>#REF!+K37+#REF!</f>
        <v>#REF!</v>
      </c>
      <c r="O37" s="181" t="e">
        <f t="shared" si="5"/>
        <v>#REF!</v>
      </c>
    </row>
    <row r="38" spans="1:15" s="193" customFormat="1" outlineLevel="1">
      <c r="A38" s="157" t="str">
        <f>$A$16&amp;".5"</f>
        <v>3.1.5</v>
      </c>
      <c r="B38" s="158" t="s">
        <v>809</v>
      </c>
      <c r="C38" s="195"/>
      <c r="D38" s="170"/>
      <c r="E38" s="176"/>
      <c r="F38" s="177"/>
      <c r="G38" s="192">
        <f>SUM(F39:F52)</f>
        <v>0</v>
      </c>
      <c r="H38" s="179"/>
      <c r="I38" s="339" t="e">
        <f>IF(#REF!="",#REF!*#REF!,IF(#REF!=0,#REF!*#REF!,#REF!*#REF!*#REF!))</f>
        <v>#REF!</v>
      </c>
      <c r="J38" s="180" t="e">
        <f>#REF!*#REF!</f>
        <v>#REF!</v>
      </c>
      <c r="K38" s="178" t="e">
        <f>#REF!*mo</f>
        <v>#REF!</v>
      </c>
      <c r="L38" s="178" t="e">
        <f t="shared" si="4"/>
        <v>#REF!</v>
      </c>
      <c r="M38" s="178" t="e">
        <f>#REF!*#REF!</f>
        <v>#REF!</v>
      </c>
      <c r="N38" s="178" t="e">
        <f>#REF!+K38+#REF!</f>
        <v>#REF!</v>
      </c>
      <c r="O38" s="181" t="e">
        <f t="shared" si="5"/>
        <v>#REF!</v>
      </c>
    </row>
    <row r="39" spans="1:15" s="193" customFormat="1" outlineLevel="2">
      <c r="A39" s="155"/>
      <c r="B39" s="156"/>
      <c r="C39" s="190"/>
      <c r="D39" s="191"/>
      <c r="E39" s="176"/>
      <c r="F39" s="177"/>
      <c r="G39" s="192"/>
      <c r="H39" s="179"/>
      <c r="I39" s="339" t="e">
        <f>IF(#REF!="",#REF!*#REF!,IF(#REF!=0,#REF!*#REF!,#REF!*#REF!*#REF!))</f>
        <v>#REF!</v>
      </c>
      <c r="J39" s="180" t="e">
        <f>#REF!*#REF!</f>
        <v>#REF!</v>
      </c>
      <c r="K39" s="178" t="e">
        <f>#REF!*mo</f>
        <v>#REF!</v>
      </c>
      <c r="L39" s="178" t="e">
        <f t="shared" si="4"/>
        <v>#REF!</v>
      </c>
      <c r="M39" s="178" t="e">
        <f>#REF!*#REF!</f>
        <v>#REF!</v>
      </c>
      <c r="N39" s="178" t="e">
        <f>#REF!+K39+#REF!</f>
        <v>#REF!</v>
      </c>
      <c r="O39" s="181" t="e">
        <f t="shared" si="5"/>
        <v>#REF!</v>
      </c>
    </row>
    <row r="40" spans="1:15" s="193" customFormat="1" outlineLevel="2">
      <c r="A40" s="155"/>
      <c r="B40" s="156" t="s">
        <v>810</v>
      </c>
      <c r="C40" s="190"/>
      <c r="D40" s="191"/>
      <c r="E40" s="176"/>
      <c r="F40" s="177"/>
      <c r="G40" s="192"/>
      <c r="H40" s="179"/>
      <c r="I40" s="339" t="e">
        <f>IF(#REF!="",#REF!*#REF!,IF(#REF!=0,#REF!*#REF!,#REF!*#REF!*#REF!))</f>
        <v>#REF!</v>
      </c>
      <c r="J40" s="180" t="e">
        <f>#REF!*#REF!</f>
        <v>#REF!</v>
      </c>
      <c r="K40" s="178" t="e">
        <f>#REF!*mo</f>
        <v>#REF!</v>
      </c>
      <c r="L40" s="178" t="e">
        <f t="shared" si="4"/>
        <v>#REF!</v>
      </c>
      <c r="M40" s="178" t="e">
        <f>#REF!*#REF!</f>
        <v>#REF!</v>
      </c>
      <c r="N40" s="178" t="e">
        <f>#REF!+K40+#REF!</f>
        <v>#REF!</v>
      </c>
      <c r="O40" s="181" t="e">
        <f t="shared" si="5"/>
        <v>#REF!</v>
      </c>
    </row>
    <row r="41" spans="1:15" s="193" customFormat="1" outlineLevel="2">
      <c r="A41" s="155"/>
      <c r="B41" s="156"/>
      <c r="C41" s="190"/>
      <c r="D41" s="191"/>
      <c r="E41" s="176"/>
      <c r="F41" s="177"/>
      <c r="G41" s="192"/>
      <c r="H41" s="179"/>
      <c r="I41" s="339"/>
      <c r="J41" s="180"/>
      <c r="K41" s="178"/>
      <c r="L41" s="178"/>
      <c r="M41" s="178"/>
      <c r="N41" s="178"/>
      <c r="O41" s="181"/>
    </row>
    <row r="42" spans="1:15" s="193" customFormat="1" outlineLevel="2">
      <c r="A42" s="155"/>
      <c r="B42" s="156" t="s">
        <v>811</v>
      </c>
      <c r="C42" s="190" t="s">
        <v>93</v>
      </c>
      <c r="D42" s="191"/>
      <c r="E42" s="176"/>
      <c r="F42" s="177"/>
      <c r="G42" s="192"/>
      <c r="H42" s="179"/>
      <c r="I42" s="339" t="e">
        <f>IF(#REF!="",#REF!*#REF!,IF(#REF!=0,#REF!*#REF!,#REF!*#REF!*#REF!))</f>
        <v>#REF!</v>
      </c>
      <c r="J42" s="180" t="e">
        <f>#REF!*#REF!</f>
        <v>#REF!</v>
      </c>
      <c r="K42" s="178" t="e">
        <f>#REF!*mo</f>
        <v>#REF!</v>
      </c>
      <c r="L42" s="178" t="e">
        <f t="shared" ref="L42:L43" si="6">J42*mo</f>
        <v>#REF!</v>
      </c>
      <c r="M42" s="178" t="e">
        <f>#REF!*#REF!</f>
        <v>#REF!</v>
      </c>
      <c r="N42" s="178" t="e">
        <f>#REF!+K42+#REF!</f>
        <v>#REF!</v>
      </c>
      <c r="O42" s="181" t="e">
        <f t="shared" ref="O42:O51" si="7">M42+L42+I42</f>
        <v>#REF!</v>
      </c>
    </row>
    <row r="43" spans="1:15" s="193" customFormat="1" outlineLevel="2">
      <c r="A43" s="155"/>
      <c r="B43" s="156" t="s">
        <v>812</v>
      </c>
      <c r="C43" s="190" t="s">
        <v>795</v>
      </c>
      <c r="D43" s="191"/>
      <c r="E43" s="176"/>
      <c r="F43" s="177"/>
      <c r="G43" s="192"/>
      <c r="H43" s="179"/>
      <c r="I43" s="339" t="e">
        <f>IF(#REF!="",#REF!*#REF!,IF(#REF!=0,#REF!*#REF!,#REF!*#REF!*#REF!))</f>
        <v>#REF!</v>
      </c>
      <c r="J43" s="180" t="e">
        <f>#REF!*#REF!</f>
        <v>#REF!</v>
      </c>
      <c r="K43" s="178" t="e">
        <f>#REF!*mo</f>
        <v>#REF!</v>
      </c>
      <c r="L43" s="178" t="e">
        <f t="shared" si="6"/>
        <v>#REF!</v>
      </c>
      <c r="M43" s="178" t="e">
        <f>#REF!*#REF!</f>
        <v>#REF!</v>
      </c>
      <c r="N43" s="178" t="e">
        <f>#REF!+K43+#REF!</f>
        <v>#REF!</v>
      </c>
      <c r="O43" s="181" t="e">
        <f t="shared" si="7"/>
        <v>#REF!</v>
      </c>
    </row>
    <row r="44" spans="1:15" s="193" customFormat="1" outlineLevel="2">
      <c r="A44" s="155"/>
      <c r="B44" s="156" t="s">
        <v>813</v>
      </c>
      <c r="C44" s="190" t="s">
        <v>795</v>
      </c>
      <c r="D44" s="191"/>
      <c r="E44" s="176"/>
      <c r="F44" s="177"/>
      <c r="G44" s="192"/>
      <c r="H44" s="179"/>
      <c r="I44" s="339" t="e">
        <f>IF(#REF!="",#REF!*#REF!,IF(#REF!=0,#REF!*#REF!,#REF!*#REF!*#REF!))</f>
        <v>#REF!</v>
      </c>
      <c r="J44" s="180" t="e">
        <f>#REF!*#REF!</f>
        <v>#REF!</v>
      </c>
      <c r="K44" s="178" t="e">
        <f>#REF!*mo</f>
        <v>#REF!</v>
      </c>
      <c r="L44" s="178" t="e">
        <f t="shared" ref="L44" si="8">J44*mo</f>
        <v>#REF!</v>
      </c>
      <c r="M44" s="178" t="e">
        <f>#REF!*#REF!</f>
        <v>#REF!</v>
      </c>
      <c r="N44" s="178" t="e">
        <f>#REF!+K44+#REF!</f>
        <v>#REF!</v>
      </c>
      <c r="O44" s="181" t="e">
        <f t="shared" si="7"/>
        <v>#REF!</v>
      </c>
    </row>
    <row r="45" spans="1:15" s="193" customFormat="1" outlineLevel="2">
      <c r="A45" s="155"/>
      <c r="B45" s="156" t="s">
        <v>814</v>
      </c>
      <c r="C45" s="190" t="s">
        <v>93</v>
      </c>
      <c r="D45" s="191"/>
      <c r="E45" s="176"/>
      <c r="F45" s="177"/>
      <c r="G45" s="192"/>
      <c r="H45" s="179"/>
      <c r="I45" s="339" t="e">
        <f>IF(#REF!="",#REF!*#REF!,IF(#REF!=0,#REF!*#REF!,#REF!*#REF!*#REF!))</f>
        <v>#REF!</v>
      </c>
      <c r="J45" s="180" t="e">
        <f>#REF!*#REF!</f>
        <v>#REF!</v>
      </c>
      <c r="K45" s="178" t="e">
        <f>#REF!*mo</f>
        <v>#REF!</v>
      </c>
      <c r="L45" s="178" t="e">
        <f t="shared" ref="L45:L51" si="9">J45*mo</f>
        <v>#REF!</v>
      </c>
      <c r="M45" s="178" t="e">
        <f>#REF!*#REF!</f>
        <v>#REF!</v>
      </c>
      <c r="N45" s="178" t="e">
        <f>#REF!+K45+#REF!</f>
        <v>#REF!</v>
      </c>
      <c r="O45" s="181" t="e">
        <f t="shared" si="7"/>
        <v>#REF!</v>
      </c>
    </row>
    <row r="46" spans="1:15" s="193" customFormat="1" outlineLevel="2">
      <c r="A46" s="155"/>
      <c r="B46" s="156" t="s">
        <v>815</v>
      </c>
      <c r="C46" s="190" t="s">
        <v>795</v>
      </c>
      <c r="D46" s="191"/>
      <c r="E46" s="176"/>
      <c r="F46" s="177"/>
      <c r="G46" s="192"/>
      <c r="H46" s="179"/>
      <c r="I46" s="339" t="e">
        <f>IF(#REF!="",#REF!*#REF!,IF(#REF!=0,#REF!*#REF!,#REF!*#REF!*#REF!))</f>
        <v>#REF!</v>
      </c>
      <c r="J46" s="180" t="e">
        <f>#REF!*#REF!</f>
        <v>#REF!</v>
      </c>
      <c r="K46" s="178" t="e">
        <f>#REF!*mo</f>
        <v>#REF!</v>
      </c>
      <c r="L46" s="178" t="e">
        <f t="shared" ref="L46:L50" si="10">J46*mo</f>
        <v>#REF!</v>
      </c>
      <c r="M46" s="178" t="e">
        <f>#REF!*#REF!</f>
        <v>#REF!</v>
      </c>
      <c r="N46" s="178" t="e">
        <f>#REF!+K46+#REF!</f>
        <v>#REF!</v>
      </c>
      <c r="O46" s="181" t="e">
        <f t="shared" si="7"/>
        <v>#REF!</v>
      </c>
    </row>
    <row r="47" spans="1:15" s="193" customFormat="1" outlineLevel="2">
      <c r="A47" s="155"/>
      <c r="B47" s="156" t="s">
        <v>816</v>
      </c>
      <c r="C47" s="190" t="s">
        <v>795</v>
      </c>
      <c r="D47" s="191"/>
      <c r="E47" s="176"/>
      <c r="F47" s="177"/>
      <c r="G47" s="192"/>
      <c r="H47" s="179"/>
      <c r="I47" s="339" t="e">
        <f>IF(#REF!="",#REF!*#REF!,IF(#REF!=0,#REF!*#REF!,#REF!*#REF!*#REF!))</f>
        <v>#REF!</v>
      </c>
      <c r="J47" s="180" t="e">
        <f>#REF!*#REF!</f>
        <v>#REF!</v>
      </c>
      <c r="K47" s="178" t="e">
        <f>#REF!*mo</f>
        <v>#REF!</v>
      </c>
      <c r="L47" s="178" t="e">
        <f t="shared" si="10"/>
        <v>#REF!</v>
      </c>
      <c r="M47" s="178" t="e">
        <f>#REF!*#REF!</f>
        <v>#REF!</v>
      </c>
      <c r="N47" s="178" t="e">
        <f>#REF!+K47+#REF!</f>
        <v>#REF!</v>
      </c>
      <c r="O47" s="181" t="e">
        <f t="shared" si="7"/>
        <v>#REF!</v>
      </c>
    </row>
    <row r="48" spans="1:15" s="193" customFormat="1" outlineLevel="2">
      <c r="A48" s="155"/>
      <c r="B48" s="156" t="s">
        <v>817</v>
      </c>
      <c r="C48" s="190" t="s">
        <v>795</v>
      </c>
      <c r="D48" s="191"/>
      <c r="E48" s="176"/>
      <c r="F48" s="177"/>
      <c r="G48" s="192"/>
      <c r="H48" s="179"/>
      <c r="I48" s="339" t="e">
        <f>IF(#REF!="",#REF!*#REF!,IF(#REF!=0,#REF!*#REF!,#REF!*#REF!*#REF!))</f>
        <v>#REF!</v>
      </c>
      <c r="J48" s="180" t="e">
        <f>#REF!*#REF!</f>
        <v>#REF!</v>
      </c>
      <c r="K48" s="178" t="e">
        <f>#REF!*mo</f>
        <v>#REF!</v>
      </c>
      <c r="L48" s="178" t="e">
        <f t="shared" si="10"/>
        <v>#REF!</v>
      </c>
      <c r="M48" s="178" t="e">
        <f>#REF!*#REF!</f>
        <v>#REF!</v>
      </c>
      <c r="N48" s="178" t="e">
        <f>#REF!+K48+#REF!</f>
        <v>#REF!</v>
      </c>
      <c r="O48" s="181" t="e">
        <f t="shared" si="7"/>
        <v>#REF!</v>
      </c>
    </row>
    <row r="49" spans="1:17" s="193" customFormat="1" outlineLevel="2">
      <c r="A49" s="155"/>
      <c r="B49" s="156" t="s">
        <v>818</v>
      </c>
      <c r="C49" s="190" t="s">
        <v>795</v>
      </c>
      <c r="D49" s="191"/>
      <c r="E49" s="176"/>
      <c r="F49" s="177"/>
      <c r="G49" s="192"/>
      <c r="H49" s="179"/>
      <c r="I49" s="339" t="e">
        <f>IF(#REF!="",#REF!*#REF!,IF(#REF!=0,#REF!*#REF!,#REF!*#REF!*#REF!))</f>
        <v>#REF!</v>
      </c>
      <c r="J49" s="180" t="e">
        <f>#REF!*#REF!</f>
        <v>#REF!</v>
      </c>
      <c r="K49" s="178" t="e">
        <f>#REF!*mo</f>
        <v>#REF!</v>
      </c>
      <c r="L49" s="178" t="e">
        <f t="shared" si="10"/>
        <v>#REF!</v>
      </c>
      <c r="M49" s="178" t="e">
        <f>#REF!*#REF!</f>
        <v>#REF!</v>
      </c>
      <c r="N49" s="178" t="e">
        <f>#REF!+K49+#REF!</f>
        <v>#REF!</v>
      </c>
      <c r="O49" s="181" t="e">
        <f t="shared" si="7"/>
        <v>#REF!</v>
      </c>
    </row>
    <row r="50" spans="1:17" s="193" customFormat="1" outlineLevel="2">
      <c r="A50" s="155"/>
      <c r="B50" s="156" t="s">
        <v>819</v>
      </c>
      <c r="C50" s="190" t="s">
        <v>795</v>
      </c>
      <c r="D50" s="191"/>
      <c r="E50" s="176"/>
      <c r="F50" s="177"/>
      <c r="G50" s="192"/>
      <c r="H50" s="179"/>
      <c r="I50" s="339" t="e">
        <f>IF(#REF!="",#REF!*#REF!,IF(#REF!=0,#REF!*#REF!,#REF!*#REF!*#REF!))</f>
        <v>#REF!</v>
      </c>
      <c r="J50" s="180" t="e">
        <f>#REF!*#REF!</f>
        <v>#REF!</v>
      </c>
      <c r="K50" s="178" t="e">
        <f>#REF!*mo</f>
        <v>#REF!</v>
      </c>
      <c r="L50" s="178" t="e">
        <f t="shared" si="10"/>
        <v>#REF!</v>
      </c>
      <c r="M50" s="178" t="e">
        <f>#REF!*#REF!</f>
        <v>#REF!</v>
      </c>
      <c r="N50" s="178" t="e">
        <f>#REF!+K50+#REF!</f>
        <v>#REF!</v>
      </c>
      <c r="O50" s="181" t="e">
        <f t="shared" si="7"/>
        <v>#REF!</v>
      </c>
    </row>
    <row r="51" spans="1:17" s="193" customFormat="1" outlineLevel="2">
      <c r="A51" s="155"/>
      <c r="B51" s="156" t="s">
        <v>820</v>
      </c>
      <c r="C51" s="190" t="s">
        <v>795</v>
      </c>
      <c r="D51" s="191"/>
      <c r="E51" s="176"/>
      <c r="F51" s="177"/>
      <c r="G51" s="192"/>
      <c r="H51" s="179"/>
      <c r="I51" s="339" t="e">
        <f>IF(#REF!="",#REF!*#REF!,IF(#REF!=0,#REF!*#REF!,#REF!*#REF!*#REF!))</f>
        <v>#REF!</v>
      </c>
      <c r="J51" s="180" t="e">
        <f>#REF!*#REF!</f>
        <v>#REF!</v>
      </c>
      <c r="K51" s="178" t="e">
        <f>#REF!*mo</f>
        <v>#REF!</v>
      </c>
      <c r="L51" s="178" t="e">
        <f t="shared" si="9"/>
        <v>#REF!</v>
      </c>
      <c r="M51" s="178" t="e">
        <f>#REF!*#REF!</f>
        <v>#REF!</v>
      </c>
      <c r="N51" s="178" t="e">
        <f>#REF!+K51+#REF!</f>
        <v>#REF!</v>
      </c>
      <c r="O51" s="181" t="e">
        <f t="shared" si="7"/>
        <v>#REF!</v>
      </c>
    </row>
    <row r="52" spans="1:17" s="193" customFormat="1" outlineLevel="2">
      <c r="A52" s="155"/>
      <c r="B52" s="156"/>
      <c r="C52" s="190"/>
      <c r="D52" s="191"/>
      <c r="E52" s="176"/>
      <c r="F52" s="177"/>
      <c r="G52" s="192"/>
      <c r="H52" s="179"/>
      <c r="I52" s="339" t="e">
        <f>IF(#REF!="",#REF!*#REF!,IF(#REF!=0,#REF!*#REF!,#REF!*#REF!*#REF!))</f>
        <v>#REF!</v>
      </c>
      <c r="J52" s="180" t="e">
        <f>#REF!*#REF!</f>
        <v>#REF!</v>
      </c>
      <c r="K52" s="178" t="e">
        <f>#REF!*mo</f>
        <v>#REF!</v>
      </c>
      <c r="L52" s="178" t="e">
        <f t="shared" si="4"/>
        <v>#REF!</v>
      </c>
      <c r="M52" s="178" t="e">
        <f>#REF!*#REF!</f>
        <v>#REF!</v>
      </c>
      <c r="N52" s="178" t="e">
        <f>#REF!+K52+#REF!</f>
        <v>#REF!</v>
      </c>
      <c r="O52" s="181" t="e">
        <f t="shared" si="5"/>
        <v>#REF!</v>
      </c>
    </row>
    <row r="53" spans="1:17" s="193" customFormat="1" outlineLevel="1">
      <c r="A53" s="155"/>
      <c r="B53" s="198" t="str">
        <f>"Total "&amp;B16</f>
        <v>Total AMENAGEMENT DU LOCAL TECHNIQUE</v>
      </c>
      <c r="C53" s="190"/>
      <c r="D53" s="191"/>
      <c r="E53" s="176"/>
      <c r="F53" s="177"/>
      <c r="G53" s="192"/>
      <c r="H53" s="179">
        <f>SUM(G17:G54)</f>
        <v>0</v>
      </c>
      <c r="I53" s="339" t="e">
        <f>IF(#REF!="",#REF!*#REF!,IF(#REF!=0,#REF!*#REF!,#REF!*#REF!*#REF!))</f>
        <v>#REF!</v>
      </c>
      <c r="J53" s="180" t="e">
        <f>#REF!*#REF!</f>
        <v>#REF!</v>
      </c>
      <c r="K53" s="178" t="e">
        <f>#REF!*mo</f>
        <v>#REF!</v>
      </c>
      <c r="L53" s="178" t="e">
        <f t="shared" ref="L53:L55" si="11">J53*mo</f>
        <v>#REF!</v>
      </c>
      <c r="M53" s="178" t="e">
        <f>#REF!*#REF!</f>
        <v>#REF!</v>
      </c>
      <c r="N53" s="178" t="e">
        <f>#REF!+K53+#REF!</f>
        <v>#REF!</v>
      </c>
      <c r="O53" s="181" t="e">
        <f t="shared" si="5"/>
        <v>#REF!</v>
      </c>
    </row>
    <row r="54" spans="1:17" s="193" customFormat="1" outlineLevel="1">
      <c r="A54" s="155"/>
      <c r="B54" s="156"/>
      <c r="C54" s="190"/>
      <c r="D54" s="191"/>
      <c r="E54" s="176"/>
      <c r="F54" s="177"/>
      <c r="G54" s="192"/>
      <c r="H54" s="179"/>
      <c r="I54" s="339" t="e">
        <f>IF(#REF!="",#REF!*#REF!,IF(#REF!=0,#REF!*#REF!,#REF!*#REF!*#REF!))</f>
        <v>#REF!</v>
      </c>
      <c r="J54" s="180" t="e">
        <f>#REF!*#REF!</f>
        <v>#REF!</v>
      </c>
      <c r="K54" s="178" t="e">
        <f>#REF!*mo</f>
        <v>#REF!</v>
      </c>
      <c r="L54" s="178" t="e">
        <f t="shared" si="11"/>
        <v>#REF!</v>
      </c>
      <c r="M54" s="178" t="e">
        <f>#REF!*#REF!</f>
        <v>#REF!</v>
      </c>
      <c r="N54" s="178" t="e">
        <f>#REF!+K54+#REF!</f>
        <v>#REF!</v>
      </c>
      <c r="O54" s="181" t="e">
        <f t="shared" si="5"/>
        <v>#REF!</v>
      </c>
    </row>
    <row r="55" spans="1:17" s="193" customFormat="1" outlineLevel="1">
      <c r="A55" s="157" t="str">
        <f>$A$14&amp;".2"</f>
        <v>3.2</v>
      </c>
      <c r="B55" s="158" t="s">
        <v>821</v>
      </c>
      <c r="C55" s="190"/>
      <c r="D55" s="191"/>
      <c r="E55" s="176"/>
      <c r="F55" s="177"/>
      <c r="G55" s="192"/>
      <c r="H55" s="199"/>
      <c r="I55" s="339" t="e">
        <f>IF(#REF!="",#REF!*#REF!,IF(#REF!=0,#REF!*#REF!,#REF!*#REF!*#REF!))</f>
        <v>#REF!</v>
      </c>
      <c r="J55" s="180" t="e">
        <f>#REF!*#REF!</f>
        <v>#REF!</v>
      </c>
      <c r="K55" s="178" t="e">
        <f>#REF!*mo</f>
        <v>#REF!</v>
      </c>
      <c r="L55" s="178" t="e">
        <f t="shared" si="11"/>
        <v>#REF!</v>
      </c>
      <c r="M55" s="178" t="e">
        <f>#REF!*#REF!</f>
        <v>#REF!</v>
      </c>
      <c r="N55" s="178" t="e">
        <f>#REF!+K55+#REF!</f>
        <v>#REF!</v>
      </c>
      <c r="O55" s="181" t="e">
        <f t="shared" si="5"/>
        <v>#REF!</v>
      </c>
    </row>
    <row r="56" spans="1:17" s="193" customFormat="1" outlineLevel="1">
      <c r="A56" s="157" t="str">
        <f>$A$55&amp;".1"</f>
        <v>3.2.1</v>
      </c>
      <c r="B56" s="158" t="s">
        <v>822</v>
      </c>
      <c r="C56" s="190"/>
      <c r="D56" s="191"/>
      <c r="E56" s="176"/>
      <c r="F56" s="177"/>
      <c r="G56" s="192">
        <f>SUM(F57:F60)</f>
        <v>0</v>
      </c>
      <c r="H56" s="179"/>
      <c r="I56" s="339"/>
      <c r="J56" s="180"/>
      <c r="K56" s="178"/>
      <c r="L56" s="178"/>
      <c r="M56" s="178"/>
      <c r="N56" s="178"/>
      <c r="O56" s="181"/>
      <c r="Q56" s="200"/>
    </row>
    <row r="57" spans="1:17" s="193" customFormat="1" outlineLevel="2">
      <c r="A57" s="155"/>
      <c r="B57" s="156" t="s">
        <v>823</v>
      </c>
      <c r="C57" s="190" t="s">
        <v>46</v>
      </c>
      <c r="D57" s="191"/>
      <c r="E57" s="176"/>
      <c r="F57" s="177"/>
      <c r="G57" s="192"/>
      <c r="H57" s="179"/>
      <c r="I57" s="339" t="e">
        <f>IF(#REF!="",#REF!*#REF!,IF(#REF!=0,#REF!*#REF!,#REF!*#REF!*#REF!))</f>
        <v>#REF!</v>
      </c>
      <c r="J57" s="180" t="e">
        <f>#REF!*#REF!</f>
        <v>#REF!</v>
      </c>
      <c r="K57" s="178" t="e">
        <f>#REF!*mo</f>
        <v>#REF!</v>
      </c>
      <c r="L57" s="178" t="e">
        <f t="shared" ref="L57" si="12">J57*mo</f>
        <v>#REF!</v>
      </c>
      <c r="M57" s="178" t="e">
        <f>#REF!*#REF!</f>
        <v>#REF!</v>
      </c>
      <c r="N57" s="178" t="e">
        <f>#REF!+K57+#REF!</f>
        <v>#REF!</v>
      </c>
      <c r="O57" s="181" t="e">
        <f t="shared" ref="O57" si="13">M57+L57+I57</f>
        <v>#REF!</v>
      </c>
      <c r="Q57" s="200"/>
    </row>
    <row r="58" spans="1:17" s="193" customFormat="1" outlineLevel="2">
      <c r="A58" s="155"/>
      <c r="B58" s="156" t="s">
        <v>824</v>
      </c>
      <c r="C58" s="190" t="s">
        <v>801</v>
      </c>
      <c r="D58" s="191"/>
      <c r="E58" s="176"/>
      <c r="F58" s="177"/>
      <c r="G58" s="192"/>
      <c r="H58" s="179"/>
      <c r="I58" s="339"/>
      <c r="J58" s="180"/>
      <c r="K58" s="178"/>
      <c r="L58" s="178"/>
      <c r="M58" s="178"/>
      <c r="N58" s="178"/>
      <c r="O58" s="181"/>
    </row>
    <row r="59" spans="1:17" s="193" customFormat="1" outlineLevel="2">
      <c r="A59" s="155"/>
      <c r="B59" s="156" t="s">
        <v>825</v>
      </c>
      <c r="C59" s="190" t="s">
        <v>801</v>
      </c>
      <c r="D59" s="191"/>
      <c r="E59" s="176"/>
      <c r="F59" s="177"/>
      <c r="G59" s="192"/>
      <c r="H59" s="179"/>
      <c r="I59" s="339"/>
      <c r="J59" s="180"/>
      <c r="K59" s="178"/>
      <c r="L59" s="178"/>
      <c r="M59" s="178"/>
      <c r="N59" s="178"/>
      <c r="O59" s="181"/>
    </row>
    <row r="60" spans="1:17" s="193" customFormat="1" outlineLevel="2">
      <c r="A60" s="155"/>
      <c r="B60" s="156"/>
      <c r="C60" s="190"/>
      <c r="D60" s="191"/>
      <c r="E60" s="176"/>
      <c r="F60" s="177"/>
      <c r="G60" s="192"/>
      <c r="H60" s="179"/>
      <c r="I60" s="339"/>
      <c r="J60" s="180"/>
      <c r="K60" s="178"/>
      <c r="L60" s="178"/>
      <c r="M60" s="178"/>
      <c r="N60" s="178"/>
      <c r="O60" s="181"/>
    </row>
    <row r="61" spans="1:17" s="193" customFormat="1" outlineLevel="1">
      <c r="A61" s="157" t="str">
        <f>$A$55&amp;".2"</f>
        <v>3.2.2</v>
      </c>
      <c r="B61" s="158" t="s">
        <v>826</v>
      </c>
      <c r="C61" s="190"/>
      <c r="D61" s="191"/>
      <c r="E61" s="176"/>
      <c r="F61" s="177"/>
      <c r="G61" s="192">
        <f>SUM(F63:F81)</f>
        <v>0</v>
      </c>
      <c r="H61" s="179"/>
      <c r="I61" s="339" t="e">
        <f>IF(#REF!="",#REF!*#REF!,IF(#REF!=0,#REF!*#REF!,#REF!*#REF!*#REF!))</f>
        <v>#REF!</v>
      </c>
      <c r="J61" s="180" t="e">
        <f>#REF!*#REF!</f>
        <v>#REF!</v>
      </c>
      <c r="K61" s="178" t="e">
        <f>#REF!*mo</f>
        <v>#REF!</v>
      </c>
      <c r="L61" s="178" t="e">
        <f t="shared" ref="L61:L68" si="14">J61*mo</f>
        <v>#REF!</v>
      </c>
      <c r="M61" s="178" t="e">
        <f>#REF!*#REF!</f>
        <v>#REF!</v>
      </c>
      <c r="N61" s="178" t="e">
        <f>#REF!+K61+#REF!</f>
        <v>#REF!</v>
      </c>
      <c r="O61" s="181" t="e">
        <f t="shared" ref="O61:O98" si="15">M61+L61+I61</f>
        <v>#REF!</v>
      </c>
    </row>
    <row r="62" spans="1:17" s="193" customFormat="1" outlineLevel="2">
      <c r="A62" s="157"/>
      <c r="B62" s="158"/>
      <c r="C62" s="190"/>
      <c r="D62" s="191"/>
      <c r="E62" s="176"/>
      <c r="F62" s="177"/>
      <c r="G62" s="192"/>
      <c r="H62" s="179"/>
      <c r="I62" s="339"/>
      <c r="J62" s="180"/>
      <c r="K62" s="178"/>
      <c r="L62" s="178"/>
      <c r="M62" s="178"/>
      <c r="N62" s="178"/>
      <c r="O62" s="181"/>
    </row>
    <row r="63" spans="1:17" s="193" customFormat="1" outlineLevel="2">
      <c r="A63" s="157"/>
      <c r="B63" s="156" t="s">
        <v>827</v>
      </c>
      <c r="C63" s="190" t="s">
        <v>93</v>
      </c>
      <c r="D63" s="191"/>
      <c r="E63" s="176"/>
      <c r="F63" s="177"/>
      <c r="G63" s="192"/>
      <c r="H63" s="179"/>
      <c r="I63" s="339" t="e">
        <f>IF(#REF!="",#REF!*#REF!,IF(#REF!=0,#REF!*#REF!,#REF!*#REF!*#REF!))</f>
        <v>#REF!</v>
      </c>
      <c r="J63" s="180" t="e">
        <f>#REF!*#REF!</f>
        <v>#REF!</v>
      </c>
      <c r="K63" s="178" t="e">
        <f>#REF!*mo</f>
        <v>#REF!</v>
      </c>
      <c r="L63" s="178" t="e">
        <f t="shared" ref="L63" si="16">J63*mo</f>
        <v>#REF!</v>
      </c>
      <c r="M63" s="178" t="e">
        <f>#REF!*#REF!</f>
        <v>#REF!</v>
      </c>
      <c r="N63" s="178" t="e">
        <f>#REF!+K63+#REF!</f>
        <v>#REF!</v>
      </c>
      <c r="O63" s="181" t="e">
        <f t="shared" ref="O63" si="17">M63+L63+I63</f>
        <v>#REF!</v>
      </c>
    </row>
    <row r="64" spans="1:17" s="193" customFormat="1" outlineLevel="2">
      <c r="A64" s="157"/>
      <c r="B64" s="156" t="s">
        <v>828</v>
      </c>
      <c r="C64" s="190" t="s">
        <v>93</v>
      </c>
      <c r="D64" s="191"/>
      <c r="E64" s="176"/>
      <c r="F64" s="177"/>
      <c r="G64" s="192"/>
      <c r="H64" s="179"/>
      <c r="I64" s="339"/>
      <c r="J64" s="180"/>
      <c r="K64" s="178"/>
      <c r="L64" s="178"/>
      <c r="M64" s="178"/>
      <c r="N64" s="178"/>
      <c r="O64" s="181"/>
    </row>
    <row r="65" spans="1:15" s="193" customFormat="1" outlineLevel="2">
      <c r="A65" s="157"/>
      <c r="B65" s="156" t="s">
        <v>829</v>
      </c>
      <c r="C65" s="190" t="s">
        <v>93</v>
      </c>
      <c r="D65" s="191"/>
      <c r="E65" s="176"/>
      <c r="F65" s="177"/>
      <c r="G65" s="192"/>
      <c r="H65" s="179"/>
      <c r="I65" s="339"/>
      <c r="J65" s="180"/>
      <c r="K65" s="178"/>
      <c r="L65" s="178"/>
      <c r="M65" s="178"/>
      <c r="N65" s="178"/>
      <c r="O65" s="181"/>
    </row>
    <row r="66" spans="1:15" s="193" customFormat="1" outlineLevel="2">
      <c r="A66" s="155"/>
      <c r="B66" s="156"/>
      <c r="C66" s="190"/>
      <c r="D66" s="191"/>
      <c r="E66" s="176"/>
      <c r="F66" s="177"/>
      <c r="G66" s="192"/>
      <c r="H66" s="179"/>
      <c r="I66" s="339" t="e">
        <f>IF(#REF!="",#REF!*#REF!,IF(#REF!=0,#REF!*#REF!,#REF!*#REF!*#REF!))</f>
        <v>#REF!</v>
      </c>
      <c r="J66" s="180" t="e">
        <f>#REF!*#REF!</f>
        <v>#REF!</v>
      </c>
      <c r="K66" s="178" t="e">
        <f>#REF!*mo</f>
        <v>#REF!</v>
      </c>
      <c r="L66" s="178" t="e">
        <f t="shared" si="14"/>
        <v>#REF!</v>
      </c>
      <c r="M66" s="178" t="e">
        <f>#REF!*#REF!</f>
        <v>#REF!</v>
      </c>
      <c r="N66" s="178" t="e">
        <f>#REF!+K66+#REF!</f>
        <v>#REF!</v>
      </c>
      <c r="O66" s="181" t="e">
        <f t="shared" si="15"/>
        <v>#REF!</v>
      </c>
    </row>
    <row r="67" spans="1:15" s="193" customFormat="1" outlineLevel="2">
      <c r="A67" s="155"/>
      <c r="B67" s="156" t="s">
        <v>830</v>
      </c>
      <c r="C67" s="190" t="s">
        <v>801</v>
      </c>
      <c r="D67" s="191"/>
      <c r="E67" s="176"/>
      <c r="F67" s="177"/>
      <c r="G67" s="192"/>
      <c r="H67" s="179"/>
      <c r="I67" s="339" t="e">
        <f>IF(#REF!="",#REF!*#REF!,IF(#REF!=0,#REF!*#REF!,#REF!*#REF!*#REF!))</f>
        <v>#REF!</v>
      </c>
      <c r="J67" s="180" t="e">
        <f>#REF!*#REF!</f>
        <v>#REF!</v>
      </c>
      <c r="K67" s="178" t="e">
        <f>#REF!*mo</f>
        <v>#REF!</v>
      </c>
      <c r="L67" s="178" t="e">
        <f t="shared" si="14"/>
        <v>#REF!</v>
      </c>
      <c r="M67" s="178" t="e">
        <f>#REF!*#REF!</f>
        <v>#REF!</v>
      </c>
      <c r="N67" s="178" t="e">
        <f>#REF!+K67+#REF!</f>
        <v>#REF!</v>
      </c>
      <c r="O67" s="181" t="e">
        <f t="shared" si="15"/>
        <v>#REF!</v>
      </c>
    </row>
    <row r="68" spans="1:15" s="193" customFormat="1" outlineLevel="2">
      <c r="A68" s="155"/>
      <c r="B68" s="156" t="s">
        <v>831</v>
      </c>
      <c r="C68" s="190" t="s">
        <v>801</v>
      </c>
      <c r="D68" s="191"/>
      <c r="E68" s="176"/>
      <c r="F68" s="177"/>
      <c r="G68" s="192"/>
      <c r="H68" s="179"/>
      <c r="I68" s="339" t="e">
        <f>IF(#REF!="",#REF!*#REF!,IF(#REF!=0,#REF!*#REF!,#REF!*#REF!*#REF!))</f>
        <v>#REF!</v>
      </c>
      <c r="J68" s="180" t="e">
        <f>#REF!*#REF!</f>
        <v>#REF!</v>
      </c>
      <c r="K68" s="178" t="e">
        <f>#REF!*mo</f>
        <v>#REF!</v>
      </c>
      <c r="L68" s="178" t="e">
        <f t="shared" si="14"/>
        <v>#REF!</v>
      </c>
      <c r="M68" s="178" t="e">
        <f>#REF!*#REF!</f>
        <v>#REF!</v>
      </c>
      <c r="N68" s="178" t="e">
        <f>#REF!+K68+#REF!</f>
        <v>#REF!</v>
      </c>
      <c r="O68" s="181" t="e">
        <f t="shared" si="15"/>
        <v>#REF!</v>
      </c>
    </row>
    <row r="69" spans="1:15" s="193" customFormat="1" outlineLevel="2">
      <c r="A69" s="155"/>
      <c r="B69" s="156" t="s">
        <v>832</v>
      </c>
      <c r="C69" s="190" t="s">
        <v>801</v>
      </c>
      <c r="D69" s="191"/>
      <c r="E69" s="176"/>
      <c r="F69" s="177"/>
      <c r="G69" s="192"/>
      <c r="H69" s="179"/>
      <c r="I69" s="339" t="e">
        <f>IF(#REF!="",#REF!*#REF!,IF(#REF!=0,#REF!*#REF!,#REF!*#REF!*#REF!))</f>
        <v>#REF!</v>
      </c>
      <c r="J69" s="180" t="e">
        <f>#REF!*#REF!</f>
        <v>#REF!</v>
      </c>
      <c r="K69" s="178" t="e">
        <f>#REF!*mo</f>
        <v>#REF!</v>
      </c>
      <c r="L69" s="178" t="e">
        <f t="shared" ref="L69:L74" si="18">J69*mo</f>
        <v>#REF!</v>
      </c>
      <c r="M69" s="178" t="e">
        <f>#REF!*#REF!</f>
        <v>#REF!</v>
      </c>
      <c r="N69" s="178" t="e">
        <f>#REF!+K69+#REF!</f>
        <v>#REF!</v>
      </c>
      <c r="O69" s="181" t="e">
        <f t="shared" si="15"/>
        <v>#REF!</v>
      </c>
    </row>
    <row r="70" spans="1:15" s="193" customFormat="1" outlineLevel="2">
      <c r="A70" s="155"/>
      <c r="B70" s="156" t="s">
        <v>833</v>
      </c>
      <c r="C70" s="190" t="s">
        <v>801</v>
      </c>
      <c r="D70" s="191"/>
      <c r="E70" s="176"/>
      <c r="F70" s="177"/>
      <c r="G70" s="192"/>
      <c r="H70" s="179"/>
      <c r="I70" s="339" t="e">
        <f>IF(#REF!="",#REF!*#REF!,IF(#REF!=0,#REF!*#REF!,#REF!*#REF!*#REF!))</f>
        <v>#REF!</v>
      </c>
      <c r="J70" s="180" t="e">
        <f>#REF!*#REF!</f>
        <v>#REF!</v>
      </c>
      <c r="K70" s="178" t="e">
        <f>#REF!*mo</f>
        <v>#REF!</v>
      </c>
      <c r="L70" s="178" t="e">
        <f t="shared" si="18"/>
        <v>#REF!</v>
      </c>
      <c r="M70" s="178" t="e">
        <f>#REF!*#REF!</f>
        <v>#REF!</v>
      </c>
      <c r="N70" s="178" t="e">
        <f>#REF!+K70+#REF!</f>
        <v>#REF!</v>
      </c>
      <c r="O70" s="181" t="e">
        <f t="shared" si="15"/>
        <v>#REF!</v>
      </c>
    </row>
    <row r="71" spans="1:15" s="193" customFormat="1" outlineLevel="2">
      <c r="A71" s="155"/>
      <c r="B71" s="156" t="s">
        <v>834</v>
      </c>
      <c r="C71" s="190" t="s">
        <v>801</v>
      </c>
      <c r="D71" s="191"/>
      <c r="E71" s="176"/>
      <c r="F71" s="177"/>
      <c r="G71" s="192"/>
      <c r="H71" s="179"/>
      <c r="I71" s="339" t="e">
        <f>IF(#REF!="",#REF!*#REF!,IF(#REF!=0,#REF!*#REF!,#REF!*#REF!*#REF!))</f>
        <v>#REF!</v>
      </c>
      <c r="J71" s="180" t="e">
        <f>#REF!*#REF!</f>
        <v>#REF!</v>
      </c>
      <c r="K71" s="178" t="e">
        <f>#REF!*mo</f>
        <v>#REF!</v>
      </c>
      <c r="L71" s="178" t="e">
        <f t="shared" si="18"/>
        <v>#REF!</v>
      </c>
      <c r="M71" s="178" t="e">
        <f>#REF!*#REF!</f>
        <v>#REF!</v>
      </c>
      <c r="N71" s="178" t="e">
        <f>#REF!+K71+#REF!</f>
        <v>#REF!</v>
      </c>
      <c r="O71" s="181" t="e">
        <f t="shared" si="15"/>
        <v>#REF!</v>
      </c>
    </row>
    <row r="72" spans="1:15" s="193" customFormat="1" outlineLevel="2">
      <c r="A72" s="155"/>
      <c r="B72" s="156" t="s">
        <v>817</v>
      </c>
      <c r="C72" s="190" t="s">
        <v>801</v>
      </c>
      <c r="D72" s="191"/>
      <c r="E72" s="176"/>
      <c r="F72" s="177"/>
      <c r="G72" s="192"/>
      <c r="H72" s="179"/>
      <c r="I72" s="339" t="e">
        <f>IF(#REF!="",#REF!*#REF!,IF(#REF!=0,#REF!*#REF!,#REF!*#REF!*#REF!))</f>
        <v>#REF!</v>
      </c>
      <c r="J72" s="180" t="e">
        <f>#REF!*#REF!</f>
        <v>#REF!</v>
      </c>
      <c r="K72" s="178" t="e">
        <f>#REF!*mo</f>
        <v>#REF!</v>
      </c>
      <c r="L72" s="178" t="e">
        <f t="shared" si="18"/>
        <v>#REF!</v>
      </c>
      <c r="M72" s="178" t="e">
        <f>#REF!*#REF!</f>
        <v>#REF!</v>
      </c>
      <c r="N72" s="178" t="e">
        <f>#REF!+K72+#REF!</f>
        <v>#REF!</v>
      </c>
      <c r="O72" s="181" t="e">
        <f t="shared" si="15"/>
        <v>#REF!</v>
      </c>
    </row>
    <row r="73" spans="1:15" s="193" customFormat="1" outlineLevel="2">
      <c r="A73" s="155"/>
      <c r="B73" s="156" t="s">
        <v>835</v>
      </c>
      <c r="C73" s="190" t="s">
        <v>801</v>
      </c>
      <c r="D73" s="191"/>
      <c r="E73" s="176"/>
      <c r="F73" s="177"/>
      <c r="G73" s="192"/>
      <c r="H73" s="179"/>
      <c r="I73" s="339" t="e">
        <f>IF(#REF!="",#REF!*#REF!,IF(#REF!=0,#REF!*#REF!,#REF!*#REF!*#REF!))</f>
        <v>#REF!</v>
      </c>
      <c r="J73" s="180" t="e">
        <f>#REF!*#REF!</f>
        <v>#REF!</v>
      </c>
      <c r="K73" s="178" t="e">
        <f>#REF!*mo</f>
        <v>#REF!</v>
      </c>
      <c r="L73" s="178" t="e">
        <f t="shared" si="18"/>
        <v>#REF!</v>
      </c>
      <c r="M73" s="178" t="e">
        <f>#REF!*#REF!</f>
        <v>#REF!</v>
      </c>
      <c r="N73" s="178" t="e">
        <f>#REF!+K73+#REF!</f>
        <v>#REF!</v>
      </c>
      <c r="O73" s="181" t="e">
        <f t="shared" si="15"/>
        <v>#REF!</v>
      </c>
    </row>
    <row r="74" spans="1:15" s="193" customFormat="1" outlineLevel="2">
      <c r="A74" s="155"/>
      <c r="B74" s="156" t="s">
        <v>815</v>
      </c>
      <c r="C74" s="190" t="s">
        <v>801</v>
      </c>
      <c r="D74" s="191"/>
      <c r="E74" s="176"/>
      <c r="F74" s="177"/>
      <c r="G74" s="192"/>
      <c r="H74" s="179"/>
      <c r="I74" s="339" t="e">
        <f>IF(#REF!="",#REF!*#REF!,IF(#REF!=0,#REF!*#REF!,#REF!*#REF!*#REF!))</f>
        <v>#REF!</v>
      </c>
      <c r="J74" s="180" t="e">
        <f>#REF!*#REF!</f>
        <v>#REF!</v>
      </c>
      <c r="K74" s="178" t="e">
        <f>#REF!*mo</f>
        <v>#REF!</v>
      </c>
      <c r="L74" s="178" t="e">
        <f t="shared" si="18"/>
        <v>#REF!</v>
      </c>
      <c r="M74" s="178" t="e">
        <f>#REF!*#REF!</f>
        <v>#REF!</v>
      </c>
      <c r="N74" s="178" t="e">
        <f>#REF!+K74+#REF!</f>
        <v>#REF!</v>
      </c>
      <c r="O74" s="181" t="e">
        <f t="shared" si="15"/>
        <v>#REF!</v>
      </c>
    </row>
    <row r="75" spans="1:15" s="193" customFormat="1" outlineLevel="2">
      <c r="A75" s="155"/>
      <c r="B75" s="156" t="s">
        <v>836</v>
      </c>
      <c r="C75" s="190" t="s">
        <v>801</v>
      </c>
      <c r="D75" s="191"/>
      <c r="E75" s="176"/>
      <c r="F75" s="177"/>
      <c r="G75" s="192"/>
      <c r="H75" s="179"/>
      <c r="I75" s="339" t="e">
        <f>IF(#REF!="",#REF!*#REF!,IF(#REF!=0,#REF!*#REF!,#REF!*#REF!*#REF!))</f>
        <v>#REF!</v>
      </c>
      <c r="J75" s="180" t="e">
        <f>#REF!*#REF!</f>
        <v>#REF!</v>
      </c>
      <c r="K75" s="178" t="e">
        <f>#REF!*mo</f>
        <v>#REF!</v>
      </c>
      <c r="L75" s="178" t="e">
        <f t="shared" ref="L75:L98" si="19">J75*mo</f>
        <v>#REF!</v>
      </c>
      <c r="M75" s="178" t="e">
        <f>#REF!*#REF!</f>
        <v>#REF!</v>
      </c>
      <c r="N75" s="178" t="e">
        <f>#REF!+K75+#REF!</f>
        <v>#REF!</v>
      </c>
      <c r="O75" s="181" t="e">
        <f t="shared" si="15"/>
        <v>#REF!</v>
      </c>
    </row>
    <row r="76" spans="1:15" s="193" customFormat="1" outlineLevel="2">
      <c r="A76" s="155"/>
      <c r="B76" s="197" t="s">
        <v>837</v>
      </c>
      <c r="C76" s="190" t="s">
        <v>801</v>
      </c>
      <c r="D76" s="191"/>
      <c r="E76" s="176"/>
      <c r="F76" s="177"/>
      <c r="G76" s="192"/>
      <c r="H76" s="179"/>
      <c r="I76" s="339" t="e">
        <f>IF(#REF!="",#REF!*#REF!,IF(#REF!=0,#REF!*#REF!,#REF!*#REF!*#REF!))</f>
        <v>#REF!</v>
      </c>
      <c r="J76" s="180" t="e">
        <f>#REF!*#REF!</f>
        <v>#REF!</v>
      </c>
      <c r="K76" s="178" t="e">
        <f>#REF!*mo</f>
        <v>#REF!</v>
      </c>
      <c r="L76" s="178" t="e">
        <f t="shared" si="19"/>
        <v>#REF!</v>
      </c>
      <c r="M76" s="178" t="e">
        <f>#REF!*#REF!</f>
        <v>#REF!</v>
      </c>
      <c r="N76" s="178" t="e">
        <f>#REF!+K76+#REF!</f>
        <v>#REF!</v>
      </c>
      <c r="O76" s="181" t="e">
        <f t="shared" si="15"/>
        <v>#REF!</v>
      </c>
    </row>
    <row r="77" spans="1:15" s="193" customFormat="1" outlineLevel="2">
      <c r="A77" s="155"/>
      <c r="B77" s="156" t="s">
        <v>838</v>
      </c>
      <c r="C77" s="190" t="s">
        <v>801</v>
      </c>
      <c r="D77" s="191"/>
      <c r="E77" s="176"/>
      <c r="F77" s="177"/>
      <c r="G77" s="192"/>
      <c r="H77" s="179"/>
      <c r="I77" s="339" t="e">
        <f>IF(#REF!="",#REF!*#REF!,IF(#REF!=0,#REF!*#REF!,#REF!*#REF!*#REF!))</f>
        <v>#REF!</v>
      </c>
      <c r="J77" s="180" t="e">
        <f>#REF!*#REF!</f>
        <v>#REF!</v>
      </c>
      <c r="K77" s="178" t="e">
        <f>#REF!*mo</f>
        <v>#REF!</v>
      </c>
      <c r="L77" s="178" t="e">
        <f t="shared" si="19"/>
        <v>#REF!</v>
      </c>
      <c r="M77" s="178" t="e">
        <f>#REF!*#REF!</f>
        <v>#REF!</v>
      </c>
      <c r="N77" s="178" t="e">
        <f>#REF!+K77+#REF!</f>
        <v>#REF!</v>
      </c>
      <c r="O77" s="181" t="e">
        <f t="shared" si="15"/>
        <v>#REF!</v>
      </c>
    </row>
    <row r="78" spans="1:15" s="193" customFormat="1" outlineLevel="2">
      <c r="A78" s="155"/>
      <c r="B78" s="197" t="s">
        <v>839</v>
      </c>
      <c r="C78" s="190" t="s">
        <v>801</v>
      </c>
      <c r="D78" s="191"/>
      <c r="E78" s="176"/>
      <c r="F78" s="177"/>
      <c r="G78" s="192"/>
      <c r="H78" s="179"/>
      <c r="I78" s="339" t="e">
        <f>IF(#REF!="",#REF!*#REF!,IF(#REF!=0,#REF!*#REF!,#REF!*#REF!*#REF!))</f>
        <v>#REF!</v>
      </c>
      <c r="J78" s="180" t="e">
        <f>#REF!*#REF!</f>
        <v>#REF!</v>
      </c>
      <c r="K78" s="178" t="e">
        <f>#REF!*mo</f>
        <v>#REF!</v>
      </c>
      <c r="L78" s="178" t="e">
        <f t="shared" si="19"/>
        <v>#REF!</v>
      </c>
      <c r="M78" s="178" t="e">
        <f>#REF!*#REF!</f>
        <v>#REF!</v>
      </c>
      <c r="N78" s="178" t="e">
        <f>#REF!+K78+#REF!</f>
        <v>#REF!</v>
      </c>
      <c r="O78" s="181" t="e">
        <f t="shared" si="15"/>
        <v>#REF!</v>
      </c>
    </row>
    <row r="79" spans="1:15" s="193" customFormat="1" outlineLevel="2">
      <c r="A79" s="155"/>
      <c r="B79" s="197" t="s">
        <v>840</v>
      </c>
      <c r="C79" s="190" t="s">
        <v>801</v>
      </c>
      <c r="D79" s="191"/>
      <c r="E79" s="176"/>
      <c r="F79" s="177"/>
      <c r="G79" s="192"/>
      <c r="H79" s="179"/>
      <c r="I79" s="339" t="e">
        <f>IF(#REF!="",#REF!*#REF!,IF(#REF!=0,#REF!*#REF!,#REF!*#REF!*#REF!))</f>
        <v>#REF!</v>
      </c>
      <c r="J79" s="180" t="e">
        <f>#REF!*#REF!</f>
        <v>#REF!</v>
      </c>
      <c r="K79" s="178" t="e">
        <f>#REF!*mo</f>
        <v>#REF!</v>
      </c>
      <c r="L79" s="178" t="e">
        <f t="shared" si="19"/>
        <v>#REF!</v>
      </c>
      <c r="M79" s="178" t="e">
        <f>#REF!*#REF!</f>
        <v>#REF!</v>
      </c>
      <c r="N79" s="178" t="e">
        <f>#REF!+K79+#REF!</f>
        <v>#REF!</v>
      </c>
      <c r="O79" s="181" t="e">
        <f t="shared" si="15"/>
        <v>#REF!</v>
      </c>
    </row>
    <row r="80" spans="1:15" s="193" customFormat="1" outlineLevel="2">
      <c r="A80" s="155"/>
      <c r="B80" s="197" t="s">
        <v>841</v>
      </c>
      <c r="C80" s="190" t="s">
        <v>801</v>
      </c>
      <c r="D80" s="191"/>
      <c r="E80" s="176"/>
      <c r="F80" s="177"/>
      <c r="G80" s="192"/>
      <c r="H80" s="179"/>
      <c r="I80" s="339" t="e">
        <f>IF(#REF!="",#REF!*#REF!,IF(#REF!=0,#REF!*#REF!,#REF!*#REF!*#REF!))</f>
        <v>#REF!</v>
      </c>
      <c r="J80" s="180" t="e">
        <f>#REF!*#REF!</f>
        <v>#REF!</v>
      </c>
      <c r="K80" s="178" t="e">
        <f>#REF!*mo</f>
        <v>#REF!</v>
      </c>
      <c r="L80" s="178" t="e">
        <f t="shared" si="19"/>
        <v>#REF!</v>
      </c>
      <c r="M80" s="178" t="e">
        <f>#REF!*#REF!</f>
        <v>#REF!</v>
      </c>
      <c r="N80" s="178" t="e">
        <f>#REF!+K80+#REF!</f>
        <v>#REF!</v>
      </c>
      <c r="O80" s="181" t="e">
        <f t="shared" si="15"/>
        <v>#REF!</v>
      </c>
    </row>
    <row r="81" spans="1:15" s="193" customFormat="1" outlineLevel="2">
      <c r="A81" s="155"/>
      <c r="B81" s="156"/>
      <c r="C81" s="190"/>
      <c r="D81" s="191"/>
      <c r="E81" s="176"/>
      <c r="F81" s="177"/>
      <c r="G81" s="192"/>
      <c r="H81" s="179"/>
      <c r="I81" s="339" t="e">
        <f>IF(#REF!="",#REF!*#REF!,IF(#REF!=0,#REF!*#REF!,#REF!*#REF!*#REF!))</f>
        <v>#REF!</v>
      </c>
      <c r="J81" s="180" t="e">
        <f>#REF!*#REF!</f>
        <v>#REF!</v>
      </c>
      <c r="K81" s="178" t="e">
        <f>#REF!*mo</f>
        <v>#REF!</v>
      </c>
      <c r="L81" s="178" t="e">
        <f t="shared" si="19"/>
        <v>#REF!</v>
      </c>
      <c r="M81" s="178" t="e">
        <f>#REF!*#REF!</f>
        <v>#REF!</v>
      </c>
      <c r="N81" s="178" t="e">
        <f>#REF!+K81+#REF!</f>
        <v>#REF!</v>
      </c>
      <c r="O81" s="181" t="e">
        <f t="shared" si="15"/>
        <v>#REF!</v>
      </c>
    </row>
    <row r="82" spans="1:15" s="193" customFormat="1" outlineLevel="1">
      <c r="A82" s="157" t="str">
        <f>$A$55&amp;".3"</f>
        <v>3.2.3</v>
      </c>
      <c r="B82" s="158" t="s">
        <v>842</v>
      </c>
      <c r="C82" s="190"/>
      <c r="D82" s="191"/>
      <c r="E82" s="176"/>
      <c r="F82" s="177"/>
      <c r="G82" s="192">
        <f>SUM(F83:F114)</f>
        <v>0</v>
      </c>
      <c r="H82" s="179"/>
      <c r="I82" s="339" t="e">
        <f>IF(#REF!="",#REF!*#REF!,IF(#REF!=0,#REF!*#REF!,#REF!*#REF!*#REF!))</f>
        <v>#REF!</v>
      </c>
      <c r="J82" s="180" t="e">
        <f>#REF!*#REF!</f>
        <v>#REF!</v>
      </c>
      <c r="K82" s="178" t="e">
        <f>#REF!*mo</f>
        <v>#REF!</v>
      </c>
      <c r="L82" s="178" t="e">
        <f t="shared" si="19"/>
        <v>#REF!</v>
      </c>
      <c r="M82" s="178" t="e">
        <f>#REF!*#REF!</f>
        <v>#REF!</v>
      </c>
      <c r="N82" s="178" t="e">
        <f>#REF!+K82+#REF!</f>
        <v>#REF!</v>
      </c>
      <c r="O82" s="181" t="e">
        <f t="shared" si="15"/>
        <v>#REF!</v>
      </c>
    </row>
    <row r="83" spans="1:15" s="193" customFormat="1" outlineLevel="2">
      <c r="A83" s="155"/>
      <c r="B83" s="156"/>
      <c r="C83" s="190"/>
      <c r="D83" s="191"/>
      <c r="E83" s="176"/>
      <c r="F83" s="177"/>
      <c r="G83" s="192"/>
      <c r="H83" s="179"/>
      <c r="I83" s="339" t="e">
        <f>IF(#REF!="",#REF!*#REF!,IF(#REF!=0,#REF!*#REF!,#REF!*#REF!*#REF!))</f>
        <v>#REF!</v>
      </c>
      <c r="J83" s="180" t="e">
        <f>#REF!*#REF!</f>
        <v>#REF!</v>
      </c>
      <c r="K83" s="178" t="e">
        <f>#REF!*mo</f>
        <v>#REF!</v>
      </c>
      <c r="L83" s="178" t="e">
        <f t="shared" si="19"/>
        <v>#REF!</v>
      </c>
      <c r="M83" s="178" t="e">
        <f>#REF!*#REF!</f>
        <v>#REF!</v>
      </c>
      <c r="N83" s="178" t="e">
        <f>#REF!+K83+#REF!</f>
        <v>#REF!</v>
      </c>
      <c r="O83" s="181" t="e">
        <f t="shared" si="15"/>
        <v>#REF!</v>
      </c>
    </row>
    <row r="84" spans="1:15" s="193" customFormat="1" outlineLevel="2">
      <c r="A84" s="155"/>
      <c r="B84" s="201" t="s">
        <v>843</v>
      </c>
      <c r="C84" s="202"/>
      <c r="D84" s="203"/>
      <c r="E84" s="176"/>
      <c r="F84" s="177"/>
      <c r="G84" s="192"/>
      <c r="H84" s="179"/>
      <c r="I84" s="339" t="e">
        <f>IF(#REF!="",#REF!*#REF!,IF(#REF!=0,#REF!*#REF!,#REF!*#REF!*#REF!))</f>
        <v>#REF!</v>
      </c>
      <c r="J84" s="180" t="e">
        <f>#REF!*#REF!</f>
        <v>#REF!</v>
      </c>
      <c r="K84" s="178" t="e">
        <f>#REF!*mo</f>
        <v>#REF!</v>
      </c>
      <c r="L84" s="178" t="e">
        <f t="shared" si="19"/>
        <v>#REF!</v>
      </c>
      <c r="M84" s="178" t="e">
        <f>#REF!*#REF!</f>
        <v>#REF!</v>
      </c>
      <c r="N84" s="178" t="e">
        <f>#REF!+K84+#REF!</f>
        <v>#REF!</v>
      </c>
      <c r="O84" s="181" t="e">
        <f t="shared" si="15"/>
        <v>#REF!</v>
      </c>
    </row>
    <row r="85" spans="1:15" s="193" customFormat="1" outlineLevel="2">
      <c r="A85" s="155"/>
      <c r="B85" s="204"/>
      <c r="C85" s="202"/>
      <c r="D85" s="203"/>
      <c r="E85" s="176"/>
      <c r="F85" s="177"/>
      <c r="G85" s="192"/>
      <c r="H85" s="179"/>
      <c r="I85" s="339" t="e">
        <f>IF(#REF!="",#REF!*#REF!,IF(#REF!=0,#REF!*#REF!,#REF!*#REF!*#REF!))</f>
        <v>#REF!</v>
      </c>
      <c r="J85" s="180" t="e">
        <f>#REF!*#REF!</f>
        <v>#REF!</v>
      </c>
      <c r="K85" s="178" t="e">
        <f>#REF!*mo</f>
        <v>#REF!</v>
      </c>
      <c r="L85" s="178" t="e">
        <f t="shared" si="19"/>
        <v>#REF!</v>
      </c>
      <c r="M85" s="178" t="e">
        <f>#REF!*#REF!</f>
        <v>#REF!</v>
      </c>
      <c r="N85" s="178" t="e">
        <f>#REF!+K85+#REF!</f>
        <v>#REF!</v>
      </c>
      <c r="O85" s="181" t="e">
        <f t="shared" si="15"/>
        <v>#REF!</v>
      </c>
    </row>
    <row r="86" spans="1:15" s="193" customFormat="1" outlineLevel="2">
      <c r="A86" s="155"/>
      <c r="B86" s="205" t="s">
        <v>844</v>
      </c>
      <c r="C86" s="202" t="s">
        <v>795</v>
      </c>
      <c r="D86" s="203"/>
      <c r="E86" s="176"/>
      <c r="F86" s="177"/>
      <c r="G86" s="192"/>
      <c r="H86" s="179"/>
      <c r="I86" s="339" t="e">
        <f>IF(#REF!="",#REF!*#REF!,IF(#REF!=0,#REF!*#REF!,#REF!*#REF!*#REF!))</f>
        <v>#REF!</v>
      </c>
      <c r="J86" s="180" t="e">
        <f>#REF!*#REF!</f>
        <v>#REF!</v>
      </c>
      <c r="K86" s="178" t="e">
        <f>#REF!*mo</f>
        <v>#REF!</v>
      </c>
      <c r="L86" s="178" t="e">
        <f t="shared" si="19"/>
        <v>#REF!</v>
      </c>
      <c r="M86" s="178" t="e">
        <f>#REF!*#REF!</f>
        <v>#REF!</v>
      </c>
      <c r="N86" s="178" t="e">
        <f>#REF!+K86+#REF!</f>
        <v>#REF!</v>
      </c>
      <c r="O86" s="181" t="e">
        <f t="shared" si="15"/>
        <v>#REF!</v>
      </c>
    </row>
    <row r="87" spans="1:15" s="193" customFormat="1" outlineLevel="2">
      <c r="A87" s="155"/>
      <c r="B87" s="205" t="s">
        <v>845</v>
      </c>
      <c r="C87" s="202" t="s">
        <v>93</v>
      </c>
      <c r="D87" s="203"/>
      <c r="E87" s="176"/>
      <c r="F87" s="177"/>
      <c r="G87" s="192"/>
      <c r="H87" s="179"/>
      <c r="I87" s="339" t="e">
        <f>IF(#REF!="",#REF!*#REF!,IF(#REF!=0,#REF!*#REF!,#REF!*#REF!*#REF!))</f>
        <v>#REF!</v>
      </c>
      <c r="J87" s="180" t="e">
        <f>#REF!*#REF!</f>
        <v>#REF!</v>
      </c>
      <c r="K87" s="178" t="e">
        <f>#REF!*mo</f>
        <v>#REF!</v>
      </c>
      <c r="L87" s="178" t="e">
        <f t="shared" si="19"/>
        <v>#REF!</v>
      </c>
      <c r="M87" s="178" t="e">
        <f>#REF!*#REF!</f>
        <v>#REF!</v>
      </c>
      <c r="N87" s="178" t="e">
        <f>#REF!+K87+#REF!</f>
        <v>#REF!</v>
      </c>
      <c r="O87" s="181" t="e">
        <f t="shared" si="15"/>
        <v>#REF!</v>
      </c>
    </row>
    <row r="88" spans="1:15" s="193" customFormat="1" outlineLevel="2">
      <c r="A88" s="155"/>
      <c r="B88" s="205" t="s">
        <v>846</v>
      </c>
      <c r="C88" s="202" t="s">
        <v>93</v>
      </c>
      <c r="D88" s="203"/>
      <c r="E88" s="176"/>
      <c r="F88" s="177"/>
      <c r="G88" s="192"/>
      <c r="H88" s="179"/>
      <c r="I88" s="339" t="e">
        <f>IF(#REF!="",#REF!*#REF!,IF(#REF!=0,#REF!*#REF!,#REF!*#REF!*#REF!))</f>
        <v>#REF!</v>
      </c>
      <c r="J88" s="180" t="e">
        <f>#REF!*#REF!</f>
        <v>#REF!</v>
      </c>
      <c r="K88" s="178" t="e">
        <f>#REF!*mo</f>
        <v>#REF!</v>
      </c>
      <c r="L88" s="178" t="e">
        <f t="shared" si="19"/>
        <v>#REF!</v>
      </c>
      <c r="M88" s="178" t="e">
        <f>#REF!*#REF!</f>
        <v>#REF!</v>
      </c>
      <c r="N88" s="178" t="e">
        <f>#REF!+K88+#REF!</f>
        <v>#REF!</v>
      </c>
      <c r="O88" s="181" t="e">
        <f t="shared" si="15"/>
        <v>#REF!</v>
      </c>
    </row>
    <row r="89" spans="1:15" s="193" customFormat="1" outlineLevel="2">
      <c r="A89" s="155"/>
      <c r="B89" s="205" t="s">
        <v>813</v>
      </c>
      <c r="C89" s="202" t="s">
        <v>93</v>
      </c>
      <c r="D89" s="203"/>
      <c r="E89" s="176"/>
      <c r="F89" s="177"/>
      <c r="G89" s="192"/>
      <c r="H89" s="179"/>
      <c r="I89" s="339" t="e">
        <f>IF(#REF!="",#REF!*#REF!,IF(#REF!=0,#REF!*#REF!,#REF!*#REF!*#REF!))</f>
        <v>#REF!</v>
      </c>
      <c r="J89" s="180" t="e">
        <f>#REF!*#REF!</f>
        <v>#REF!</v>
      </c>
      <c r="K89" s="178" t="e">
        <f>#REF!*mo</f>
        <v>#REF!</v>
      </c>
      <c r="L89" s="178" t="e">
        <f t="shared" si="19"/>
        <v>#REF!</v>
      </c>
      <c r="M89" s="178" t="e">
        <f>#REF!*#REF!</f>
        <v>#REF!</v>
      </c>
      <c r="N89" s="178" t="e">
        <f>#REF!+K89+#REF!</f>
        <v>#REF!</v>
      </c>
      <c r="O89" s="181" t="e">
        <f t="shared" si="15"/>
        <v>#REF!</v>
      </c>
    </row>
    <row r="90" spans="1:15" s="193" customFormat="1" outlineLevel="2">
      <c r="A90" s="155"/>
      <c r="B90" s="205" t="s">
        <v>847</v>
      </c>
      <c r="C90" s="202" t="s">
        <v>93</v>
      </c>
      <c r="D90" s="203"/>
      <c r="E90" s="176"/>
      <c r="F90" s="177"/>
      <c r="G90" s="192"/>
      <c r="H90" s="179"/>
      <c r="I90" s="339" t="e">
        <f>IF(#REF!="",#REF!*#REF!,IF(#REF!=0,#REF!*#REF!,#REF!*#REF!*#REF!))</f>
        <v>#REF!</v>
      </c>
      <c r="J90" s="180" t="e">
        <f>#REF!*#REF!</f>
        <v>#REF!</v>
      </c>
      <c r="K90" s="178" t="e">
        <f>#REF!*mo</f>
        <v>#REF!</v>
      </c>
      <c r="L90" s="178" t="e">
        <f t="shared" si="19"/>
        <v>#REF!</v>
      </c>
      <c r="M90" s="178" t="e">
        <f>#REF!*#REF!</f>
        <v>#REF!</v>
      </c>
      <c r="N90" s="178" t="e">
        <f>#REF!+K90+#REF!</f>
        <v>#REF!</v>
      </c>
      <c r="O90" s="181" t="e">
        <f t="shared" si="15"/>
        <v>#REF!</v>
      </c>
    </row>
    <row r="91" spans="1:15" s="193" customFormat="1" outlineLevel="2">
      <c r="A91" s="155"/>
      <c r="B91" s="205" t="s">
        <v>848</v>
      </c>
      <c r="C91" s="202" t="s">
        <v>93</v>
      </c>
      <c r="D91" s="203"/>
      <c r="E91" s="176"/>
      <c r="F91" s="177"/>
      <c r="G91" s="192"/>
      <c r="H91" s="179"/>
      <c r="I91" s="339" t="e">
        <f>IF(#REF!="",#REF!*#REF!,IF(#REF!=0,#REF!*#REF!,#REF!*#REF!*#REF!))</f>
        <v>#REF!</v>
      </c>
      <c r="J91" s="180" t="e">
        <f>#REF!*#REF!</f>
        <v>#REF!</v>
      </c>
      <c r="K91" s="178" t="e">
        <f>#REF!*mo</f>
        <v>#REF!</v>
      </c>
      <c r="L91" s="178" t="e">
        <f t="shared" si="19"/>
        <v>#REF!</v>
      </c>
      <c r="M91" s="178" t="e">
        <f>#REF!*#REF!</f>
        <v>#REF!</v>
      </c>
      <c r="N91" s="178" t="e">
        <f>#REF!+K91+#REF!</f>
        <v>#REF!</v>
      </c>
      <c r="O91" s="181" t="e">
        <f t="shared" si="15"/>
        <v>#REF!</v>
      </c>
    </row>
    <row r="92" spans="1:15" s="193" customFormat="1" outlineLevel="2">
      <c r="A92" s="155"/>
      <c r="B92" s="205" t="s">
        <v>841</v>
      </c>
      <c r="C92" s="202" t="s">
        <v>93</v>
      </c>
      <c r="D92" s="203"/>
      <c r="E92" s="176"/>
      <c r="F92" s="177"/>
      <c r="G92" s="192"/>
      <c r="H92" s="179"/>
      <c r="I92" s="339" t="e">
        <f>IF(#REF!="",#REF!*#REF!,IF(#REF!=0,#REF!*#REF!,#REF!*#REF!*#REF!))</f>
        <v>#REF!</v>
      </c>
      <c r="J92" s="180" t="e">
        <f>#REF!*#REF!</f>
        <v>#REF!</v>
      </c>
      <c r="K92" s="178" t="e">
        <f>#REF!*mo</f>
        <v>#REF!</v>
      </c>
      <c r="L92" s="178" t="e">
        <f t="shared" si="19"/>
        <v>#REF!</v>
      </c>
      <c r="M92" s="178" t="e">
        <f>#REF!*#REF!</f>
        <v>#REF!</v>
      </c>
      <c r="N92" s="178" t="e">
        <f>#REF!+K92+#REF!</f>
        <v>#REF!</v>
      </c>
      <c r="O92" s="181" t="e">
        <f t="shared" si="15"/>
        <v>#REF!</v>
      </c>
    </row>
    <row r="93" spans="1:15" s="193" customFormat="1" outlineLevel="2">
      <c r="A93" s="155"/>
      <c r="B93" s="205" t="s">
        <v>840</v>
      </c>
      <c r="C93" s="202" t="s">
        <v>93</v>
      </c>
      <c r="D93" s="203"/>
      <c r="E93" s="176"/>
      <c r="F93" s="177"/>
      <c r="G93" s="192"/>
      <c r="H93" s="179"/>
      <c r="I93" s="339" t="e">
        <f>IF(#REF!="",#REF!*#REF!,IF(#REF!=0,#REF!*#REF!,#REF!*#REF!*#REF!))</f>
        <v>#REF!</v>
      </c>
      <c r="J93" s="180" t="e">
        <f>#REF!*#REF!</f>
        <v>#REF!</v>
      </c>
      <c r="K93" s="178" t="e">
        <f>#REF!*mo</f>
        <v>#REF!</v>
      </c>
      <c r="L93" s="178" t="e">
        <f t="shared" si="19"/>
        <v>#REF!</v>
      </c>
      <c r="M93" s="178" t="e">
        <f>#REF!*#REF!</f>
        <v>#REF!</v>
      </c>
      <c r="N93" s="178" t="e">
        <f>#REF!+K93+#REF!</f>
        <v>#REF!</v>
      </c>
      <c r="O93" s="181" t="e">
        <f t="shared" si="15"/>
        <v>#REF!</v>
      </c>
    </row>
    <row r="94" spans="1:15" s="193" customFormat="1" outlineLevel="2">
      <c r="A94" s="155"/>
      <c r="B94" s="205" t="s">
        <v>849</v>
      </c>
      <c r="C94" s="202" t="s">
        <v>93</v>
      </c>
      <c r="D94" s="203"/>
      <c r="E94" s="176"/>
      <c r="F94" s="177"/>
      <c r="G94" s="192"/>
      <c r="H94" s="179"/>
      <c r="I94" s="339" t="e">
        <f>IF(#REF!="",#REF!*#REF!,IF(#REF!=0,#REF!*#REF!,#REF!*#REF!*#REF!))</f>
        <v>#REF!</v>
      </c>
      <c r="J94" s="180" t="e">
        <f>#REF!*#REF!</f>
        <v>#REF!</v>
      </c>
      <c r="K94" s="178" t="e">
        <f>#REF!*mo</f>
        <v>#REF!</v>
      </c>
      <c r="L94" s="178" t="e">
        <f t="shared" si="19"/>
        <v>#REF!</v>
      </c>
      <c r="M94" s="178" t="e">
        <f>#REF!*#REF!</f>
        <v>#REF!</v>
      </c>
      <c r="N94" s="178" t="e">
        <f>#REF!+K94+#REF!</f>
        <v>#REF!</v>
      </c>
      <c r="O94" s="181" t="e">
        <f t="shared" si="15"/>
        <v>#REF!</v>
      </c>
    </row>
    <row r="95" spans="1:15" s="193" customFormat="1" outlineLevel="2">
      <c r="A95" s="155"/>
      <c r="B95" s="205" t="s">
        <v>850</v>
      </c>
      <c r="C95" s="202" t="s">
        <v>93</v>
      </c>
      <c r="D95" s="203"/>
      <c r="E95" s="176"/>
      <c r="F95" s="177"/>
      <c r="G95" s="192"/>
      <c r="H95" s="179"/>
      <c r="I95" s="339" t="e">
        <f>IF(#REF!="",#REF!*#REF!,IF(#REF!=0,#REF!*#REF!,#REF!*#REF!*#REF!))</f>
        <v>#REF!</v>
      </c>
      <c r="J95" s="180" t="e">
        <f>#REF!*#REF!</f>
        <v>#REF!</v>
      </c>
      <c r="K95" s="178" t="e">
        <f>#REF!*mo</f>
        <v>#REF!</v>
      </c>
      <c r="L95" s="178" t="e">
        <f t="shared" si="19"/>
        <v>#REF!</v>
      </c>
      <c r="M95" s="178" t="e">
        <f>#REF!*#REF!</f>
        <v>#REF!</v>
      </c>
      <c r="N95" s="178" t="e">
        <f>#REF!+K95+#REF!</f>
        <v>#REF!</v>
      </c>
      <c r="O95" s="181" t="e">
        <f t="shared" si="15"/>
        <v>#REF!</v>
      </c>
    </row>
    <row r="96" spans="1:15" s="193" customFormat="1" outlineLevel="2">
      <c r="A96" s="155"/>
      <c r="B96" s="205" t="s">
        <v>851</v>
      </c>
      <c r="C96" s="202" t="s">
        <v>93</v>
      </c>
      <c r="D96" s="203"/>
      <c r="E96" s="176"/>
      <c r="F96" s="177"/>
      <c r="G96" s="192"/>
      <c r="H96" s="179"/>
      <c r="I96" s="339" t="e">
        <f>IF(#REF!="",#REF!*#REF!,IF(#REF!=0,#REF!*#REF!,#REF!*#REF!*#REF!))</f>
        <v>#REF!</v>
      </c>
      <c r="J96" s="180" t="e">
        <f>#REF!*#REF!</f>
        <v>#REF!</v>
      </c>
      <c r="K96" s="178" t="e">
        <f>#REF!*mo</f>
        <v>#REF!</v>
      </c>
      <c r="L96" s="178" t="e">
        <f t="shared" si="19"/>
        <v>#REF!</v>
      </c>
      <c r="M96" s="178" t="e">
        <f>#REF!*#REF!</f>
        <v>#REF!</v>
      </c>
      <c r="N96" s="178" t="e">
        <f>#REF!+K96+#REF!</f>
        <v>#REF!</v>
      </c>
      <c r="O96" s="181" t="e">
        <f t="shared" si="15"/>
        <v>#REF!</v>
      </c>
    </row>
    <row r="97" spans="1:15" s="193" customFormat="1" outlineLevel="2">
      <c r="A97" s="155"/>
      <c r="B97" s="205" t="s">
        <v>852</v>
      </c>
      <c r="C97" s="202" t="s">
        <v>795</v>
      </c>
      <c r="D97" s="203"/>
      <c r="E97" s="176"/>
      <c r="F97" s="177"/>
      <c r="G97" s="192"/>
      <c r="H97" s="179"/>
      <c r="I97" s="339" t="e">
        <f>IF(#REF!="",#REF!*#REF!,IF(#REF!=0,#REF!*#REF!,#REF!*#REF!*#REF!))</f>
        <v>#REF!</v>
      </c>
      <c r="J97" s="180" t="e">
        <f>#REF!*#REF!</f>
        <v>#REF!</v>
      </c>
      <c r="K97" s="178" t="e">
        <f>#REF!*mo</f>
        <v>#REF!</v>
      </c>
      <c r="L97" s="178" t="e">
        <f t="shared" si="19"/>
        <v>#REF!</v>
      </c>
      <c r="M97" s="178" t="e">
        <f>#REF!*#REF!</f>
        <v>#REF!</v>
      </c>
      <c r="N97" s="178" t="e">
        <f>#REF!+K97+#REF!</f>
        <v>#REF!</v>
      </c>
      <c r="O97" s="181" t="e">
        <f t="shared" si="15"/>
        <v>#REF!</v>
      </c>
    </row>
    <row r="98" spans="1:15" s="193" customFormat="1" outlineLevel="2">
      <c r="A98" s="155"/>
      <c r="B98" s="205" t="s">
        <v>853</v>
      </c>
      <c r="C98" s="202" t="s">
        <v>93</v>
      </c>
      <c r="D98" s="203"/>
      <c r="E98" s="176"/>
      <c r="F98" s="177"/>
      <c r="G98" s="192"/>
      <c r="H98" s="179"/>
      <c r="I98" s="339" t="e">
        <f>IF(#REF!="",#REF!*#REF!,IF(#REF!=0,#REF!*#REF!,#REF!*#REF!*#REF!))</f>
        <v>#REF!</v>
      </c>
      <c r="J98" s="180" t="e">
        <f>#REF!*#REF!</f>
        <v>#REF!</v>
      </c>
      <c r="K98" s="178" t="e">
        <f>#REF!*mo</f>
        <v>#REF!</v>
      </c>
      <c r="L98" s="178" t="e">
        <f t="shared" si="19"/>
        <v>#REF!</v>
      </c>
      <c r="M98" s="178" t="e">
        <f>#REF!*#REF!</f>
        <v>#REF!</v>
      </c>
      <c r="N98" s="178" t="e">
        <f>#REF!+K98+#REF!</f>
        <v>#REF!</v>
      </c>
      <c r="O98" s="181" t="e">
        <f t="shared" si="15"/>
        <v>#REF!</v>
      </c>
    </row>
    <row r="99" spans="1:15" s="193" customFormat="1" outlineLevel="2">
      <c r="A99" s="155"/>
      <c r="B99" s="205"/>
      <c r="C99" s="202"/>
      <c r="D99" s="203"/>
      <c r="E99" s="176"/>
      <c r="F99" s="177"/>
      <c r="G99" s="192"/>
      <c r="H99" s="179"/>
      <c r="I99" s="339"/>
      <c r="J99" s="180"/>
      <c r="K99" s="178"/>
      <c r="L99" s="178"/>
      <c r="M99" s="178"/>
      <c r="N99" s="178"/>
      <c r="O99" s="181"/>
    </row>
    <row r="100" spans="1:15" s="193" customFormat="1" outlineLevel="2">
      <c r="A100" s="155"/>
      <c r="B100" s="201" t="s">
        <v>854</v>
      </c>
      <c r="C100" s="202"/>
      <c r="D100" s="203"/>
      <c r="E100" s="176"/>
      <c r="F100" s="177"/>
      <c r="G100" s="192"/>
      <c r="H100" s="179"/>
      <c r="I100" s="339" t="e">
        <f>IF(#REF!="",#REF!*#REF!,IF(#REF!=0,#REF!*#REF!,#REF!*#REF!*#REF!))</f>
        <v>#REF!</v>
      </c>
      <c r="J100" s="180" t="e">
        <f>#REF!*#REF!</f>
        <v>#REF!</v>
      </c>
      <c r="K100" s="178" t="e">
        <f>#REF!*mo</f>
        <v>#REF!</v>
      </c>
      <c r="L100" s="178" t="e">
        <f t="shared" ref="L100:L113" si="20">J100*mo</f>
        <v>#REF!</v>
      </c>
      <c r="M100" s="178" t="e">
        <f>#REF!*#REF!</f>
        <v>#REF!</v>
      </c>
      <c r="N100" s="178" t="e">
        <f>#REF!+K100+#REF!</f>
        <v>#REF!</v>
      </c>
      <c r="O100" s="181" t="e">
        <f t="shared" ref="O100:O113" si="21">M100+L100+I100</f>
        <v>#REF!</v>
      </c>
    </row>
    <row r="101" spans="1:15" s="193" customFormat="1" outlineLevel="2">
      <c r="A101" s="155"/>
      <c r="B101" s="204"/>
      <c r="C101" s="202"/>
      <c r="D101" s="203"/>
      <c r="E101" s="176"/>
      <c r="F101" s="177"/>
      <c r="G101" s="192"/>
      <c r="H101" s="179"/>
      <c r="I101" s="339" t="e">
        <f>IF(#REF!="",#REF!*#REF!,IF(#REF!=0,#REF!*#REF!,#REF!*#REF!*#REF!))</f>
        <v>#REF!</v>
      </c>
      <c r="J101" s="180" t="e">
        <f>#REF!*#REF!</f>
        <v>#REF!</v>
      </c>
      <c r="K101" s="178" t="e">
        <f>#REF!*mo</f>
        <v>#REF!</v>
      </c>
      <c r="L101" s="178" t="e">
        <f t="shared" si="20"/>
        <v>#REF!</v>
      </c>
      <c r="M101" s="178" t="e">
        <f>#REF!*#REF!</f>
        <v>#REF!</v>
      </c>
      <c r="N101" s="178" t="e">
        <f>#REF!+K101+#REF!</f>
        <v>#REF!</v>
      </c>
      <c r="O101" s="181" t="e">
        <f t="shared" si="21"/>
        <v>#REF!</v>
      </c>
    </row>
    <row r="102" spans="1:15" s="193" customFormat="1" outlineLevel="2">
      <c r="A102" s="155"/>
      <c r="B102" s="205" t="s">
        <v>855</v>
      </c>
      <c r="C102" s="202" t="s">
        <v>795</v>
      </c>
      <c r="D102" s="203"/>
      <c r="E102" s="176"/>
      <c r="F102" s="177"/>
      <c r="G102" s="192"/>
      <c r="H102" s="179"/>
      <c r="I102" s="339" t="e">
        <f>IF(#REF!="",#REF!*#REF!,IF(#REF!=0,#REF!*#REF!,#REF!*#REF!*#REF!))</f>
        <v>#REF!</v>
      </c>
      <c r="J102" s="180" t="e">
        <f>#REF!*#REF!</f>
        <v>#REF!</v>
      </c>
      <c r="K102" s="178" t="e">
        <f>#REF!*mo</f>
        <v>#REF!</v>
      </c>
      <c r="L102" s="178" t="e">
        <f t="shared" si="20"/>
        <v>#REF!</v>
      </c>
      <c r="M102" s="178" t="e">
        <f>#REF!*#REF!</f>
        <v>#REF!</v>
      </c>
      <c r="N102" s="178" t="e">
        <f>#REF!+K102+#REF!</f>
        <v>#REF!</v>
      </c>
      <c r="O102" s="181" t="e">
        <f t="shared" si="21"/>
        <v>#REF!</v>
      </c>
    </row>
    <row r="103" spans="1:15" s="193" customFormat="1" outlineLevel="2">
      <c r="A103" s="155"/>
      <c r="B103" s="205" t="s">
        <v>845</v>
      </c>
      <c r="C103" s="202" t="s">
        <v>93</v>
      </c>
      <c r="D103" s="203"/>
      <c r="E103" s="176"/>
      <c r="F103" s="177"/>
      <c r="G103" s="192"/>
      <c r="H103" s="179"/>
      <c r="I103" s="339" t="e">
        <f>IF(#REF!="",#REF!*#REF!,IF(#REF!=0,#REF!*#REF!,#REF!*#REF!*#REF!))</f>
        <v>#REF!</v>
      </c>
      <c r="J103" s="180" t="e">
        <f>#REF!*#REF!</f>
        <v>#REF!</v>
      </c>
      <c r="K103" s="178" t="e">
        <f>#REF!*mo</f>
        <v>#REF!</v>
      </c>
      <c r="L103" s="178" t="e">
        <f t="shared" si="20"/>
        <v>#REF!</v>
      </c>
      <c r="M103" s="178" t="e">
        <f>#REF!*#REF!</f>
        <v>#REF!</v>
      </c>
      <c r="N103" s="178" t="e">
        <f>#REF!+K103+#REF!</f>
        <v>#REF!</v>
      </c>
      <c r="O103" s="181" t="e">
        <f t="shared" si="21"/>
        <v>#REF!</v>
      </c>
    </row>
    <row r="104" spans="1:15" s="193" customFormat="1" outlineLevel="2">
      <c r="A104" s="155"/>
      <c r="B104" s="205" t="s">
        <v>846</v>
      </c>
      <c r="C104" s="202" t="s">
        <v>93</v>
      </c>
      <c r="D104" s="203"/>
      <c r="E104" s="176"/>
      <c r="F104" s="177"/>
      <c r="G104" s="192"/>
      <c r="H104" s="179"/>
      <c r="I104" s="339" t="e">
        <f>IF(#REF!="",#REF!*#REF!,IF(#REF!=0,#REF!*#REF!,#REF!*#REF!*#REF!))</f>
        <v>#REF!</v>
      </c>
      <c r="J104" s="180" t="e">
        <f>#REF!*#REF!</f>
        <v>#REF!</v>
      </c>
      <c r="K104" s="178" t="e">
        <f>#REF!*mo</f>
        <v>#REF!</v>
      </c>
      <c r="L104" s="178" t="e">
        <f t="shared" si="20"/>
        <v>#REF!</v>
      </c>
      <c r="M104" s="178" t="e">
        <f>#REF!*#REF!</f>
        <v>#REF!</v>
      </c>
      <c r="N104" s="178" t="e">
        <f>#REF!+K104+#REF!</f>
        <v>#REF!</v>
      </c>
      <c r="O104" s="181" t="e">
        <f t="shared" si="21"/>
        <v>#REF!</v>
      </c>
    </row>
    <row r="105" spans="1:15" s="193" customFormat="1" outlineLevel="2">
      <c r="A105" s="155"/>
      <c r="B105" s="205" t="s">
        <v>813</v>
      </c>
      <c r="C105" s="202" t="s">
        <v>93</v>
      </c>
      <c r="D105" s="203"/>
      <c r="E105" s="176"/>
      <c r="F105" s="177"/>
      <c r="G105" s="192"/>
      <c r="H105" s="179"/>
      <c r="I105" s="339" t="e">
        <f>IF(#REF!="",#REF!*#REF!,IF(#REF!=0,#REF!*#REF!,#REF!*#REF!*#REF!))</f>
        <v>#REF!</v>
      </c>
      <c r="J105" s="180" t="e">
        <f>#REF!*#REF!</f>
        <v>#REF!</v>
      </c>
      <c r="K105" s="178" t="e">
        <f>#REF!*mo</f>
        <v>#REF!</v>
      </c>
      <c r="L105" s="178" t="e">
        <f t="shared" si="20"/>
        <v>#REF!</v>
      </c>
      <c r="M105" s="178" t="e">
        <f>#REF!*#REF!</f>
        <v>#REF!</v>
      </c>
      <c r="N105" s="178" t="e">
        <f>#REF!+K105+#REF!</f>
        <v>#REF!</v>
      </c>
      <c r="O105" s="181" t="e">
        <f t="shared" si="21"/>
        <v>#REF!</v>
      </c>
    </row>
    <row r="106" spans="1:15" s="193" customFormat="1" outlineLevel="2">
      <c r="A106" s="155"/>
      <c r="B106" s="205" t="s">
        <v>847</v>
      </c>
      <c r="C106" s="202" t="s">
        <v>93</v>
      </c>
      <c r="D106" s="203"/>
      <c r="E106" s="176"/>
      <c r="F106" s="177"/>
      <c r="G106" s="192"/>
      <c r="H106" s="179"/>
      <c r="I106" s="339" t="e">
        <f>IF(#REF!="",#REF!*#REF!,IF(#REF!=0,#REF!*#REF!,#REF!*#REF!*#REF!))</f>
        <v>#REF!</v>
      </c>
      <c r="J106" s="180" t="e">
        <f>#REF!*#REF!</f>
        <v>#REF!</v>
      </c>
      <c r="K106" s="178" t="e">
        <f>#REF!*mo</f>
        <v>#REF!</v>
      </c>
      <c r="L106" s="178" t="e">
        <f t="shared" si="20"/>
        <v>#REF!</v>
      </c>
      <c r="M106" s="178" t="e">
        <f>#REF!*#REF!</f>
        <v>#REF!</v>
      </c>
      <c r="N106" s="178" t="e">
        <f>#REF!+K106+#REF!</f>
        <v>#REF!</v>
      </c>
      <c r="O106" s="181" t="e">
        <f t="shared" si="21"/>
        <v>#REF!</v>
      </c>
    </row>
    <row r="107" spans="1:15" s="193" customFormat="1" outlineLevel="2">
      <c r="A107" s="155"/>
      <c r="B107" s="205" t="s">
        <v>848</v>
      </c>
      <c r="C107" s="202" t="s">
        <v>93</v>
      </c>
      <c r="D107" s="203"/>
      <c r="E107" s="176"/>
      <c r="F107" s="177"/>
      <c r="G107" s="192"/>
      <c r="H107" s="179"/>
      <c r="I107" s="339" t="e">
        <f>IF(#REF!="",#REF!*#REF!,IF(#REF!=0,#REF!*#REF!,#REF!*#REF!*#REF!))</f>
        <v>#REF!</v>
      </c>
      <c r="J107" s="180" t="e">
        <f>#REF!*#REF!</f>
        <v>#REF!</v>
      </c>
      <c r="K107" s="178" t="e">
        <f>#REF!*mo</f>
        <v>#REF!</v>
      </c>
      <c r="L107" s="178" t="e">
        <f t="shared" si="20"/>
        <v>#REF!</v>
      </c>
      <c r="M107" s="178" t="e">
        <f>#REF!*#REF!</f>
        <v>#REF!</v>
      </c>
      <c r="N107" s="178" t="e">
        <f>#REF!+K107+#REF!</f>
        <v>#REF!</v>
      </c>
      <c r="O107" s="181" t="e">
        <f t="shared" si="21"/>
        <v>#REF!</v>
      </c>
    </row>
    <row r="108" spans="1:15" s="193" customFormat="1" outlineLevel="2">
      <c r="A108" s="155"/>
      <c r="B108" s="205" t="s">
        <v>841</v>
      </c>
      <c r="C108" s="202" t="s">
        <v>93</v>
      </c>
      <c r="D108" s="203"/>
      <c r="E108" s="176"/>
      <c r="F108" s="177"/>
      <c r="G108" s="192"/>
      <c r="H108" s="179"/>
      <c r="I108" s="339" t="e">
        <f>IF(#REF!="",#REF!*#REF!,IF(#REF!=0,#REF!*#REF!,#REF!*#REF!*#REF!))</f>
        <v>#REF!</v>
      </c>
      <c r="J108" s="180" t="e">
        <f>#REF!*#REF!</f>
        <v>#REF!</v>
      </c>
      <c r="K108" s="178" t="e">
        <f>#REF!*mo</f>
        <v>#REF!</v>
      </c>
      <c r="L108" s="178" t="e">
        <f t="shared" si="20"/>
        <v>#REF!</v>
      </c>
      <c r="M108" s="178" t="e">
        <f>#REF!*#REF!</f>
        <v>#REF!</v>
      </c>
      <c r="N108" s="178" t="e">
        <f>#REF!+K108+#REF!</f>
        <v>#REF!</v>
      </c>
      <c r="O108" s="181" t="e">
        <f t="shared" si="21"/>
        <v>#REF!</v>
      </c>
    </row>
    <row r="109" spans="1:15" s="193" customFormat="1" outlineLevel="2">
      <c r="A109" s="155"/>
      <c r="B109" s="205" t="s">
        <v>840</v>
      </c>
      <c r="C109" s="202" t="s">
        <v>93</v>
      </c>
      <c r="D109" s="203"/>
      <c r="E109" s="176"/>
      <c r="F109" s="177"/>
      <c r="G109" s="192"/>
      <c r="H109" s="179"/>
      <c r="I109" s="339" t="e">
        <f>IF(#REF!="",#REF!*#REF!,IF(#REF!=0,#REF!*#REF!,#REF!*#REF!*#REF!))</f>
        <v>#REF!</v>
      </c>
      <c r="J109" s="180" t="e">
        <f>#REF!*#REF!</f>
        <v>#REF!</v>
      </c>
      <c r="K109" s="178" t="e">
        <f>#REF!*mo</f>
        <v>#REF!</v>
      </c>
      <c r="L109" s="178" t="e">
        <f t="shared" si="20"/>
        <v>#REF!</v>
      </c>
      <c r="M109" s="178" t="e">
        <f>#REF!*#REF!</f>
        <v>#REF!</v>
      </c>
      <c r="N109" s="178" t="e">
        <f>#REF!+K109+#REF!</f>
        <v>#REF!</v>
      </c>
      <c r="O109" s="181" t="e">
        <f t="shared" si="21"/>
        <v>#REF!</v>
      </c>
    </row>
    <row r="110" spans="1:15" s="193" customFormat="1" outlineLevel="2">
      <c r="A110" s="155"/>
      <c r="B110" s="205" t="s">
        <v>849</v>
      </c>
      <c r="C110" s="202" t="s">
        <v>93</v>
      </c>
      <c r="D110" s="203"/>
      <c r="E110" s="176"/>
      <c r="F110" s="177"/>
      <c r="G110" s="192"/>
      <c r="H110" s="179"/>
      <c r="I110" s="339" t="e">
        <f>IF(#REF!="",#REF!*#REF!,IF(#REF!=0,#REF!*#REF!,#REF!*#REF!*#REF!))</f>
        <v>#REF!</v>
      </c>
      <c r="J110" s="180" t="e">
        <f>#REF!*#REF!</f>
        <v>#REF!</v>
      </c>
      <c r="K110" s="178" t="e">
        <f>#REF!*mo</f>
        <v>#REF!</v>
      </c>
      <c r="L110" s="178" t="e">
        <f t="shared" si="20"/>
        <v>#REF!</v>
      </c>
      <c r="M110" s="178" t="e">
        <f>#REF!*#REF!</f>
        <v>#REF!</v>
      </c>
      <c r="N110" s="178" t="e">
        <f>#REF!+K110+#REF!</f>
        <v>#REF!</v>
      </c>
      <c r="O110" s="181" t="e">
        <f t="shared" si="21"/>
        <v>#REF!</v>
      </c>
    </row>
    <row r="111" spans="1:15" s="193" customFormat="1" outlineLevel="2">
      <c r="A111" s="155"/>
      <c r="B111" s="205" t="s">
        <v>850</v>
      </c>
      <c r="C111" s="202" t="s">
        <v>93</v>
      </c>
      <c r="D111" s="203"/>
      <c r="E111" s="176"/>
      <c r="F111" s="177"/>
      <c r="G111" s="192"/>
      <c r="H111" s="179"/>
      <c r="I111" s="339" t="e">
        <f>IF(#REF!="",#REF!*#REF!,IF(#REF!=0,#REF!*#REF!,#REF!*#REF!*#REF!))</f>
        <v>#REF!</v>
      </c>
      <c r="J111" s="180" t="e">
        <f>#REF!*#REF!</f>
        <v>#REF!</v>
      </c>
      <c r="K111" s="178" t="e">
        <f>#REF!*mo</f>
        <v>#REF!</v>
      </c>
      <c r="L111" s="178" t="e">
        <f t="shared" si="20"/>
        <v>#REF!</v>
      </c>
      <c r="M111" s="178" t="e">
        <f>#REF!*#REF!</f>
        <v>#REF!</v>
      </c>
      <c r="N111" s="178" t="e">
        <f>#REF!+K111+#REF!</f>
        <v>#REF!</v>
      </c>
      <c r="O111" s="181" t="e">
        <f t="shared" si="21"/>
        <v>#REF!</v>
      </c>
    </row>
    <row r="112" spans="1:15" s="193" customFormat="1" outlineLevel="2">
      <c r="A112" s="155"/>
      <c r="B112" s="205" t="s">
        <v>851</v>
      </c>
      <c r="C112" s="202" t="s">
        <v>93</v>
      </c>
      <c r="D112" s="203"/>
      <c r="E112" s="176"/>
      <c r="F112" s="177"/>
      <c r="G112" s="192"/>
      <c r="H112" s="179"/>
      <c r="I112" s="339" t="e">
        <f>IF(#REF!="",#REF!*#REF!,IF(#REF!=0,#REF!*#REF!,#REF!*#REF!*#REF!))</f>
        <v>#REF!</v>
      </c>
      <c r="J112" s="180" t="e">
        <f>#REF!*#REF!</f>
        <v>#REF!</v>
      </c>
      <c r="K112" s="178" t="e">
        <f>#REF!*mo</f>
        <v>#REF!</v>
      </c>
      <c r="L112" s="178" t="e">
        <f t="shared" si="20"/>
        <v>#REF!</v>
      </c>
      <c r="M112" s="178" t="e">
        <f>#REF!*#REF!</f>
        <v>#REF!</v>
      </c>
      <c r="N112" s="178" t="e">
        <f>#REF!+K112+#REF!</f>
        <v>#REF!</v>
      </c>
      <c r="O112" s="181" t="e">
        <f t="shared" si="21"/>
        <v>#REF!</v>
      </c>
    </row>
    <row r="113" spans="1:15" s="193" customFormat="1" outlineLevel="2">
      <c r="A113" s="155"/>
      <c r="B113" s="205" t="s">
        <v>852</v>
      </c>
      <c r="C113" s="202" t="s">
        <v>795</v>
      </c>
      <c r="D113" s="203"/>
      <c r="E113" s="176"/>
      <c r="F113" s="177"/>
      <c r="G113" s="192"/>
      <c r="H113" s="179"/>
      <c r="I113" s="339" t="e">
        <f>IF(#REF!="",#REF!*#REF!,IF(#REF!=0,#REF!*#REF!,#REF!*#REF!*#REF!))</f>
        <v>#REF!</v>
      </c>
      <c r="J113" s="180" t="e">
        <f>#REF!*#REF!</f>
        <v>#REF!</v>
      </c>
      <c r="K113" s="178" t="e">
        <f>#REF!*mo</f>
        <v>#REF!</v>
      </c>
      <c r="L113" s="178" t="e">
        <f t="shared" si="20"/>
        <v>#REF!</v>
      </c>
      <c r="M113" s="178" t="e">
        <f>#REF!*#REF!</f>
        <v>#REF!</v>
      </c>
      <c r="N113" s="178" t="e">
        <f>#REF!+K113+#REF!</f>
        <v>#REF!</v>
      </c>
      <c r="O113" s="181" t="e">
        <f t="shared" si="21"/>
        <v>#REF!</v>
      </c>
    </row>
    <row r="114" spans="1:15" s="193" customFormat="1" outlineLevel="2">
      <c r="A114" s="155"/>
      <c r="B114" s="206"/>
      <c r="C114" s="202"/>
      <c r="D114" s="203"/>
      <c r="E114" s="176"/>
      <c r="F114" s="177"/>
      <c r="G114" s="192"/>
      <c r="H114" s="179"/>
      <c r="I114" s="339"/>
      <c r="J114" s="180"/>
      <c r="K114" s="178"/>
      <c r="L114" s="178"/>
      <c r="M114" s="178"/>
      <c r="N114" s="178"/>
      <c r="O114" s="181"/>
    </row>
    <row r="115" spans="1:15" s="193" customFormat="1" outlineLevel="1">
      <c r="A115" s="157" t="str">
        <f>$A$55&amp;".4"</f>
        <v>3.2.4</v>
      </c>
      <c r="B115" s="158" t="s">
        <v>856</v>
      </c>
      <c r="C115" s="190"/>
      <c r="D115" s="191"/>
      <c r="E115" s="176"/>
      <c r="F115" s="177"/>
      <c r="G115" s="192">
        <f>SUM(F116:F130)</f>
        <v>0</v>
      </c>
      <c r="H115" s="179"/>
      <c r="I115" s="339" t="e">
        <f>IF(#REF!="",#REF!*#REF!,IF(#REF!=0,#REF!*#REF!,#REF!*#REF!*#REF!))</f>
        <v>#REF!</v>
      </c>
      <c r="J115" s="180" t="e">
        <f>#REF!*#REF!</f>
        <v>#REF!</v>
      </c>
      <c r="K115" s="178" t="e">
        <f>#REF!*mo</f>
        <v>#REF!</v>
      </c>
      <c r="L115" s="178" t="e">
        <f t="shared" ref="L115:L118" si="22">J115*mo</f>
        <v>#REF!</v>
      </c>
      <c r="M115" s="178" t="e">
        <f>#REF!*#REF!</f>
        <v>#REF!</v>
      </c>
      <c r="N115" s="178" t="e">
        <f>#REF!+K115+#REF!</f>
        <v>#REF!</v>
      </c>
      <c r="O115" s="181" t="e">
        <f t="shared" ref="O115:O130" si="23">M115+L115+I115</f>
        <v>#REF!</v>
      </c>
    </row>
    <row r="116" spans="1:15" s="193" customFormat="1" outlineLevel="2">
      <c r="A116" s="155"/>
      <c r="B116" s="156"/>
      <c r="C116" s="190"/>
      <c r="D116" s="191"/>
      <c r="E116" s="176"/>
      <c r="F116" s="177"/>
      <c r="G116" s="192"/>
      <c r="H116" s="179"/>
      <c r="I116" s="339" t="e">
        <f>IF(#REF!="",#REF!*#REF!,IF(#REF!=0,#REF!*#REF!,#REF!*#REF!*#REF!))</f>
        <v>#REF!</v>
      </c>
      <c r="J116" s="180" t="e">
        <f>#REF!*#REF!</f>
        <v>#REF!</v>
      </c>
      <c r="K116" s="178" t="e">
        <f>#REF!*mo</f>
        <v>#REF!</v>
      </c>
      <c r="L116" s="178" t="e">
        <f t="shared" si="22"/>
        <v>#REF!</v>
      </c>
      <c r="M116" s="178" t="e">
        <f>#REF!*#REF!</f>
        <v>#REF!</v>
      </c>
      <c r="N116" s="178" t="e">
        <f>#REF!+K116+#REF!</f>
        <v>#REF!</v>
      </c>
      <c r="O116" s="181" t="e">
        <f t="shared" si="23"/>
        <v>#REF!</v>
      </c>
    </row>
    <row r="117" spans="1:15" s="193" customFormat="1" outlineLevel="2">
      <c r="A117" s="155"/>
      <c r="B117" s="207" t="s">
        <v>857</v>
      </c>
      <c r="C117" s="202"/>
      <c r="D117" s="203"/>
      <c r="E117" s="176"/>
      <c r="F117" s="177"/>
      <c r="G117" s="192"/>
      <c r="H117" s="179"/>
      <c r="I117" s="339" t="e">
        <f>IF(#REF!="",#REF!*#REF!,IF(#REF!=0,#REF!*#REF!,#REF!*#REF!*#REF!))</f>
        <v>#REF!</v>
      </c>
      <c r="J117" s="180" t="e">
        <f>#REF!*#REF!</f>
        <v>#REF!</v>
      </c>
      <c r="K117" s="178" t="e">
        <f>#REF!*mo</f>
        <v>#REF!</v>
      </c>
      <c r="L117" s="178" t="e">
        <f t="shared" si="22"/>
        <v>#REF!</v>
      </c>
      <c r="M117" s="178" t="e">
        <f>#REF!*#REF!</f>
        <v>#REF!</v>
      </c>
      <c r="N117" s="178" t="e">
        <f>#REF!+K117+#REF!</f>
        <v>#REF!</v>
      </c>
      <c r="O117" s="181" t="e">
        <f t="shared" si="23"/>
        <v>#REF!</v>
      </c>
    </row>
    <row r="118" spans="1:15" s="193" customFormat="1" outlineLevel="2">
      <c r="A118" s="155"/>
      <c r="B118" s="204" t="s">
        <v>858</v>
      </c>
      <c r="C118" s="202" t="s">
        <v>93</v>
      </c>
      <c r="D118" s="203"/>
      <c r="E118" s="176"/>
      <c r="F118" s="177"/>
      <c r="G118" s="192"/>
      <c r="H118" s="179"/>
      <c r="I118" s="339" t="e">
        <f>IF(#REF!="",#REF!*#REF!,IF(#REF!=0,#REF!*#REF!,#REF!*#REF!*#REF!))</f>
        <v>#REF!</v>
      </c>
      <c r="J118" s="180" t="e">
        <f>#REF!*#REF!</f>
        <v>#REF!</v>
      </c>
      <c r="K118" s="178" t="e">
        <f>#REF!*mo</f>
        <v>#REF!</v>
      </c>
      <c r="L118" s="178" t="e">
        <f t="shared" si="22"/>
        <v>#REF!</v>
      </c>
      <c r="M118" s="178" t="e">
        <f>#REF!*#REF!</f>
        <v>#REF!</v>
      </c>
      <c r="N118" s="178" t="e">
        <f>#REF!+K118+#REF!</f>
        <v>#REF!</v>
      </c>
      <c r="O118" s="181" t="e">
        <f t="shared" si="23"/>
        <v>#REF!</v>
      </c>
    </row>
    <row r="119" spans="1:15" s="193" customFormat="1" outlineLevel="2">
      <c r="A119" s="155"/>
      <c r="B119" s="205"/>
      <c r="C119" s="202"/>
      <c r="D119" s="203"/>
      <c r="E119" s="176"/>
      <c r="F119" s="177"/>
      <c r="G119" s="192"/>
      <c r="H119" s="179"/>
      <c r="I119" s="339" t="e">
        <f>IF(#REF!="",#REF!*#REF!,IF(#REF!=0,#REF!*#REF!,#REF!*#REF!*#REF!))</f>
        <v>#REF!</v>
      </c>
      <c r="J119" s="180" t="e">
        <f>#REF!*#REF!</f>
        <v>#REF!</v>
      </c>
      <c r="K119" s="178" t="e">
        <f>#REF!*mo</f>
        <v>#REF!</v>
      </c>
      <c r="L119" s="178" t="e">
        <f t="shared" ref="L119:L130" si="24">J119*mo</f>
        <v>#REF!</v>
      </c>
      <c r="M119" s="178" t="e">
        <f>#REF!*#REF!</f>
        <v>#REF!</v>
      </c>
      <c r="N119" s="178" t="e">
        <f>#REF!+K119+#REF!</f>
        <v>#REF!</v>
      </c>
      <c r="O119" s="181" t="e">
        <f t="shared" si="23"/>
        <v>#REF!</v>
      </c>
    </row>
    <row r="120" spans="1:15" s="193" customFormat="1" outlineLevel="2">
      <c r="A120" s="155"/>
      <c r="B120" s="201" t="s">
        <v>859</v>
      </c>
      <c r="C120" s="202"/>
      <c r="D120" s="203"/>
      <c r="E120" s="176"/>
      <c r="F120" s="177"/>
      <c r="G120" s="192"/>
      <c r="H120" s="179"/>
      <c r="I120" s="339" t="e">
        <f>IF(#REF!="",#REF!*#REF!,IF(#REF!=0,#REF!*#REF!,#REF!*#REF!*#REF!))</f>
        <v>#REF!</v>
      </c>
      <c r="J120" s="180" t="e">
        <f>#REF!*#REF!</f>
        <v>#REF!</v>
      </c>
      <c r="K120" s="178" t="e">
        <f>#REF!*mo</f>
        <v>#REF!</v>
      </c>
      <c r="L120" s="178" t="e">
        <f t="shared" si="24"/>
        <v>#REF!</v>
      </c>
      <c r="M120" s="178" t="e">
        <f>#REF!*#REF!</f>
        <v>#REF!</v>
      </c>
      <c r="N120" s="178" t="e">
        <f>#REF!+K120+#REF!</f>
        <v>#REF!</v>
      </c>
      <c r="O120" s="181" t="e">
        <f t="shared" si="23"/>
        <v>#REF!</v>
      </c>
    </row>
    <row r="121" spans="1:15" s="193" customFormat="1" outlineLevel="2">
      <c r="A121" s="155"/>
      <c r="B121" s="205" t="s">
        <v>860</v>
      </c>
      <c r="C121" s="202" t="s">
        <v>795</v>
      </c>
      <c r="D121" s="203"/>
      <c r="E121" s="176"/>
      <c r="F121" s="177"/>
      <c r="G121" s="192"/>
      <c r="H121" s="179"/>
      <c r="I121" s="339" t="e">
        <f>IF(#REF!="",#REF!*#REF!,IF(#REF!=0,#REF!*#REF!,#REF!*#REF!*#REF!))</f>
        <v>#REF!</v>
      </c>
      <c r="J121" s="180" t="e">
        <f>#REF!*#REF!</f>
        <v>#REF!</v>
      </c>
      <c r="K121" s="178" t="e">
        <f>#REF!*mo</f>
        <v>#REF!</v>
      </c>
      <c r="L121" s="178" t="e">
        <f t="shared" si="24"/>
        <v>#REF!</v>
      </c>
      <c r="M121" s="178" t="e">
        <f>#REF!*#REF!</f>
        <v>#REF!</v>
      </c>
      <c r="N121" s="178" t="e">
        <f>#REF!+K121+#REF!</f>
        <v>#REF!</v>
      </c>
      <c r="O121" s="181" t="e">
        <f t="shared" si="23"/>
        <v>#REF!</v>
      </c>
    </row>
    <row r="122" spans="1:15" s="193" customFormat="1" outlineLevel="2">
      <c r="A122" s="155"/>
      <c r="B122" s="205" t="s">
        <v>861</v>
      </c>
      <c r="C122" s="202" t="s">
        <v>795</v>
      </c>
      <c r="D122" s="203"/>
      <c r="E122" s="176"/>
      <c r="F122" s="177"/>
      <c r="G122" s="192"/>
      <c r="H122" s="179"/>
      <c r="I122" s="339" t="e">
        <f>IF(#REF!="",#REF!*#REF!,IF(#REF!=0,#REF!*#REF!,#REF!*#REF!*#REF!))</f>
        <v>#REF!</v>
      </c>
      <c r="J122" s="180" t="e">
        <f>#REF!*#REF!</f>
        <v>#REF!</v>
      </c>
      <c r="K122" s="178" t="e">
        <f>#REF!*mo</f>
        <v>#REF!</v>
      </c>
      <c r="L122" s="178" t="e">
        <f t="shared" si="24"/>
        <v>#REF!</v>
      </c>
      <c r="M122" s="178" t="e">
        <f>#REF!*#REF!</f>
        <v>#REF!</v>
      </c>
      <c r="N122" s="178" t="e">
        <f>#REF!+K122+#REF!</f>
        <v>#REF!</v>
      </c>
      <c r="O122" s="181" t="e">
        <f t="shared" si="23"/>
        <v>#REF!</v>
      </c>
    </row>
    <row r="123" spans="1:15" s="193" customFormat="1" outlineLevel="2">
      <c r="A123" s="155"/>
      <c r="B123" s="205" t="s">
        <v>862</v>
      </c>
      <c r="C123" s="202" t="s">
        <v>795</v>
      </c>
      <c r="D123" s="203"/>
      <c r="E123" s="176"/>
      <c r="F123" s="177"/>
      <c r="G123" s="192"/>
      <c r="H123" s="179"/>
      <c r="I123" s="339" t="e">
        <f>IF(#REF!="",#REF!*#REF!,IF(#REF!=0,#REF!*#REF!,#REF!*#REF!*#REF!))</f>
        <v>#REF!</v>
      </c>
      <c r="J123" s="180" t="e">
        <f>#REF!*#REF!</f>
        <v>#REF!</v>
      </c>
      <c r="K123" s="178" t="e">
        <f>#REF!*mo</f>
        <v>#REF!</v>
      </c>
      <c r="L123" s="178" t="e">
        <f t="shared" ref="L123" si="25">J123*mo</f>
        <v>#REF!</v>
      </c>
      <c r="M123" s="178" t="e">
        <f>#REF!*#REF!</f>
        <v>#REF!</v>
      </c>
      <c r="N123" s="178" t="e">
        <f>#REF!+K123+#REF!</f>
        <v>#REF!</v>
      </c>
      <c r="O123" s="181" t="e">
        <f t="shared" si="23"/>
        <v>#REF!</v>
      </c>
    </row>
    <row r="124" spans="1:15" s="193" customFormat="1" outlineLevel="2">
      <c r="A124" s="155"/>
      <c r="B124" s="205"/>
      <c r="C124" s="202"/>
      <c r="D124" s="203"/>
      <c r="E124" s="176"/>
      <c r="F124" s="177"/>
      <c r="G124" s="192"/>
      <c r="H124" s="179"/>
      <c r="I124" s="339" t="e">
        <f>IF(#REF!="",#REF!*#REF!,IF(#REF!=0,#REF!*#REF!,#REF!*#REF!*#REF!))</f>
        <v>#REF!</v>
      </c>
      <c r="J124" s="180" t="e">
        <f>#REF!*#REF!</f>
        <v>#REF!</v>
      </c>
      <c r="K124" s="178" t="e">
        <f>#REF!*mo</f>
        <v>#REF!</v>
      </c>
      <c r="L124" s="178" t="e">
        <f t="shared" ref="L124:L126" si="26">J124*mo</f>
        <v>#REF!</v>
      </c>
      <c r="M124" s="178" t="e">
        <f>#REF!*#REF!</f>
        <v>#REF!</v>
      </c>
      <c r="N124" s="178" t="e">
        <f>#REF!+K124+#REF!</f>
        <v>#REF!</v>
      </c>
      <c r="O124" s="181" t="e">
        <f t="shared" si="23"/>
        <v>#REF!</v>
      </c>
    </row>
    <row r="125" spans="1:15" s="193" customFormat="1" outlineLevel="2">
      <c r="A125" s="155"/>
      <c r="B125" s="201" t="s">
        <v>863</v>
      </c>
      <c r="C125" s="202"/>
      <c r="D125" s="203"/>
      <c r="E125" s="176"/>
      <c r="F125" s="177"/>
      <c r="G125" s="192"/>
      <c r="H125" s="179"/>
      <c r="I125" s="339" t="e">
        <f>IF(#REF!="",#REF!*#REF!,IF(#REF!=0,#REF!*#REF!,#REF!*#REF!*#REF!))</f>
        <v>#REF!</v>
      </c>
      <c r="J125" s="180" t="e">
        <f>#REF!*#REF!</f>
        <v>#REF!</v>
      </c>
      <c r="K125" s="178" t="e">
        <f>#REF!*mo</f>
        <v>#REF!</v>
      </c>
      <c r="L125" s="178" t="e">
        <f t="shared" si="26"/>
        <v>#REF!</v>
      </c>
      <c r="M125" s="178" t="e">
        <f>#REF!*#REF!</f>
        <v>#REF!</v>
      </c>
      <c r="N125" s="178" t="e">
        <f>#REF!+K125+#REF!</f>
        <v>#REF!</v>
      </c>
      <c r="O125" s="181" t="e">
        <f t="shared" si="23"/>
        <v>#REF!</v>
      </c>
    </row>
    <row r="126" spans="1:15" s="193" customFormat="1" outlineLevel="2">
      <c r="A126" s="155"/>
      <c r="B126" s="205" t="s">
        <v>864</v>
      </c>
      <c r="C126" s="202" t="s">
        <v>801</v>
      </c>
      <c r="D126" s="203"/>
      <c r="E126" s="176"/>
      <c r="F126" s="177"/>
      <c r="G126" s="192"/>
      <c r="H126" s="179"/>
      <c r="I126" s="339" t="e">
        <f>IF(#REF!="",#REF!*#REF!,IF(#REF!=0,#REF!*#REF!,#REF!*#REF!*#REF!))</f>
        <v>#REF!</v>
      </c>
      <c r="J126" s="180" t="e">
        <f>#REF!*#REF!</f>
        <v>#REF!</v>
      </c>
      <c r="K126" s="178" t="e">
        <f>#REF!*mo</f>
        <v>#REF!</v>
      </c>
      <c r="L126" s="178" t="e">
        <f t="shared" si="26"/>
        <v>#REF!</v>
      </c>
      <c r="M126" s="178" t="e">
        <f>#REF!*#REF!</f>
        <v>#REF!</v>
      </c>
      <c r="N126" s="178" t="e">
        <f>#REF!+K126+#REF!</f>
        <v>#REF!</v>
      </c>
      <c r="O126" s="181" t="e">
        <f t="shared" si="23"/>
        <v>#REF!</v>
      </c>
    </row>
    <row r="127" spans="1:15" s="193" customFormat="1" outlineLevel="2">
      <c r="A127" s="155"/>
      <c r="B127" s="206"/>
      <c r="C127" s="202"/>
      <c r="D127" s="203"/>
      <c r="E127" s="176"/>
      <c r="F127" s="177"/>
      <c r="G127" s="192"/>
      <c r="H127" s="179"/>
      <c r="I127" s="339"/>
      <c r="J127" s="180"/>
      <c r="K127" s="178"/>
      <c r="L127" s="178"/>
      <c r="M127" s="178"/>
      <c r="N127" s="178"/>
      <c r="O127" s="181"/>
    </row>
    <row r="128" spans="1:15" s="193" customFormat="1" outlineLevel="2">
      <c r="A128" s="155"/>
      <c r="B128" s="206"/>
      <c r="C128" s="202"/>
      <c r="D128" s="203"/>
      <c r="E128" s="176"/>
      <c r="F128" s="177"/>
      <c r="G128" s="192"/>
      <c r="H128" s="179"/>
      <c r="I128" s="339"/>
      <c r="J128" s="180"/>
      <c r="K128" s="178"/>
      <c r="L128" s="178"/>
      <c r="M128" s="178"/>
      <c r="N128" s="178"/>
      <c r="O128" s="181"/>
    </row>
    <row r="129" spans="1:16" s="193" customFormat="1" outlineLevel="1">
      <c r="A129" s="155"/>
      <c r="B129" s="206"/>
      <c r="C129" s="202"/>
      <c r="D129" s="203"/>
      <c r="E129" s="176"/>
      <c r="F129" s="177"/>
      <c r="G129" s="192"/>
      <c r="H129" s="179"/>
      <c r="I129" s="339"/>
      <c r="J129" s="180"/>
      <c r="K129" s="178"/>
      <c r="L129" s="178"/>
      <c r="M129" s="178"/>
      <c r="N129" s="178"/>
      <c r="O129" s="181"/>
    </row>
    <row r="130" spans="1:16" s="193" customFormat="1" outlineLevel="1">
      <c r="A130" s="155"/>
      <c r="B130" s="198" t="str">
        <f>"Total "&amp;B55</f>
        <v>Total Production de chaleur par PAC AIR/EAU</v>
      </c>
      <c r="C130" s="190"/>
      <c r="D130" s="191"/>
      <c r="E130" s="176"/>
      <c r="F130" s="177"/>
      <c r="G130" s="192"/>
      <c r="H130" s="179">
        <f>SUM(G54:G131)</f>
        <v>0</v>
      </c>
      <c r="I130" s="339" t="e">
        <f>IF(#REF!="",#REF!*#REF!,IF(#REF!=0,#REF!*#REF!,#REF!*#REF!*#REF!))</f>
        <v>#REF!</v>
      </c>
      <c r="J130" s="180" t="e">
        <f>#REF!*#REF!</f>
        <v>#REF!</v>
      </c>
      <c r="K130" s="178" t="e">
        <f>#REF!*mo</f>
        <v>#REF!</v>
      </c>
      <c r="L130" s="178" t="e">
        <f t="shared" si="24"/>
        <v>#REF!</v>
      </c>
      <c r="M130" s="178" t="e">
        <f>#REF!*#REF!</f>
        <v>#REF!</v>
      </c>
      <c r="N130" s="178" t="e">
        <f>#REF!+K130+#REF!</f>
        <v>#REF!</v>
      </c>
      <c r="O130" s="181" t="e">
        <f t="shared" si="23"/>
        <v>#REF!</v>
      </c>
    </row>
    <row r="131" spans="1:16" s="193" customFormat="1" outlineLevel="1">
      <c r="A131" s="155"/>
      <c r="B131" s="198"/>
      <c r="C131" s="190"/>
      <c r="D131" s="191"/>
      <c r="E131" s="176"/>
      <c r="F131" s="177"/>
      <c r="G131" s="192"/>
      <c r="H131" s="179"/>
      <c r="I131" s="339"/>
      <c r="J131" s="180"/>
      <c r="K131" s="178"/>
      <c r="L131" s="178"/>
      <c r="M131" s="178"/>
      <c r="N131" s="178"/>
      <c r="O131" s="181"/>
    </row>
    <row r="132" spans="1:16" s="193" customFormat="1" outlineLevel="2">
      <c r="A132" s="155"/>
      <c r="B132" s="205"/>
      <c r="C132" s="202"/>
      <c r="D132" s="203"/>
      <c r="E132" s="176"/>
      <c r="F132" s="177"/>
      <c r="G132" s="192"/>
      <c r="H132" s="179"/>
      <c r="I132" s="339"/>
      <c r="J132" s="180"/>
      <c r="K132" s="178"/>
      <c r="L132" s="178"/>
      <c r="M132" s="178"/>
      <c r="N132" s="178"/>
      <c r="O132" s="181"/>
    </row>
    <row r="133" spans="1:16" s="193" customFormat="1" outlineLevel="1">
      <c r="A133" s="155"/>
      <c r="B133" s="156"/>
      <c r="C133" s="190"/>
      <c r="D133" s="191"/>
      <c r="E133" s="176"/>
      <c r="F133" s="177"/>
      <c r="G133" s="192"/>
      <c r="H133" s="179"/>
      <c r="I133" s="339" t="e">
        <f>IF(#REF!="",#REF!*#REF!,IF(#REF!=0,#REF!*#REF!,#REF!*#REF!*#REF!))</f>
        <v>#REF!</v>
      </c>
      <c r="J133" s="180" t="e">
        <f>#REF!*#REF!</f>
        <v>#REF!</v>
      </c>
      <c r="K133" s="178" t="e">
        <f>#REF!*mo</f>
        <v>#REF!</v>
      </c>
      <c r="L133" s="178" t="e">
        <f t="shared" ref="L133" si="27">J133*mo</f>
        <v>#REF!</v>
      </c>
      <c r="M133" s="178" t="e">
        <f>#REF!*#REF!</f>
        <v>#REF!</v>
      </c>
      <c r="N133" s="178" t="e">
        <f>#REF!+K133+#REF!</f>
        <v>#REF!</v>
      </c>
      <c r="O133" s="181" t="e">
        <f t="shared" ref="O133:O196" si="28">M133+L133+I133</f>
        <v>#REF!</v>
      </c>
    </row>
    <row r="134" spans="1:16" outlineLevel="1">
      <c r="A134" s="157" t="str">
        <f>$A$14&amp;".3"</f>
        <v>3.3</v>
      </c>
      <c r="B134" s="158" t="s">
        <v>865</v>
      </c>
      <c r="C134" s="190"/>
      <c r="D134" s="191"/>
      <c r="E134" s="176"/>
      <c r="F134" s="177"/>
      <c r="G134" s="192"/>
      <c r="H134" s="208"/>
      <c r="I134" s="339" t="e">
        <f>IF(#REF!="",#REF!*#REF!,IF(#REF!=0,#REF!*#REF!,#REF!*#REF!*#REF!))</f>
        <v>#REF!</v>
      </c>
      <c r="J134" s="180" t="e">
        <f>#REF!*#REF!</f>
        <v>#REF!</v>
      </c>
      <c r="K134" s="178" t="e">
        <f>#REF!*mo</f>
        <v>#REF!</v>
      </c>
      <c r="L134" s="178" t="e">
        <f t="shared" ref="L134:L211" si="29">J134*mo</f>
        <v>#REF!</v>
      </c>
      <c r="M134" s="178" t="e">
        <f>#REF!*#REF!</f>
        <v>#REF!</v>
      </c>
      <c r="N134" s="178" t="e">
        <f>#REF!+K134+#REF!</f>
        <v>#REF!</v>
      </c>
      <c r="O134" s="181" t="e">
        <f t="shared" si="28"/>
        <v>#REF!</v>
      </c>
      <c r="P134" s="193"/>
    </row>
    <row r="135" spans="1:16" outlineLevel="1">
      <c r="A135" s="157" t="str">
        <f>$A$134&amp;".1"</f>
        <v>3.3.1</v>
      </c>
      <c r="B135" s="158" t="s">
        <v>866</v>
      </c>
      <c r="C135" s="190"/>
      <c r="D135" s="191"/>
      <c r="E135" s="176"/>
      <c r="F135" s="177"/>
      <c r="G135" s="192">
        <f>SUM(F136:F202)</f>
        <v>0</v>
      </c>
      <c r="H135" s="179"/>
      <c r="I135" s="339" t="e">
        <f>IF(#REF!="",#REF!*#REF!,IF(#REF!=0,#REF!*#REF!,#REF!*#REF!*#REF!))</f>
        <v>#REF!</v>
      </c>
      <c r="J135" s="180" t="e">
        <f>#REF!*#REF!</f>
        <v>#REF!</v>
      </c>
      <c r="K135" s="178" t="e">
        <f>#REF!*mo</f>
        <v>#REF!</v>
      </c>
      <c r="L135" s="178" t="e">
        <f t="shared" si="29"/>
        <v>#REF!</v>
      </c>
      <c r="M135" s="178" t="e">
        <f>#REF!*#REF!</f>
        <v>#REF!</v>
      </c>
      <c r="N135" s="178" t="e">
        <f>#REF!+K135+#REF!</f>
        <v>#REF!</v>
      </c>
      <c r="O135" s="181" t="e">
        <f t="shared" si="28"/>
        <v>#REF!</v>
      </c>
      <c r="P135" s="193"/>
    </row>
    <row r="136" spans="1:16" outlineLevel="2">
      <c r="A136" s="155"/>
      <c r="B136" s="156"/>
      <c r="C136" s="190"/>
      <c r="D136" s="191"/>
      <c r="E136" s="176"/>
      <c r="F136" s="177"/>
      <c r="G136" s="192"/>
      <c r="H136" s="179"/>
      <c r="I136" s="339" t="e">
        <f>IF(#REF!="",#REF!*#REF!,IF(#REF!=0,#REF!*#REF!,#REF!*#REF!*#REF!))</f>
        <v>#REF!</v>
      </c>
      <c r="J136" s="180" t="e">
        <f>#REF!*#REF!</f>
        <v>#REF!</v>
      </c>
      <c r="K136" s="178" t="e">
        <f>#REF!*mo</f>
        <v>#REF!</v>
      </c>
      <c r="L136" s="178" t="e">
        <f t="shared" si="29"/>
        <v>#REF!</v>
      </c>
      <c r="M136" s="178" t="e">
        <f>#REF!*#REF!</f>
        <v>#REF!</v>
      </c>
      <c r="N136" s="178" t="e">
        <f>#REF!+K136+#REF!</f>
        <v>#REF!</v>
      </c>
      <c r="O136" s="181" t="e">
        <f t="shared" si="28"/>
        <v>#REF!</v>
      </c>
      <c r="P136" s="193"/>
    </row>
    <row r="137" spans="1:16" s="193" customFormat="1" outlineLevel="2">
      <c r="A137" s="155"/>
      <c r="B137" s="156" t="s">
        <v>867</v>
      </c>
      <c r="C137" s="190"/>
      <c r="D137" s="191"/>
      <c r="E137" s="176"/>
      <c r="F137" s="177"/>
      <c r="G137" s="192"/>
      <c r="H137" s="179"/>
      <c r="I137" s="339" t="e">
        <f>IF(#REF!="",#REF!*#REF!,IF(#REF!=0,#REF!*#REF!,#REF!*#REF!*#REF!))</f>
        <v>#REF!</v>
      </c>
      <c r="J137" s="180" t="e">
        <f>#REF!*#REF!</f>
        <v>#REF!</v>
      </c>
      <c r="K137" s="178" t="e">
        <f>#REF!*mo</f>
        <v>#REF!</v>
      </c>
      <c r="L137" s="178" t="e">
        <f t="shared" si="29"/>
        <v>#REF!</v>
      </c>
      <c r="M137" s="178" t="e">
        <f>#REF!*#REF!</f>
        <v>#REF!</v>
      </c>
      <c r="N137" s="178" t="e">
        <f>#REF!+K137+#REF!</f>
        <v>#REF!</v>
      </c>
      <c r="O137" s="181" t="e">
        <f t="shared" si="28"/>
        <v>#REF!</v>
      </c>
    </row>
    <row r="138" spans="1:16" s="193" customFormat="1" outlineLevel="2">
      <c r="A138" s="155"/>
      <c r="B138" s="197" t="s">
        <v>868</v>
      </c>
      <c r="C138" s="190" t="s">
        <v>123</v>
      </c>
      <c r="D138" s="191"/>
      <c r="E138" s="176"/>
      <c r="F138" s="177"/>
      <c r="G138" s="192"/>
      <c r="H138" s="179"/>
      <c r="I138" s="339" t="e">
        <f>IF(#REF!="",#REF!*#REF!,IF(#REF!=0,#REF!*#REF!,#REF!*#REF!*#REF!))</f>
        <v>#REF!</v>
      </c>
      <c r="J138" s="180" t="e">
        <f>#REF!*#REF!</f>
        <v>#REF!</v>
      </c>
      <c r="K138" s="178" t="e">
        <f>#REF!*mo</f>
        <v>#REF!</v>
      </c>
      <c r="L138" s="178" t="e">
        <f t="shared" si="29"/>
        <v>#REF!</v>
      </c>
      <c r="M138" s="178" t="e">
        <f>#REF!*#REF!</f>
        <v>#REF!</v>
      </c>
      <c r="N138" s="178" t="e">
        <f>#REF!+K138+#REF!</f>
        <v>#REF!</v>
      </c>
      <c r="O138" s="181" t="e">
        <f t="shared" si="28"/>
        <v>#REF!</v>
      </c>
    </row>
    <row r="139" spans="1:16" s="193" customFormat="1" outlineLevel="2">
      <c r="A139" s="155"/>
      <c r="B139" s="197" t="s">
        <v>869</v>
      </c>
      <c r="C139" s="190" t="s">
        <v>123</v>
      </c>
      <c r="D139" s="191"/>
      <c r="E139" s="176"/>
      <c r="F139" s="177"/>
      <c r="G139" s="192"/>
      <c r="H139" s="179"/>
      <c r="I139" s="339" t="e">
        <f>IF(#REF!="",#REF!*#REF!,IF(#REF!=0,#REF!*#REF!,#REF!*#REF!*#REF!))</f>
        <v>#REF!</v>
      </c>
      <c r="J139" s="180" t="e">
        <f>#REF!*#REF!</f>
        <v>#REF!</v>
      </c>
      <c r="K139" s="178" t="e">
        <f>#REF!*mo</f>
        <v>#REF!</v>
      </c>
      <c r="L139" s="178" t="e">
        <f t="shared" si="29"/>
        <v>#REF!</v>
      </c>
      <c r="M139" s="178" t="e">
        <f>#REF!*#REF!</f>
        <v>#REF!</v>
      </c>
      <c r="N139" s="178" t="e">
        <f>#REF!+K139+#REF!</f>
        <v>#REF!</v>
      </c>
      <c r="O139" s="181" t="e">
        <f t="shared" si="28"/>
        <v>#REF!</v>
      </c>
    </row>
    <row r="140" spans="1:16" s="193" customFormat="1" outlineLevel="2">
      <c r="A140" s="155"/>
      <c r="B140" s="197" t="s">
        <v>870</v>
      </c>
      <c r="C140" s="190" t="s">
        <v>123</v>
      </c>
      <c r="D140" s="191"/>
      <c r="E140" s="176"/>
      <c r="F140" s="177"/>
      <c r="G140" s="192"/>
      <c r="H140" s="179"/>
      <c r="I140" s="339" t="e">
        <f>IF(#REF!="",#REF!*#REF!,IF(#REF!=0,#REF!*#REF!,#REF!*#REF!*#REF!))</f>
        <v>#REF!</v>
      </c>
      <c r="J140" s="180" t="e">
        <f>#REF!*#REF!</f>
        <v>#REF!</v>
      </c>
      <c r="K140" s="178" t="e">
        <f>#REF!*mo</f>
        <v>#REF!</v>
      </c>
      <c r="L140" s="178" t="e">
        <f t="shared" ref="L140" si="30">J140*mo</f>
        <v>#REF!</v>
      </c>
      <c r="M140" s="178" t="e">
        <f>#REF!*#REF!</f>
        <v>#REF!</v>
      </c>
      <c r="N140" s="178" t="e">
        <f>#REF!+K140+#REF!</f>
        <v>#REF!</v>
      </c>
      <c r="O140" s="181" t="e">
        <f t="shared" si="28"/>
        <v>#REF!</v>
      </c>
    </row>
    <row r="141" spans="1:16" s="193" customFormat="1" outlineLevel="2">
      <c r="A141" s="155"/>
      <c r="B141" s="197" t="s">
        <v>871</v>
      </c>
      <c r="C141" s="190" t="s">
        <v>123</v>
      </c>
      <c r="D141" s="191"/>
      <c r="E141" s="176"/>
      <c r="F141" s="177"/>
      <c r="G141" s="192"/>
      <c r="H141" s="179"/>
      <c r="I141" s="339" t="e">
        <f>IF(#REF!="",#REF!*#REF!,IF(#REF!=0,#REF!*#REF!,#REF!*#REF!*#REF!))</f>
        <v>#REF!</v>
      </c>
      <c r="J141" s="180" t="e">
        <f>#REF!*#REF!</f>
        <v>#REF!</v>
      </c>
      <c r="K141" s="178" t="e">
        <f>#REF!*mo</f>
        <v>#REF!</v>
      </c>
      <c r="L141" s="178" t="e">
        <f t="shared" si="29"/>
        <v>#REF!</v>
      </c>
      <c r="M141" s="178" t="e">
        <f>#REF!*#REF!</f>
        <v>#REF!</v>
      </c>
      <c r="N141" s="178" t="e">
        <f>#REF!+K141+#REF!</f>
        <v>#REF!</v>
      </c>
      <c r="O141" s="181" t="e">
        <f t="shared" si="28"/>
        <v>#REF!</v>
      </c>
    </row>
    <row r="142" spans="1:16" s="193" customFormat="1" outlineLevel="2">
      <c r="A142" s="155"/>
      <c r="B142" s="197" t="s">
        <v>872</v>
      </c>
      <c r="C142" s="190" t="s">
        <v>123</v>
      </c>
      <c r="D142" s="191"/>
      <c r="E142" s="176"/>
      <c r="F142" s="177"/>
      <c r="G142" s="192"/>
      <c r="H142" s="179"/>
      <c r="I142" s="339" t="e">
        <f>IF(#REF!="",#REF!*#REF!,IF(#REF!=0,#REF!*#REF!,#REF!*#REF!*#REF!))</f>
        <v>#REF!</v>
      </c>
      <c r="J142" s="180" t="e">
        <f>#REF!*#REF!</f>
        <v>#REF!</v>
      </c>
      <c r="K142" s="178" t="e">
        <f>#REF!*mo</f>
        <v>#REF!</v>
      </c>
      <c r="L142" s="178" t="e">
        <f t="shared" si="29"/>
        <v>#REF!</v>
      </c>
      <c r="M142" s="178" t="e">
        <f>#REF!*#REF!</f>
        <v>#REF!</v>
      </c>
      <c r="N142" s="178" t="e">
        <f>#REF!+K142+#REF!</f>
        <v>#REF!</v>
      </c>
      <c r="O142" s="181" t="e">
        <f t="shared" si="28"/>
        <v>#REF!</v>
      </c>
    </row>
    <row r="143" spans="1:16" s="193" customFormat="1" outlineLevel="2">
      <c r="A143" s="155"/>
      <c r="B143" s="197" t="s">
        <v>873</v>
      </c>
      <c r="C143" s="190" t="s">
        <v>123</v>
      </c>
      <c r="D143" s="191"/>
      <c r="E143" s="176"/>
      <c r="F143" s="177"/>
      <c r="G143" s="192"/>
      <c r="H143" s="179"/>
      <c r="I143" s="339" t="e">
        <f>IF(#REF!="",#REF!*#REF!,IF(#REF!=0,#REF!*#REF!,#REF!*#REF!*#REF!))</f>
        <v>#REF!</v>
      </c>
      <c r="J143" s="180" t="e">
        <f>#REF!*#REF!</f>
        <v>#REF!</v>
      </c>
      <c r="K143" s="178" t="e">
        <f>#REF!*mo</f>
        <v>#REF!</v>
      </c>
      <c r="L143" s="178" t="e">
        <f t="shared" si="29"/>
        <v>#REF!</v>
      </c>
      <c r="M143" s="178" t="e">
        <f>#REF!*#REF!</f>
        <v>#REF!</v>
      </c>
      <c r="N143" s="178" t="e">
        <f>#REF!+K143+#REF!</f>
        <v>#REF!</v>
      </c>
      <c r="O143" s="181" t="e">
        <f t="shared" si="28"/>
        <v>#REF!</v>
      </c>
    </row>
    <row r="144" spans="1:16" s="193" customFormat="1" outlineLevel="2">
      <c r="A144" s="155"/>
      <c r="B144" s="197" t="s">
        <v>874</v>
      </c>
      <c r="C144" s="190" t="s">
        <v>123</v>
      </c>
      <c r="D144" s="191"/>
      <c r="E144" s="176"/>
      <c r="F144" s="177"/>
      <c r="G144" s="192"/>
      <c r="H144" s="179"/>
      <c r="I144" s="339" t="e">
        <f>IF(#REF!="",#REF!*#REF!,IF(#REF!=0,#REF!*#REF!,#REF!*#REF!*#REF!))</f>
        <v>#REF!</v>
      </c>
      <c r="J144" s="180" t="e">
        <f>#REF!*#REF!</f>
        <v>#REF!</v>
      </c>
      <c r="K144" s="178" t="e">
        <f>#REF!*mo</f>
        <v>#REF!</v>
      </c>
      <c r="L144" s="178" t="e">
        <f t="shared" si="29"/>
        <v>#REF!</v>
      </c>
      <c r="M144" s="178" t="e">
        <f>#REF!*#REF!</f>
        <v>#REF!</v>
      </c>
      <c r="N144" s="178" t="e">
        <f>#REF!+K144+#REF!</f>
        <v>#REF!</v>
      </c>
      <c r="O144" s="181" t="e">
        <f t="shared" si="28"/>
        <v>#REF!</v>
      </c>
    </row>
    <row r="145" spans="1:15" s="193" customFormat="1" outlineLevel="2">
      <c r="A145" s="155"/>
      <c r="B145" s="197" t="s">
        <v>875</v>
      </c>
      <c r="C145" s="190" t="s">
        <v>123</v>
      </c>
      <c r="D145" s="191"/>
      <c r="E145" s="176"/>
      <c r="F145" s="177"/>
      <c r="G145" s="192"/>
      <c r="H145" s="179"/>
      <c r="I145" s="339" t="e">
        <f>IF(#REF!="",#REF!*#REF!,IF(#REF!=0,#REF!*#REF!,#REF!*#REF!*#REF!))</f>
        <v>#REF!</v>
      </c>
      <c r="J145" s="180" t="e">
        <f>#REF!*#REF!</f>
        <v>#REF!</v>
      </c>
      <c r="K145" s="178" t="e">
        <f>#REF!*mo</f>
        <v>#REF!</v>
      </c>
      <c r="L145" s="178" t="e">
        <f t="shared" si="29"/>
        <v>#REF!</v>
      </c>
      <c r="M145" s="178" t="e">
        <f>#REF!*#REF!</f>
        <v>#REF!</v>
      </c>
      <c r="N145" s="178" t="e">
        <f>#REF!+K145+#REF!</f>
        <v>#REF!</v>
      </c>
      <c r="O145" s="181" t="e">
        <f t="shared" si="28"/>
        <v>#REF!</v>
      </c>
    </row>
    <row r="146" spans="1:15" s="193" customFormat="1" ht="12.75" customHeight="1" outlineLevel="2">
      <c r="A146" s="155"/>
      <c r="B146" s="197" t="s">
        <v>876</v>
      </c>
      <c r="C146" s="190" t="s">
        <v>123</v>
      </c>
      <c r="D146" s="191"/>
      <c r="E146" s="176"/>
      <c r="F146" s="177"/>
      <c r="G146" s="192"/>
      <c r="H146" s="179"/>
      <c r="I146" s="339" t="e">
        <f>IF(#REF!="",#REF!*#REF!,IF(#REF!=0,#REF!*#REF!,#REF!*#REF!*#REF!))</f>
        <v>#REF!</v>
      </c>
      <c r="J146" s="180" t="e">
        <f>#REF!*#REF!</f>
        <v>#REF!</v>
      </c>
      <c r="K146" s="178" t="e">
        <f>#REF!*mo</f>
        <v>#REF!</v>
      </c>
      <c r="L146" s="178" t="e">
        <f t="shared" si="29"/>
        <v>#REF!</v>
      </c>
      <c r="M146" s="178" t="e">
        <f>#REF!*#REF!</f>
        <v>#REF!</v>
      </c>
      <c r="N146" s="178" t="e">
        <f>#REF!+K146+#REF!</f>
        <v>#REF!</v>
      </c>
      <c r="O146" s="181" t="e">
        <f t="shared" si="28"/>
        <v>#REF!</v>
      </c>
    </row>
    <row r="147" spans="1:15" s="193" customFormat="1" outlineLevel="2">
      <c r="A147" s="155"/>
      <c r="B147" s="197" t="s">
        <v>877</v>
      </c>
      <c r="C147" s="190" t="s">
        <v>123</v>
      </c>
      <c r="D147" s="191"/>
      <c r="E147" s="176"/>
      <c r="F147" s="177"/>
      <c r="G147" s="192"/>
      <c r="H147" s="179"/>
      <c r="I147" s="339" t="e">
        <f>IF(#REF!="",#REF!*#REF!,IF(#REF!=0,#REF!*#REF!,#REF!*#REF!*#REF!))</f>
        <v>#REF!</v>
      </c>
      <c r="J147" s="180" t="e">
        <f>#REF!*#REF!</f>
        <v>#REF!</v>
      </c>
      <c r="K147" s="178" t="e">
        <f>#REF!*mo</f>
        <v>#REF!</v>
      </c>
      <c r="L147" s="178" t="e">
        <f t="shared" si="29"/>
        <v>#REF!</v>
      </c>
      <c r="M147" s="178" t="e">
        <f>#REF!*#REF!</f>
        <v>#REF!</v>
      </c>
      <c r="N147" s="178" t="e">
        <f>#REF!+K147+#REF!</f>
        <v>#REF!</v>
      </c>
      <c r="O147" s="181" t="e">
        <f t="shared" si="28"/>
        <v>#REF!</v>
      </c>
    </row>
    <row r="148" spans="1:15" s="193" customFormat="1" outlineLevel="2">
      <c r="A148" s="155"/>
      <c r="B148" s="197" t="s">
        <v>878</v>
      </c>
      <c r="C148" s="190" t="s">
        <v>123</v>
      </c>
      <c r="D148" s="191"/>
      <c r="E148" s="176"/>
      <c r="F148" s="177"/>
      <c r="G148" s="192"/>
      <c r="H148" s="179"/>
      <c r="I148" s="339" t="e">
        <f>IF(#REF!="",#REF!*#REF!,IF(#REF!=0,#REF!*#REF!,#REF!*#REF!*#REF!))</f>
        <v>#REF!</v>
      </c>
      <c r="J148" s="180" t="e">
        <f>#REF!*#REF!</f>
        <v>#REF!</v>
      </c>
      <c r="K148" s="178" t="e">
        <f>#REF!*mo</f>
        <v>#REF!</v>
      </c>
      <c r="L148" s="178" t="e">
        <f t="shared" si="29"/>
        <v>#REF!</v>
      </c>
      <c r="M148" s="178" t="e">
        <f>#REF!*#REF!</f>
        <v>#REF!</v>
      </c>
      <c r="N148" s="178" t="e">
        <f>#REF!+K148+#REF!</f>
        <v>#REF!</v>
      </c>
      <c r="O148" s="181" t="e">
        <f t="shared" si="28"/>
        <v>#REF!</v>
      </c>
    </row>
    <row r="149" spans="1:15" s="193" customFormat="1" outlineLevel="2">
      <c r="A149" s="155"/>
      <c r="B149" s="197" t="s">
        <v>879</v>
      </c>
      <c r="C149" s="190" t="s">
        <v>123</v>
      </c>
      <c r="D149" s="191"/>
      <c r="E149" s="176"/>
      <c r="F149" s="177"/>
      <c r="G149" s="192"/>
      <c r="H149" s="179"/>
      <c r="I149" s="339" t="e">
        <f>IF(#REF!="",#REF!*#REF!,IF(#REF!=0,#REF!*#REF!,#REF!*#REF!*#REF!))</f>
        <v>#REF!</v>
      </c>
      <c r="J149" s="180" t="e">
        <f>#REF!*#REF!</f>
        <v>#REF!</v>
      </c>
      <c r="K149" s="178" t="e">
        <f>#REF!*mo</f>
        <v>#REF!</v>
      </c>
      <c r="L149" s="178" t="e">
        <f t="shared" si="29"/>
        <v>#REF!</v>
      </c>
      <c r="M149" s="178" t="e">
        <f>#REF!*#REF!</f>
        <v>#REF!</v>
      </c>
      <c r="N149" s="178" t="e">
        <f>#REF!+K149+#REF!</f>
        <v>#REF!</v>
      </c>
      <c r="O149" s="181" t="e">
        <f t="shared" si="28"/>
        <v>#REF!</v>
      </c>
    </row>
    <row r="150" spans="1:15" s="193" customFormat="1" outlineLevel="2">
      <c r="A150" s="155"/>
      <c r="B150" s="197"/>
      <c r="C150" s="190"/>
      <c r="D150" s="191"/>
      <c r="E150" s="176"/>
      <c r="F150" s="177"/>
      <c r="G150" s="192"/>
      <c r="H150" s="179"/>
      <c r="I150" s="339" t="e">
        <f>IF(#REF!="",#REF!*#REF!,IF(#REF!=0,#REF!*#REF!,#REF!*#REF!*#REF!))</f>
        <v>#REF!</v>
      </c>
      <c r="J150" s="180" t="e">
        <f>#REF!*#REF!</f>
        <v>#REF!</v>
      </c>
      <c r="K150" s="178" t="e">
        <f>#REF!*mo</f>
        <v>#REF!</v>
      </c>
      <c r="L150" s="178" t="e">
        <f t="shared" si="29"/>
        <v>#REF!</v>
      </c>
      <c r="M150" s="178" t="e">
        <f>#REF!*#REF!</f>
        <v>#REF!</v>
      </c>
      <c r="N150" s="178" t="e">
        <f>#REF!+K150+#REF!</f>
        <v>#REF!</v>
      </c>
      <c r="O150" s="181" t="e">
        <f t="shared" si="28"/>
        <v>#REF!</v>
      </c>
    </row>
    <row r="151" spans="1:15" s="193" customFormat="1" outlineLevel="2">
      <c r="A151" s="155"/>
      <c r="B151" s="156" t="s">
        <v>880</v>
      </c>
      <c r="C151" s="190"/>
      <c r="D151" s="191"/>
      <c r="E151" s="176"/>
      <c r="F151" s="177"/>
      <c r="G151" s="192"/>
      <c r="H151" s="179"/>
      <c r="I151" s="339" t="e">
        <f>IF(#REF!="",#REF!*#REF!,IF(#REF!=0,#REF!*#REF!,#REF!*#REF!*#REF!))</f>
        <v>#REF!</v>
      </c>
      <c r="J151" s="180" t="e">
        <f>#REF!*#REF!</f>
        <v>#REF!</v>
      </c>
      <c r="K151" s="178" t="e">
        <f>#REF!*mo</f>
        <v>#REF!</v>
      </c>
      <c r="L151" s="178" t="e">
        <f t="shared" si="29"/>
        <v>#REF!</v>
      </c>
      <c r="M151" s="178" t="e">
        <f>#REF!*#REF!</f>
        <v>#REF!</v>
      </c>
      <c r="N151" s="178" t="e">
        <f>#REF!+K151+#REF!</f>
        <v>#REF!</v>
      </c>
      <c r="O151" s="181" t="e">
        <f t="shared" si="28"/>
        <v>#REF!</v>
      </c>
    </row>
    <row r="152" spans="1:15" s="193" customFormat="1" outlineLevel="2">
      <c r="A152" s="155"/>
      <c r="B152" s="197" t="s">
        <v>873</v>
      </c>
      <c r="C152" s="190" t="s">
        <v>123</v>
      </c>
      <c r="D152" s="191"/>
      <c r="E152" s="176"/>
      <c r="F152" s="177"/>
      <c r="G152" s="192"/>
      <c r="H152" s="179"/>
      <c r="I152" s="339" t="e">
        <f>IF(#REF!="",#REF!*#REF!,IF(#REF!=0,#REF!*#REF!,#REF!*#REF!*#REF!))</f>
        <v>#REF!</v>
      </c>
      <c r="J152" s="180" t="e">
        <f>#REF!*#REF!</f>
        <v>#REF!</v>
      </c>
      <c r="K152" s="178" t="e">
        <f>#REF!*mo</f>
        <v>#REF!</v>
      </c>
      <c r="L152" s="178" t="e">
        <f t="shared" si="29"/>
        <v>#REF!</v>
      </c>
      <c r="M152" s="178" t="e">
        <f>#REF!*#REF!</f>
        <v>#REF!</v>
      </c>
      <c r="N152" s="178" t="e">
        <f>#REF!+K152+#REF!</f>
        <v>#REF!</v>
      </c>
      <c r="O152" s="181" t="e">
        <f t="shared" si="28"/>
        <v>#REF!</v>
      </c>
    </row>
    <row r="153" spans="1:15" s="193" customFormat="1" outlineLevel="2">
      <c r="A153" s="155"/>
      <c r="B153" s="197" t="s">
        <v>874</v>
      </c>
      <c r="C153" s="190" t="s">
        <v>123</v>
      </c>
      <c r="D153" s="191"/>
      <c r="E153" s="176"/>
      <c r="F153" s="177"/>
      <c r="G153" s="192"/>
      <c r="H153" s="179"/>
      <c r="I153" s="339" t="e">
        <f>IF(#REF!="",#REF!*#REF!,IF(#REF!=0,#REF!*#REF!,#REF!*#REF!*#REF!))</f>
        <v>#REF!</v>
      </c>
      <c r="J153" s="180" t="e">
        <f>#REF!*#REF!</f>
        <v>#REF!</v>
      </c>
      <c r="K153" s="178" t="e">
        <f>#REF!*mo</f>
        <v>#REF!</v>
      </c>
      <c r="L153" s="178" t="e">
        <f t="shared" si="29"/>
        <v>#REF!</v>
      </c>
      <c r="M153" s="178" t="e">
        <f>#REF!*#REF!</f>
        <v>#REF!</v>
      </c>
      <c r="N153" s="178" t="e">
        <f>#REF!+K153+#REF!</f>
        <v>#REF!</v>
      </c>
      <c r="O153" s="181" t="e">
        <f t="shared" si="28"/>
        <v>#REF!</v>
      </c>
    </row>
    <row r="154" spans="1:15" s="193" customFormat="1" outlineLevel="2">
      <c r="A154" s="155"/>
      <c r="B154" s="197" t="s">
        <v>875</v>
      </c>
      <c r="C154" s="190" t="s">
        <v>123</v>
      </c>
      <c r="D154" s="191"/>
      <c r="E154" s="176"/>
      <c r="F154" s="177"/>
      <c r="G154" s="192"/>
      <c r="H154" s="179"/>
      <c r="I154" s="339" t="e">
        <f>IF(#REF!="",#REF!*#REF!,IF(#REF!=0,#REF!*#REF!,#REF!*#REF!*#REF!))</f>
        <v>#REF!</v>
      </c>
      <c r="J154" s="180" t="e">
        <f>#REF!*#REF!</f>
        <v>#REF!</v>
      </c>
      <c r="K154" s="178" t="e">
        <f>#REF!*mo</f>
        <v>#REF!</v>
      </c>
      <c r="L154" s="178" t="e">
        <f t="shared" si="29"/>
        <v>#REF!</v>
      </c>
      <c r="M154" s="178" t="e">
        <f>#REF!*#REF!</f>
        <v>#REF!</v>
      </c>
      <c r="N154" s="178" t="e">
        <f>#REF!+K154+#REF!</f>
        <v>#REF!</v>
      </c>
      <c r="O154" s="181" t="e">
        <f t="shared" si="28"/>
        <v>#REF!</v>
      </c>
    </row>
    <row r="155" spans="1:15" s="193" customFormat="1" outlineLevel="2">
      <c r="A155" s="155"/>
      <c r="B155" s="197" t="s">
        <v>876</v>
      </c>
      <c r="C155" s="190" t="s">
        <v>123</v>
      </c>
      <c r="D155" s="191"/>
      <c r="E155" s="176"/>
      <c r="F155" s="177"/>
      <c r="G155" s="192"/>
      <c r="H155" s="179"/>
      <c r="I155" s="339" t="e">
        <f>IF(#REF!="",#REF!*#REF!,IF(#REF!=0,#REF!*#REF!,#REF!*#REF!*#REF!))</f>
        <v>#REF!</v>
      </c>
      <c r="J155" s="180" t="e">
        <f>#REF!*#REF!</f>
        <v>#REF!</v>
      </c>
      <c r="K155" s="178" t="e">
        <f>#REF!*mo</f>
        <v>#REF!</v>
      </c>
      <c r="L155" s="178" t="e">
        <f t="shared" si="29"/>
        <v>#REF!</v>
      </c>
      <c r="M155" s="178" t="e">
        <f>#REF!*#REF!</f>
        <v>#REF!</v>
      </c>
      <c r="N155" s="178" t="e">
        <f>#REF!+K155+#REF!</f>
        <v>#REF!</v>
      </c>
      <c r="O155" s="181" t="e">
        <f t="shared" si="28"/>
        <v>#REF!</v>
      </c>
    </row>
    <row r="156" spans="1:15" s="193" customFormat="1" outlineLevel="2">
      <c r="A156" s="155"/>
      <c r="B156" s="197" t="s">
        <v>877</v>
      </c>
      <c r="C156" s="190" t="s">
        <v>123</v>
      </c>
      <c r="D156" s="191"/>
      <c r="E156" s="176"/>
      <c r="F156" s="177"/>
      <c r="G156" s="192"/>
      <c r="H156" s="179"/>
      <c r="I156" s="339" t="e">
        <f>IF(#REF!="",#REF!*#REF!,IF(#REF!=0,#REF!*#REF!,#REF!*#REF!*#REF!))</f>
        <v>#REF!</v>
      </c>
      <c r="J156" s="180" t="e">
        <f>#REF!*#REF!</f>
        <v>#REF!</v>
      </c>
      <c r="K156" s="178" t="e">
        <f>#REF!*mo</f>
        <v>#REF!</v>
      </c>
      <c r="L156" s="178" t="e">
        <f t="shared" si="29"/>
        <v>#REF!</v>
      </c>
      <c r="M156" s="178" t="e">
        <f>#REF!*#REF!</f>
        <v>#REF!</v>
      </c>
      <c r="N156" s="178" t="e">
        <f>#REF!+K156+#REF!</f>
        <v>#REF!</v>
      </c>
      <c r="O156" s="181" t="e">
        <f t="shared" si="28"/>
        <v>#REF!</v>
      </c>
    </row>
    <row r="157" spans="1:15" s="193" customFormat="1" outlineLevel="2">
      <c r="A157" s="155"/>
      <c r="B157" s="197" t="s">
        <v>878</v>
      </c>
      <c r="C157" s="190" t="s">
        <v>123</v>
      </c>
      <c r="D157" s="191"/>
      <c r="E157" s="176"/>
      <c r="F157" s="177"/>
      <c r="G157" s="192"/>
      <c r="H157" s="179"/>
      <c r="I157" s="339" t="e">
        <f>IF(#REF!="",#REF!*#REF!,IF(#REF!=0,#REF!*#REF!,#REF!*#REF!*#REF!))</f>
        <v>#REF!</v>
      </c>
      <c r="J157" s="180" t="e">
        <f>#REF!*#REF!</f>
        <v>#REF!</v>
      </c>
      <c r="K157" s="178" t="e">
        <f>#REF!*mo</f>
        <v>#REF!</v>
      </c>
      <c r="L157" s="178" t="e">
        <f t="shared" si="29"/>
        <v>#REF!</v>
      </c>
      <c r="M157" s="178" t="e">
        <f>#REF!*#REF!</f>
        <v>#REF!</v>
      </c>
      <c r="N157" s="178" t="e">
        <f>#REF!+K157+#REF!</f>
        <v>#REF!</v>
      </c>
      <c r="O157" s="181" t="e">
        <f t="shared" si="28"/>
        <v>#REF!</v>
      </c>
    </row>
    <row r="158" spans="1:15" s="193" customFormat="1" outlineLevel="2">
      <c r="A158" s="155"/>
      <c r="B158" s="197" t="s">
        <v>881</v>
      </c>
      <c r="C158" s="190" t="s">
        <v>123</v>
      </c>
      <c r="D158" s="191"/>
      <c r="E158" s="176"/>
      <c r="F158" s="177"/>
      <c r="G158" s="192"/>
      <c r="H158" s="179"/>
      <c r="I158" s="339" t="e">
        <f>IF(#REF!="",#REF!*#REF!,IF(#REF!=0,#REF!*#REF!,#REF!*#REF!*#REF!))</f>
        <v>#REF!</v>
      </c>
      <c r="J158" s="180" t="e">
        <f>#REF!*#REF!</f>
        <v>#REF!</v>
      </c>
      <c r="K158" s="178" t="e">
        <f>#REF!*mo</f>
        <v>#REF!</v>
      </c>
      <c r="L158" s="178" t="e">
        <f t="shared" si="29"/>
        <v>#REF!</v>
      </c>
      <c r="M158" s="178" t="e">
        <f>#REF!*#REF!</f>
        <v>#REF!</v>
      </c>
      <c r="N158" s="178" t="e">
        <f>#REF!+K158+#REF!</f>
        <v>#REF!</v>
      </c>
      <c r="O158" s="181" t="e">
        <f t="shared" si="28"/>
        <v>#REF!</v>
      </c>
    </row>
    <row r="159" spans="1:15" s="193" customFormat="1" outlineLevel="2">
      <c r="A159" s="155"/>
      <c r="B159" s="197"/>
      <c r="C159" s="190"/>
      <c r="D159" s="191"/>
      <c r="E159" s="176"/>
      <c r="F159" s="177"/>
      <c r="G159" s="192"/>
      <c r="H159" s="179"/>
      <c r="I159" s="339" t="e">
        <f>IF(#REF!="",#REF!*#REF!,IF(#REF!=0,#REF!*#REF!,#REF!*#REF!*#REF!))</f>
        <v>#REF!</v>
      </c>
      <c r="J159" s="180" t="e">
        <f>#REF!*#REF!</f>
        <v>#REF!</v>
      </c>
      <c r="K159" s="178" t="e">
        <f>#REF!*mo</f>
        <v>#REF!</v>
      </c>
      <c r="L159" s="178" t="e">
        <f t="shared" si="29"/>
        <v>#REF!</v>
      </c>
      <c r="M159" s="178" t="e">
        <f>#REF!*#REF!</f>
        <v>#REF!</v>
      </c>
      <c r="N159" s="178" t="e">
        <f>#REF!+K159+#REF!</f>
        <v>#REF!</v>
      </c>
      <c r="O159" s="181" t="e">
        <f t="shared" si="28"/>
        <v>#REF!</v>
      </c>
    </row>
    <row r="160" spans="1:15" s="193" customFormat="1" outlineLevel="2">
      <c r="A160" s="155"/>
      <c r="B160" s="156" t="s">
        <v>882</v>
      </c>
      <c r="C160" s="190"/>
      <c r="D160" s="191"/>
      <c r="E160" s="176"/>
      <c r="F160" s="177"/>
      <c r="G160" s="192"/>
      <c r="H160" s="179"/>
      <c r="I160" s="339" t="e">
        <f>IF(#REF!="",#REF!*#REF!,IF(#REF!=0,#REF!*#REF!,#REF!*#REF!*#REF!))</f>
        <v>#REF!</v>
      </c>
      <c r="J160" s="180" t="e">
        <f>#REF!*#REF!</f>
        <v>#REF!</v>
      </c>
      <c r="K160" s="178" t="e">
        <f>#REF!*mo</f>
        <v>#REF!</v>
      </c>
      <c r="L160" s="178" t="e">
        <f t="shared" si="29"/>
        <v>#REF!</v>
      </c>
      <c r="M160" s="178" t="e">
        <f>#REF!*#REF!</f>
        <v>#REF!</v>
      </c>
      <c r="N160" s="178" t="e">
        <f>#REF!+K160+#REF!</f>
        <v>#REF!</v>
      </c>
      <c r="O160" s="181" t="e">
        <f t="shared" si="28"/>
        <v>#REF!</v>
      </c>
    </row>
    <row r="161" spans="1:15" s="193" customFormat="1" outlineLevel="2">
      <c r="A161" s="155"/>
      <c r="B161" s="197" t="s">
        <v>868</v>
      </c>
      <c r="C161" s="190" t="s">
        <v>123</v>
      </c>
      <c r="D161" s="191"/>
      <c r="E161" s="176"/>
      <c r="F161" s="177"/>
      <c r="G161" s="192"/>
      <c r="H161" s="179"/>
      <c r="I161" s="339" t="e">
        <f>IF(#REF!="",#REF!*#REF!,IF(#REF!=0,#REF!*#REF!,#REF!*#REF!*#REF!))</f>
        <v>#REF!</v>
      </c>
      <c r="J161" s="180" t="e">
        <f>#REF!*#REF!</f>
        <v>#REF!</v>
      </c>
      <c r="K161" s="178" t="e">
        <f>#REF!*mo</f>
        <v>#REF!</v>
      </c>
      <c r="L161" s="178" t="e">
        <f t="shared" si="29"/>
        <v>#REF!</v>
      </c>
      <c r="M161" s="178" t="e">
        <f>#REF!*#REF!</f>
        <v>#REF!</v>
      </c>
      <c r="N161" s="178" t="e">
        <f>#REF!+K161+#REF!</f>
        <v>#REF!</v>
      </c>
      <c r="O161" s="181" t="e">
        <f t="shared" si="28"/>
        <v>#REF!</v>
      </c>
    </row>
    <row r="162" spans="1:15" s="193" customFormat="1" outlineLevel="2">
      <c r="A162" s="155"/>
      <c r="B162" s="197" t="s">
        <v>869</v>
      </c>
      <c r="C162" s="190" t="s">
        <v>123</v>
      </c>
      <c r="D162" s="191"/>
      <c r="E162" s="176"/>
      <c r="F162" s="177"/>
      <c r="G162" s="192"/>
      <c r="H162" s="179"/>
      <c r="I162" s="339" t="e">
        <f>IF(#REF!="",#REF!*#REF!,IF(#REF!=0,#REF!*#REF!,#REF!*#REF!*#REF!))</f>
        <v>#REF!</v>
      </c>
      <c r="J162" s="180" t="e">
        <f>#REF!*#REF!</f>
        <v>#REF!</v>
      </c>
      <c r="K162" s="178" t="e">
        <f>#REF!*mo</f>
        <v>#REF!</v>
      </c>
      <c r="L162" s="178" t="e">
        <f t="shared" si="29"/>
        <v>#REF!</v>
      </c>
      <c r="M162" s="178" t="e">
        <f>#REF!*#REF!</f>
        <v>#REF!</v>
      </c>
      <c r="N162" s="178" t="e">
        <f>#REF!+K162+#REF!</f>
        <v>#REF!</v>
      </c>
      <c r="O162" s="181" t="e">
        <f t="shared" si="28"/>
        <v>#REF!</v>
      </c>
    </row>
    <row r="163" spans="1:15" s="193" customFormat="1" outlineLevel="2">
      <c r="A163" s="155"/>
      <c r="B163" s="197" t="s">
        <v>870</v>
      </c>
      <c r="C163" s="190" t="s">
        <v>123</v>
      </c>
      <c r="D163" s="191"/>
      <c r="E163" s="176"/>
      <c r="F163" s="177"/>
      <c r="G163" s="192"/>
      <c r="H163" s="179"/>
      <c r="I163" s="339" t="e">
        <f>IF(#REF!="",#REF!*#REF!,IF(#REF!=0,#REF!*#REF!,#REF!*#REF!*#REF!))</f>
        <v>#REF!</v>
      </c>
      <c r="J163" s="180" t="e">
        <f>#REF!*#REF!</f>
        <v>#REF!</v>
      </c>
      <c r="K163" s="178" t="e">
        <f>#REF!*mo</f>
        <v>#REF!</v>
      </c>
      <c r="L163" s="178" t="e">
        <f t="shared" si="29"/>
        <v>#REF!</v>
      </c>
      <c r="M163" s="178" t="e">
        <f>#REF!*#REF!</f>
        <v>#REF!</v>
      </c>
      <c r="N163" s="178" t="e">
        <f>#REF!+K163+#REF!</f>
        <v>#REF!</v>
      </c>
      <c r="O163" s="181" t="e">
        <f t="shared" si="28"/>
        <v>#REF!</v>
      </c>
    </row>
    <row r="164" spans="1:15" s="193" customFormat="1" outlineLevel="2">
      <c r="A164" s="155"/>
      <c r="B164" s="197" t="s">
        <v>871</v>
      </c>
      <c r="C164" s="190" t="s">
        <v>123</v>
      </c>
      <c r="D164" s="191"/>
      <c r="E164" s="176"/>
      <c r="F164" s="177"/>
      <c r="G164" s="192"/>
      <c r="H164" s="179"/>
      <c r="I164" s="339" t="e">
        <f>IF(#REF!="",#REF!*#REF!,IF(#REF!=0,#REF!*#REF!,#REF!*#REF!*#REF!))</f>
        <v>#REF!</v>
      </c>
      <c r="J164" s="180" t="e">
        <f>#REF!*#REF!</f>
        <v>#REF!</v>
      </c>
      <c r="K164" s="178" t="e">
        <f>#REF!*mo</f>
        <v>#REF!</v>
      </c>
      <c r="L164" s="178" t="e">
        <f t="shared" si="29"/>
        <v>#REF!</v>
      </c>
      <c r="M164" s="178" t="e">
        <f>#REF!*#REF!</f>
        <v>#REF!</v>
      </c>
      <c r="N164" s="178" t="e">
        <f>#REF!+K164+#REF!</f>
        <v>#REF!</v>
      </c>
      <c r="O164" s="181" t="e">
        <f t="shared" si="28"/>
        <v>#REF!</v>
      </c>
    </row>
    <row r="165" spans="1:15" s="193" customFormat="1" outlineLevel="2">
      <c r="A165" s="155"/>
      <c r="B165" s="197" t="s">
        <v>872</v>
      </c>
      <c r="C165" s="190" t="s">
        <v>123</v>
      </c>
      <c r="D165" s="191"/>
      <c r="E165" s="176"/>
      <c r="F165" s="177"/>
      <c r="G165" s="192"/>
      <c r="H165" s="179"/>
      <c r="I165" s="339" t="e">
        <f>IF(#REF!="",#REF!*#REF!,IF(#REF!=0,#REF!*#REF!,#REF!*#REF!*#REF!))</f>
        <v>#REF!</v>
      </c>
      <c r="J165" s="180" t="e">
        <f>#REF!*#REF!</f>
        <v>#REF!</v>
      </c>
      <c r="K165" s="178" t="e">
        <f>#REF!*mo</f>
        <v>#REF!</v>
      </c>
      <c r="L165" s="178" t="e">
        <f t="shared" si="29"/>
        <v>#REF!</v>
      </c>
      <c r="M165" s="178" t="e">
        <f>#REF!*#REF!</f>
        <v>#REF!</v>
      </c>
      <c r="N165" s="178" t="e">
        <f>#REF!+K165+#REF!</f>
        <v>#REF!</v>
      </c>
      <c r="O165" s="181" t="e">
        <f t="shared" si="28"/>
        <v>#REF!</v>
      </c>
    </row>
    <row r="166" spans="1:15" s="193" customFormat="1" outlineLevel="2">
      <c r="A166" s="155"/>
      <c r="B166" s="197" t="s">
        <v>873</v>
      </c>
      <c r="C166" s="190" t="s">
        <v>123</v>
      </c>
      <c r="D166" s="191"/>
      <c r="E166" s="176"/>
      <c r="F166" s="177"/>
      <c r="G166" s="192"/>
      <c r="H166" s="179"/>
      <c r="I166" s="339" t="e">
        <f>IF(#REF!="",#REF!*#REF!,IF(#REF!=0,#REF!*#REF!,#REF!*#REF!*#REF!))</f>
        <v>#REF!</v>
      </c>
      <c r="J166" s="180" t="e">
        <f>#REF!*#REF!</f>
        <v>#REF!</v>
      </c>
      <c r="K166" s="178" t="e">
        <f>#REF!*mo</f>
        <v>#REF!</v>
      </c>
      <c r="L166" s="178" t="e">
        <f t="shared" si="29"/>
        <v>#REF!</v>
      </c>
      <c r="M166" s="178" t="e">
        <f>#REF!*#REF!</f>
        <v>#REF!</v>
      </c>
      <c r="N166" s="178" t="e">
        <f>#REF!+K166+#REF!</f>
        <v>#REF!</v>
      </c>
      <c r="O166" s="181" t="e">
        <f t="shared" si="28"/>
        <v>#REF!</v>
      </c>
    </row>
    <row r="167" spans="1:15" s="193" customFormat="1" outlineLevel="2">
      <c r="A167" s="155"/>
      <c r="B167" s="197" t="s">
        <v>874</v>
      </c>
      <c r="C167" s="190" t="s">
        <v>123</v>
      </c>
      <c r="D167" s="191"/>
      <c r="E167" s="176"/>
      <c r="F167" s="177"/>
      <c r="G167" s="192"/>
      <c r="H167" s="179"/>
      <c r="I167" s="339" t="e">
        <f>IF(#REF!="",#REF!*#REF!,IF(#REF!=0,#REF!*#REF!,#REF!*#REF!*#REF!))</f>
        <v>#REF!</v>
      </c>
      <c r="J167" s="180" t="e">
        <f>#REF!*#REF!</f>
        <v>#REF!</v>
      </c>
      <c r="K167" s="178" t="e">
        <f>#REF!*mo</f>
        <v>#REF!</v>
      </c>
      <c r="L167" s="178" t="e">
        <f t="shared" si="29"/>
        <v>#REF!</v>
      </c>
      <c r="M167" s="178" t="e">
        <f>#REF!*#REF!</f>
        <v>#REF!</v>
      </c>
      <c r="N167" s="178" t="e">
        <f>#REF!+K167+#REF!</f>
        <v>#REF!</v>
      </c>
      <c r="O167" s="181" t="e">
        <f t="shared" si="28"/>
        <v>#REF!</v>
      </c>
    </row>
    <row r="168" spans="1:15" s="193" customFormat="1" outlineLevel="2">
      <c r="A168" s="155"/>
      <c r="B168" s="197" t="s">
        <v>875</v>
      </c>
      <c r="C168" s="190" t="s">
        <v>123</v>
      </c>
      <c r="D168" s="191"/>
      <c r="E168" s="176"/>
      <c r="F168" s="177"/>
      <c r="G168" s="192"/>
      <c r="H168" s="179"/>
      <c r="I168" s="339" t="e">
        <f>IF(#REF!="",#REF!*#REF!,IF(#REF!=0,#REF!*#REF!,#REF!*#REF!*#REF!))</f>
        <v>#REF!</v>
      </c>
      <c r="J168" s="180" t="e">
        <f>#REF!*#REF!</f>
        <v>#REF!</v>
      </c>
      <c r="K168" s="178" t="e">
        <f>#REF!*mo</f>
        <v>#REF!</v>
      </c>
      <c r="L168" s="178" t="e">
        <f t="shared" si="29"/>
        <v>#REF!</v>
      </c>
      <c r="M168" s="178" t="e">
        <f>#REF!*#REF!</f>
        <v>#REF!</v>
      </c>
      <c r="N168" s="178" t="e">
        <f>#REF!+K168+#REF!</f>
        <v>#REF!</v>
      </c>
      <c r="O168" s="181" t="e">
        <f t="shared" si="28"/>
        <v>#REF!</v>
      </c>
    </row>
    <row r="169" spans="1:15" s="193" customFormat="1" outlineLevel="2">
      <c r="A169" s="155"/>
      <c r="B169" s="197" t="s">
        <v>876</v>
      </c>
      <c r="C169" s="190" t="s">
        <v>123</v>
      </c>
      <c r="D169" s="191"/>
      <c r="E169" s="176"/>
      <c r="F169" s="177"/>
      <c r="G169" s="192"/>
      <c r="H169" s="179"/>
      <c r="I169" s="339" t="e">
        <f>IF(#REF!="",#REF!*#REF!,IF(#REF!=0,#REF!*#REF!,#REF!*#REF!*#REF!))</f>
        <v>#REF!</v>
      </c>
      <c r="J169" s="180" t="e">
        <f>#REF!*#REF!</f>
        <v>#REF!</v>
      </c>
      <c r="K169" s="178" t="e">
        <f>#REF!*mo</f>
        <v>#REF!</v>
      </c>
      <c r="L169" s="178" t="e">
        <f t="shared" si="29"/>
        <v>#REF!</v>
      </c>
      <c r="M169" s="178" t="e">
        <f>#REF!*#REF!</f>
        <v>#REF!</v>
      </c>
      <c r="N169" s="178" t="e">
        <f>#REF!+K169+#REF!</f>
        <v>#REF!</v>
      </c>
      <c r="O169" s="181" t="e">
        <f t="shared" si="28"/>
        <v>#REF!</v>
      </c>
    </row>
    <row r="170" spans="1:15" s="193" customFormat="1" outlineLevel="2">
      <c r="A170" s="155"/>
      <c r="B170" s="197" t="s">
        <v>877</v>
      </c>
      <c r="C170" s="190" t="s">
        <v>123</v>
      </c>
      <c r="D170" s="191"/>
      <c r="E170" s="176"/>
      <c r="F170" s="177"/>
      <c r="G170" s="192"/>
      <c r="H170" s="179"/>
      <c r="I170" s="339" t="e">
        <f>IF(#REF!="",#REF!*#REF!,IF(#REF!=0,#REF!*#REF!,#REF!*#REF!*#REF!))</f>
        <v>#REF!</v>
      </c>
      <c r="J170" s="180" t="e">
        <f>#REF!*#REF!</f>
        <v>#REF!</v>
      </c>
      <c r="K170" s="178" t="e">
        <f>#REF!*mo</f>
        <v>#REF!</v>
      </c>
      <c r="L170" s="178" t="e">
        <f t="shared" si="29"/>
        <v>#REF!</v>
      </c>
      <c r="M170" s="178" t="e">
        <f>#REF!*#REF!</f>
        <v>#REF!</v>
      </c>
      <c r="N170" s="178" t="e">
        <f>#REF!+K170+#REF!</f>
        <v>#REF!</v>
      </c>
      <c r="O170" s="181" t="e">
        <f t="shared" si="28"/>
        <v>#REF!</v>
      </c>
    </row>
    <row r="171" spans="1:15" s="193" customFormat="1" outlineLevel="2">
      <c r="A171" s="155"/>
      <c r="B171" s="197" t="s">
        <v>878</v>
      </c>
      <c r="C171" s="190" t="s">
        <v>123</v>
      </c>
      <c r="D171" s="191"/>
      <c r="E171" s="176"/>
      <c r="F171" s="177"/>
      <c r="G171" s="192"/>
      <c r="H171" s="179"/>
      <c r="I171" s="339" t="e">
        <f>IF(#REF!="",#REF!*#REF!,IF(#REF!=0,#REF!*#REF!,#REF!*#REF!*#REF!))</f>
        <v>#REF!</v>
      </c>
      <c r="J171" s="180" t="e">
        <f>#REF!*#REF!</f>
        <v>#REF!</v>
      </c>
      <c r="K171" s="178" t="e">
        <f>#REF!*mo</f>
        <v>#REF!</v>
      </c>
      <c r="L171" s="178" t="e">
        <f t="shared" si="29"/>
        <v>#REF!</v>
      </c>
      <c r="M171" s="178" t="e">
        <f>#REF!*#REF!</f>
        <v>#REF!</v>
      </c>
      <c r="N171" s="178" t="e">
        <f>#REF!+K171+#REF!</f>
        <v>#REF!</v>
      </c>
      <c r="O171" s="181" t="e">
        <f t="shared" si="28"/>
        <v>#REF!</v>
      </c>
    </row>
    <row r="172" spans="1:15" s="193" customFormat="1" outlineLevel="2">
      <c r="A172" s="155"/>
      <c r="B172" s="197" t="s">
        <v>879</v>
      </c>
      <c r="C172" s="190" t="s">
        <v>123</v>
      </c>
      <c r="D172" s="191"/>
      <c r="E172" s="176"/>
      <c r="F172" s="177"/>
      <c r="G172" s="192"/>
      <c r="H172" s="179"/>
      <c r="I172" s="339" t="e">
        <f>IF(#REF!="",#REF!*#REF!,IF(#REF!=0,#REF!*#REF!,#REF!*#REF!*#REF!))</f>
        <v>#REF!</v>
      </c>
      <c r="J172" s="180" t="e">
        <f>#REF!*#REF!</f>
        <v>#REF!</v>
      </c>
      <c r="K172" s="178" t="e">
        <f>#REF!*mo</f>
        <v>#REF!</v>
      </c>
      <c r="L172" s="178" t="e">
        <f t="shared" si="29"/>
        <v>#REF!</v>
      </c>
      <c r="M172" s="178" t="e">
        <f>#REF!*#REF!</f>
        <v>#REF!</v>
      </c>
      <c r="N172" s="178" t="e">
        <f>#REF!+K172+#REF!</f>
        <v>#REF!</v>
      </c>
      <c r="O172" s="181" t="e">
        <f t="shared" si="28"/>
        <v>#REF!</v>
      </c>
    </row>
    <row r="173" spans="1:15" s="193" customFormat="1" outlineLevel="2">
      <c r="A173" s="155"/>
      <c r="B173" s="197"/>
      <c r="C173" s="190"/>
      <c r="D173" s="191"/>
      <c r="E173" s="176"/>
      <c r="F173" s="177"/>
      <c r="G173" s="192"/>
      <c r="H173" s="179"/>
      <c r="I173" s="339" t="e">
        <f>IF(#REF!="",#REF!*#REF!,IF(#REF!=0,#REF!*#REF!,#REF!*#REF!*#REF!))</f>
        <v>#REF!</v>
      </c>
      <c r="J173" s="180" t="e">
        <f>#REF!*#REF!</f>
        <v>#REF!</v>
      </c>
      <c r="K173" s="178" t="e">
        <f>#REF!*mo</f>
        <v>#REF!</v>
      </c>
      <c r="L173" s="178" t="e">
        <f t="shared" ref="L173:L201" si="31">J173*mo</f>
        <v>#REF!</v>
      </c>
      <c r="M173" s="178" t="e">
        <f>#REF!*#REF!</f>
        <v>#REF!</v>
      </c>
      <c r="N173" s="178" t="e">
        <f>#REF!+K173+#REF!</f>
        <v>#REF!</v>
      </c>
      <c r="O173" s="181" t="e">
        <f t="shared" si="28"/>
        <v>#REF!</v>
      </c>
    </row>
    <row r="174" spans="1:15" s="193" customFormat="1" outlineLevel="2">
      <c r="A174" s="155"/>
      <c r="B174" s="156" t="s">
        <v>883</v>
      </c>
      <c r="C174" s="190"/>
      <c r="D174" s="191"/>
      <c r="E174" s="176"/>
      <c r="F174" s="177"/>
      <c r="G174" s="192"/>
      <c r="H174" s="179"/>
      <c r="I174" s="339" t="e">
        <f>IF(#REF!="",#REF!*#REF!,IF(#REF!=0,#REF!*#REF!,#REF!*#REF!*#REF!))</f>
        <v>#REF!</v>
      </c>
      <c r="J174" s="180" t="e">
        <f>#REF!*#REF!</f>
        <v>#REF!</v>
      </c>
      <c r="K174" s="178" t="e">
        <f>#REF!*mo</f>
        <v>#REF!</v>
      </c>
      <c r="L174" s="178" t="e">
        <f t="shared" si="31"/>
        <v>#REF!</v>
      </c>
      <c r="M174" s="178" t="e">
        <f>#REF!*#REF!</f>
        <v>#REF!</v>
      </c>
      <c r="N174" s="178" t="e">
        <f>#REF!+K174+#REF!</f>
        <v>#REF!</v>
      </c>
      <c r="O174" s="181" t="e">
        <f t="shared" si="28"/>
        <v>#REF!</v>
      </c>
    </row>
    <row r="175" spans="1:15" s="193" customFormat="1" outlineLevel="2">
      <c r="A175" s="155"/>
      <c r="B175" s="197" t="s">
        <v>868</v>
      </c>
      <c r="C175" s="190" t="s">
        <v>123</v>
      </c>
      <c r="D175" s="191"/>
      <c r="E175" s="176"/>
      <c r="F175" s="177"/>
      <c r="G175" s="192"/>
      <c r="H175" s="179"/>
      <c r="I175" s="339" t="e">
        <f>IF(#REF!="",#REF!*#REF!,IF(#REF!=0,#REF!*#REF!,#REF!*#REF!*#REF!))</f>
        <v>#REF!</v>
      </c>
      <c r="J175" s="180" t="e">
        <f>#REF!*#REF!</f>
        <v>#REF!</v>
      </c>
      <c r="K175" s="178" t="e">
        <f>#REF!*mo</f>
        <v>#REF!</v>
      </c>
      <c r="L175" s="178" t="e">
        <f t="shared" si="31"/>
        <v>#REF!</v>
      </c>
      <c r="M175" s="178" t="e">
        <f>#REF!*#REF!</f>
        <v>#REF!</v>
      </c>
      <c r="N175" s="178" t="e">
        <f>#REF!+K175+#REF!</f>
        <v>#REF!</v>
      </c>
      <c r="O175" s="181" t="e">
        <f t="shared" si="28"/>
        <v>#REF!</v>
      </c>
    </row>
    <row r="176" spans="1:15" s="193" customFormat="1" outlineLevel="2">
      <c r="A176" s="155"/>
      <c r="B176" s="197" t="s">
        <v>869</v>
      </c>
      <c r="C176" s="190" t="s">
        <v>123</v>
      </c>
      <c r="D176" s="191"/>
      <c r="E176" s="176"/>
      <c r="F176" s="177"/>
      <c r="G176" s="192"/>
      <c r="H176" s="179"/>
      <c r="I176" s="339" t="e">
        <f>IF(#REF!="",#REF!*#REF!,IF(#REF!=0,#REF!*#REF!,#REF!*#REF!*#REF!))</f>
        <v>#REF!</v>
      </c>
      <c r="J176" s="180" t="e">
        <f>#REF!*#REF!</f>
        <v>#REF!</v>
      </c>
      <c r="K176" s="178" t="e">
        <f>#REF!*mo</f>
        <v>#REF!</v>
      </c>
      <c r="L176" s="178" t="e">
        <f t="shared" si="31"/>
        <v>#REF!</v>
      </c>
      <c r="M176" s="178" t="e">
        <f>#REF!*#REF!</f>
        <v>#REF!</v>
      </c>
      <c r="N176" s="178" t="e">
        <f>#REF!+K176+#REF!</f>
        <v>#REF!</v>
      </c>
      <c r="O176" s="181" t="e">
        <f t="shared" si="28"/>
        <v>#REF!</v>
      </c>
    </row>
    <row r="177" spans="1:15" s="193" customFormat="1" outlineLevel="2">
      <c r="A177" s="155"/>
      <c r="B177" s="197" t="s">
        <v>870</v>
      </c>
      <c r="C177" s="190" t="s">
        <v>123</v>
      </c>
      <c r="D177" s="191"/>
      <c r="E177" s="176"/>
      <c r="F177" s="177"/>
      <c r="G177" s="192"/>
      <c r="H177" s="179"/>
      <c r="I177" s="339" t="e">
        <f>IF(#REF!="",#REF!*#REF!,IF(#REF!=0,#REF!*#REF!,#REF!*#REF!*#REF!))</f>
        <v>#REF!</v>
      </c>
      <c r="J177" s="180" t="e">
        <f>#REF!*#REF!</f>
        <v>#REF!</v>
      </c>
      <c r="K177" s="178" t="e">
        <f>#REF!*mo</f>
        <v>#REF!</v>
      </c>
      <c r="L177" s="178" t="e">
        <f t="shared" si="31"/>
        <v>#REF!</v>
      </c>
      <c r="M177" s="178" t="e">
        <f>#REF!*#REF!</f>
        <v>#REF!</v>
      </c>
      <c r="N177" s="178" t="e">
        <f>#REF!+K177+#REF!</f>
        <v>#REF!</v>
      </c>
      <c r="O177" s="181" t="e">
        <f t="shared" si="28"/>
        <v>#REF!</v>
      </c>
    </row>
    <row r="178" spans="1:15" s="193" customFormat="1" outlineLevel="2">
      <c r="A178" s="155"/>
      <c r="B178" s="197" t="s">
        <v>871</v>
      </c>
      <c r="C178" s="190" t="s">
        <v>123</v>
      </c>
      <c r="D178" s="191"/>
      <c r="E178" s="176"/>
      <c r="F178" s="177"/>
      <c r="G178" s="192"/>
      <c r="H178" s="179"/>
      <c r="I178" s="339" t="e">
        <f>IF(#REF!="",#REF!*#REF!,IF(#REF!=0,#REF!*#REF!,#REF!*#REF!*#REF!))</f>
        <v>#REF!</v>
      </c>
      <c r="J178" s="180" t="e">
        <f>#REF!*#REF!</f>
        <v>#REF!</v>
      </c>
      <c r="K178" s="178" t="e">
        <f>#REF!*mo</f>
        <v>#REF!</v>
      </c>
      <c r="L178" s="178" t="e">
        <f t="shared" si="31"/>
        <v>#REF!</v>
      </c>
      <c r="M178" s="178" t="e">
        <f>#REF!*#REF!</f>
        <v>#REF!</v>
      </c>
      <c r="N178" s="178" t="e">
        <f>#REF!+K178+#REF!</f>
        <v>#REF!</v>
      </c>
      <c r="O178" s="181" t="e">
        <f t="shared" si="28"/>
        <v>#REF!</v>
      </c>
    </row>
    <row r="179" spans="1:15" s="193" customFormat="1" outlineLevel="2">
      <c r="A179" s="155"/>
      <c r="B179" s="197" t="s">
        <v>872</v>
      </c>
      <c r="C179" s="190" t="s">
        <v>123</v>
      </c>
      <c r="D179" s="191"/>
      <c r="E179" s="176"/>
      <c r="F179" s="177"/>
      <c r="G179" s="192"/>
      <c r="H179" s="179"/>
      <c r="I179" s="339" t="e">
        <f>IF(#REF!="",#REF!*#REF!,IF(#REF!=0,#REF!*#REF!,#REF!*#REF!*#REF!))</f>
        <v>#REF!</v>
      </c>
      <c r="J179" s="180" t="e">
        <f>#REF!*#REF!</f>
        <v>#REF!</v>
      </c>
      <c r="K179" s="178" t="e">
        <f>#REF!*mo</f>
        <v>#REF!</v>
      </c>
      <c r="L179" s="178" t="e">
        <f t="shared" si="31"/>
        <v>#REF!</v>
      </c>
      <c r="M179" s="178" t="e">
        <f>#REF!*#REF!</f>
        <v>#REF!</v>
      </c>
      <c r="N179" s="178" t="e">
        <f>#REF!+K179+#REF!</f>
        <v>#REF!</v>
      </c>
      <c r="O179" s="181" t="e">
        <f t="shared" si="28"/>
        <v>#REF!</v>
      </c>
    </row>
    <row r="180" spans="1:15" s="193" customFormat="1" outlineLevel="2">
      <c r="A180" s="155"/>
      <c r="B180" s="197" t="s">
        <v>873</v>
      </c>
      <c r="C180" s="190" t="s">
        <v>123</v>
      </c>
      <c r="D180" s="191"/>
      <c r="E180" s="176"/>
      <c r="F180" s="177"/>
      <c r="G180" s="192"/>
      <c r="H180" s="179"/>
      <c r="I180" s="339" t="e">
        <f>IF(#REF!="",#REF!*#REF!,IF(#REF!=0,#REF!*#REF!,#REF!*#REF!*#REF!))</f>
        <v>#REF!</v>
      </c>
      <c r="J180" s="180" t="e">
        <f>#REF!*#REF!</f>
        <v>#REF!</v>
      </c>
      <c r="K180" s="178" t="e">
        <f>#REF!*mo</f>
        <v>#REF!</v>
      </c>
      <c r="L180" s="178" t="e">
        <f t="shared" si="31"/>
        <v>#REF!</v>
      </c>
      <c r="M180" s="178" t="e">
        <f>#REF!*#REF!</f>
        <v>#REF!</v>
      </c>
      <c r="N180" s="178" t="e">
        <f>#REF!+K180+#REF!</f>
        <v>#REF!</v>
      </c>
      <c r="O180" s="181" t="e">
        <f t="shared" si="28"/>
        <v>#REF!</v>
      </c>
    </row>
    <row r="181" spans="1:15" s="193" customFormat="1" outlineLevel="2">
      <c r="A181" s="155"/>
      <c r="B181" s="197" t="s">
        <v>874</v>
      </c>
      <c r="C181" s="190" t="s">
        <v>123</v>
      </c>
      <c r="D181" s="191"/>
      <c r="E181" s="176"/>
      <c r="F181" s="177"/>
      <c r="G181" s="192"/>
      <c r="H181" s="179"/>
      <c r="I181" s="339" t="e">
        <f>IF(#REF!="",#REF!*#REF!,IF(#REF!=0,#REF!*#REF!,#REF!*#REF!*#REF!))</f>
        <v>#REF!</v>
      </c>
      <c r="J181" s="180" t="e">
        <f>#REF!*#REF!</f>
        <v>#REF!</v>
      </c>
      <c r="K181" s="178" t="e">
        <f>#REF!*mo</f>
        <v>#REF!</v>
      </c>
      <c r="L181" s="178" t="e">
        <f t="shared" si="31"/>
        <v>#REF!</v>
      </c>
      <c r="M181" s="178" t="e">
        <f>#REF!*#REF!</f>
        <v>#REF!</v>
      </c>
      <c r="N181" s="178" t="e">
        <f>#REF!+K181+#REF!</f>
        <v>#REF!</v>
      </c>
      <c r="O181" s="181" t="e">
        <f t="shared" si="28"/>
        <v>#REF!</v>
      </c>
    </row>
    <row r="182" spans="1:15" s="193" customFormat="1" outlineLevel="2">
      <c r="A182" s="155"/>
      <c r="B182" s="197" t="s">
        <v>875</v>
      </c>
      <c r="C182" s="190" t="s">
        <v>123</v>
      </c>
      <c r="D182" s="191"/>
      <c r="E182" s="176"/>
      <c r="F182" s="177"/>
      <c r="G182" s="192"/>
      <c r="H182" s="179"/>
      <c r="I182" s="339" t="e">
        <f>IF(#REF!="",#REF!*#REF!,IF(#REF!=0,#REF!*#REF!,#REF!*#REF!*#REF!))</f>
        <v>#REF!</v>
      </c>
      <c r="J182" s="180" t="e">
        <f>#REF!*#REF!</f>
        <v>#REF!</v>
      </c>
      <c r="K182" s="178" t="e">
        <f>#REF!*mo</f>
        <v>#REF!</v>
      </c>
      <c r="L182" s="178" t="e">
        <f t="shared" si="31"/>
        <v>#REF!</v>
      </c>
      <c r="M182" s="178" t="e">
        <f>#REF!*#REF!</f>
        <v>#REF!</v>
      </c>
      <c r="N182" s="178" t="e">
        <f>#REF!+K182+#REF!</f>
        <v>#REF!</v>
      </c>
      <c r="O182" s="181" t="e">
        <f t="shared" si="28"/>
        <v>#REF!</v>
      </c>
    </row>
    <row r="183" spans="1:15" s="193" customFormat="1" outlineLevel="2">
      <c r="A183" s="155"/>
      <c r="B183" s="197" t="s">
        <v>876</v>
      </c>
      <c r="C183" s="190" t="s">
        <v>123</v>
      </c>
      <c r="D183" s="191"/>
      <c r="E183" s="176"/>
      <c r="F183" s="177"/>
      <c r="G183" s="192"/>
      <c r="H183" s="179"/>
      <c r="I183" s="339" t="e">
        <f>IF(#REF!="",#REF!*#REF!,IF(#REF!=0,#REF!*#REF!,#REF!*#REF!*#REF!))</f>
        <v>#REF!</v>
      </c>
      <c r="J183" s="180" t="e">
        <f>#REF!*#REF!</f>
        <v>#REF!</v>
      </c>
      <c r="K183" s="178" t="e">
        <f>#REF!*mo</f>
        <v>#REF!</v>
      </c>
      <c r="L183" s="178" t="e">
        <f t="shared" si="31"/>
        <v>#REF!</v>
      </c>
      <c r="M183" s="178" t="e">
        <f>#REF!*#REF!</f>
        <v>#REF!</v>
      </c>
      <c r="N183" s="178" t="e">
        <f>#REF!+K183+#REF!</f>
        <v>#REF!</v>
      </c>
      <c r="O183" s="181" t="e">
        <f t="shared" si="28"/>
        <v>#REF!</v>
      </c>
    </row>
    <row r="184" spans="1:15" s="193" customFormat="1" outlineLevel="2">
      <c r="A184" s="155"/>
      <c r="B184" s="197" t="s">
        <v>877</v>
      </c>
      <c r="C184" s="190" t="s">
        <v>123</v>
      </c>
      <c r="D184" s="191"/>
      <c r="E184" s="176"/>
      <c r="F184" s="177"/>
      <c r="G184" s="192"/>
      <c r="H184" s="179"/>
      <c r="I184" s="339" t="e">
        <f>IF(#REF!="",#REF!*#REF!,IF(#REF!=0,#REF!*#REF!,#REF!*#REF!*#REF!))</f>
        <v>#REF!</v>
      </c>
      <c r="J184" s="180" t="e">
        <f>#REF!*#REF!</f>
        <v>#REF!</v>
      </c>
      <c r="K184" s="178" t="e">
        <f>#REF!*mo</f>
        <v>#REF!</v>
      </c>
      <c r="L184" s="178" t="e">
        <f t="shared" si="31"/>
        <v>#REF!</v>
      </c>
      <c r="M184" s="178" t="e">
        <f>#REF!*#REF!</f>
        <v>#REF!</v>
      </c>
      <c r="N184" s="178" t="e">
        <f>#REF!+K184+#REF!</f>
        <v>#REF!</v>
      </c>
      <c r="O184" s="181" t="e">
        <f t="shared" si="28"/>
        <v>#REF!</v>
      </c>
    </row>
    <row r="185" spans="1:15" s="193" customFormat="1" outlineLevel="2">
      <c r="A185" s="155"/>
      <c r="B185" s="197" t="s">
        <v>878</v>
      </c>
      <c r="C185" s="190" t="s">
        <v>123</v>
      </c>
      <c r="D185" s="191"/>
      <c r="E185" s="176"/>
      <c r="F185" s="177"/>
      <c r="G185" s="192"/>
      <c r="H185" s="179"/>
      <c r="I185" s="339" t="e">
        <f>IF(#REF!="",#REF!*#REF!,IF(#REF!=0,#REF!*#REF!,#REF!*#REF!*#REF!))</f>
        <v>#REF!</v>
      </c>
      <c r="J185" s="180" t="e">
        <f>#REF!*#REF!</f>
        <v>#REF!</v>
      </c>
      <c r="K185" s="178" t="e">
        <f>#REF!*mo</f>
        <v>#REF!</v>
      </c>
      <c r="L185" s="178" t="e">
        <f t="shared" si="31"/>
        <v>#REF!</v>
      </c>
      <c r="M185" s="178" t="e">
        <f>#REF!*#REF!</f>
        <v>#REF!</v>
      </c>
      <c r="N185" s="178" t="e">
        <f>#REF!+K185+#REF!</f>
        <v>#REF!</v>
      </c>
      <c r="O185" s="181" t="e">
        <f t="shared" si="28"/>
        <v>#REF!</v>
      </c>
    </row>
    <row r="186" spans="1:15" s="193" customFormat="1" outlineLevel="2">
      <c r="A186" s="155"/>
      <c r="B186" s="197" t="s">
        <v>879</v>
      </c>
      <c r="C186" s="190" t="s">
        <v>123</v>
      </c>
      <c r="D186" s="191"/>
      <c r="E186" s="176"/>
      <c r="F186" s="177"/>
      <c r="G186" s="192"/>
      <c r="H186" s="179"/>
      <c r="I186" s="339" t="e">
        <f>IF(#REF!="",#REF!*#REF!,IF(#REF!=0,#REF!*#REF!,#REF!*#REF!*#REF!))</f>
        <v>#REF!</v>
      </c>
      <c r="J186" s="180" t="e">
        <f>#REF!*#REF!</f>
        <v>#REF!</v>
      </c>
      <c r="K186" s="178" t="e">
        <f>#REF!*mo</f>
        <v>#REF!</v>
      </c>
      <c r="L186" s="178" t="e">
        <f t="shared" si="31"/>
        <v>#REF!</v>
      </c>
      <c r="M186" s="178" t="e">
        <f>#REF!*#REF!</f>
        <v>#REF!</v>
      </c>
      <c r="N186" s="178" t="e">
        <f>#REF!+K186+#REF!</f>
        <v>#REF!</v>
      </c>
      <c r="O186" s="181" t="e">
        <f t="shared" si="28"/>
        <v>#REF!</v>
      </c>
    </row>
    <row r="187" spans="1:15" s="193" customFormat="1" outlineLevel="2">
      <c r="A187" s="155"/>
      <c r="B187" s="197"/>
      <c r="C187" s="190"/>
      <c r="D187" s="191"/>
      <c r="E187" s="176"/>
      <c r="F187" s="177"/>
      <c r="G187" s="192"/>
      <c r="H187" s="179"/>
      <c r="I187" s="339" t="e">
        <f>IF(#REF!="",#REF!*#REF!,IF(#REF!=0,#REF!*#REF!,#REF!*#REF!*#REF!))</f>
        <v>#REF!</v>
      </c>
      <c r="J187" s="180" t="e">
        <f>#REF!*#REF!</f>
        <v>#REF!</v>
      </c>
      <c r="K187" s="178" t="e">
        <f>#REF!*mo</f>
        <v>#REF!</v>
      </c>
      <c r="L187" s="178" t="e">
        <f t="shared" si="31"/>
        <v>#REF!</v>
      </c>
      <c r="M187" s="178" t="e">
        <f>#REF!*#REF!</f>
        <v>#REF!</v>
      </c>
      <c r="N187" s="178" t="e">
        <f>#REF!+K187+#REF!</f>
        <v>#REF!</v>
      </c>
      <c r="O187" s="181" t="e">
        <f t="shared" si="28"/>
        <v>#REF!</v>
      </c>
    </row>
    <row r="188" spans="1:15" s="193" customFormat="1" outlineLevel="2">
      <c r="A188" s="155"/>
      <c r="B188" s="156" t="s">
        <v>884</v>
      </c>
      <c r="C188" s="190"/>
      <c r="D188" s="191"/>
      <c r="E188" s="176"/>
      <c r="F188" s="177"/>
      <c r="G188" s="192"/>
      <c r="H188" s="179"/>
      <c r="I188" s="339" t="e">
        <f>IF(#REF!="",#REF!*#REF!,IF(#REF!=0,#REF!*#REF!,#REF!*#REF!*#REF!))</f>
        <v>#REF!</v>
      </c>
      <c r="J188" s="180" t="e">
        <f>#REF!*#REF!</f>
        <v>#REF!</v>
      </c>
      <c r="K188" s="178" t="e">
        <f>#REF!*mo</f>
        <v>#REF!</v>
      </c>
      <c r="L188" s="178" t="e">
        <f t="shared" si="31"/>
        <v>#REF!</v>
      </c>
      <c r="M188" s="178" t="e">
        <f>#REF!*#REF!</f>
        <v>#REF!</v>
      </c>
      <c r="N188" s="178" t="e">
        <f>#REF!+K188+#REF!</f>
        <v>#REF!</v>
      </c>
      <c r="O188" s="181" t="e">
        <f t="shared" si="28"/>
        <v>#REF!</v>
      </c>
    </row>
    <row r="189" spans="1:15" s="193" customFormat="1" outlineLevel="2">
      <c r="A189" s="155"/>
      <c r="B189" s="197" t="s">
        <v>868</v>
      </c>
      <c r="C189" s="190" t="s">
        <v>123</v>
      </c>
      <c r="D189" s="191"/>
      <c r="E189" s="176"/>
      <c r="F189" s="177"/>
      <c r="G189" s="192"/>
      <c r="H189" s="179"/>
      <c r="I189" s="339" t="e">
        <f>IF(#REF!="",#REF!*#REF!,IF(#REF!=0,#REF!*#REF!,#REF!*#REF!*#REF!))</f>
        <v>#REF!</v>
      </c>
      <c r="J189" s="180" t="e">
        <f>#REF!*#REF!</f>
        <v>#REF!</v>
      </c>
      <c r="K189" s="178" t="e">
        <f>#REF!*mo</f>
        <v>#REF!</v>
      </c>
      <c r="L189" s="178" t="e">
        <f t="shared" si="31"/>
        <v>#REF!</v>
      </c>
      <c r="M189" s="178" t="e">
        <f>#REF!*#REF!</f>
        <v>#REF!</v>
      </c>
      <c r="N189" s="178" t="e">
        <f>#REF!+K189+#REF!</f>
        <v>#REF!</v>
      </c>
      <c r="O189" s="181" t="e">
        <f t="shared" si="28"/>
        <v>#REF!</v>
      </c>
    </row>
    <row r="190" spans="1:15" s="193" customFormat="1" outlineLevel="2">
      <c r="A190" s="155"/>
      <c r="B190" s="197" t="s">
        <v>869</v>
      </c>
      <c r="C190" s="190" t="s">
        <v>123</v>
      </c>
      <c r="D190" s="191"/>
      <c r="E190" s="176"/>
      <c r="F190" s="177"/>
      <c r="G190" s="192"/>
      <c r="H190" s="179"/>
      <c r="I190" s="339" t="e">
        <f>IF(#REF!="",#REF!*#REF!,IF(#REF!=0,#REF!*#REF!,#REF!*#REF!*#REF!))</f>
        <v>#REF!</v>
      </c>
      <c r="J190" s="180" t="e">
        <f>#REF!*#REF!</f>
        <v>#REF!</v>
      </c>
      <c r="K190" s="178" t="e">
        <f>#REF!*mo</f>
        <v>#REF!</v>
      </c>
      <c r="L190" s="178" t="e">
        <f t="shared" si="31"/>
        <v>#REF!</v>
      </c>
      <c r="M190" s="178" t="e">
        <f>#REF!*#REF!</f>
        <v>#REF!</v>
      </c>
      <c r="N190" s="178" t="e">
        <f>#REF!+K190+#REF!</f>
        <v>#REF!</v>
      </c>
      <c r="O190" s="181" t="e">
        <f t="shared" si="28"/>
        <v>#REF!</v>
      </c>
    </row>
    <row r="191" spans="1:15" s="193" customFormat="1" outlineLevel="2">
      <c r="A191" s="155"/>
      <c r="B191" s="197" t="s">
        <v>870</v>
      </c>
      <c r="C191" s="190" t="s">
        <v>123</v>
      </c>
      <c r="D191" s="191"/>
      <c r="E191" s="176"/>
      <c r="F191" s="177"/>
      <c r="G191" s="192"/>
      <c r="H191" s="179"/>
      <c r="I191" s="339" t="e">
        <f>IF(#REF!="",#REF!*#REF!,IF(#REF!=0,#REF!*#REF!,#REF!*#REF!*#REF!))</f>
        <v>#REF!</v>
      </c>
      <c r="J191" s="180" t="e">
        <f>#REF!*#REF!</f>
        <v>#REF!</v>
      </c>
      <c r="K191" s="178" t="e">
        <f>#REF!*mo</f>
        <v>#REF!</v>
      </c>
      <c r="L191" s="178" t="e">
        <f t="shared" ref="L191" si="32">J191*mo</f>
        <v>#REF!</v>
      </c>
      <c r="M191" s="178" t="e">
        <f>#REF!*#REF!</f>
        <v>#REF!</v>
      </c>
      <c r="N191" s="178" t="e">
        <f>#REF!+K191+#REF!</f>
        <v>#REF!</v>
      </c>
      <c r="O191" s="181" t="e">
        <f t="shared" si="28"/>
        <v>#REF!</v>
      </c>
    </row>
    <row r="192" spans="1:15" s="193" customFormat="1" outlineLevel="2">
      <c r="A192" s="155"/>
      <c r="B192" s="197" t="s">
        <v>871</v>
      </c>
      <c r="C192" s="190" t="s">
        <v>123</v>
      </c>
      <c r="D192" s="191"/>
      <c r="E192" s="176"/>
      <c r="F192" s="177"/>
      <c r="G192" s="192"/>
      <c r="H192" s="179"/>
      <c r="I192" s="339" t="e">
        <f>IF(#REF!="",#REF!*#REF!,IF(#REF!=0,#REF!*#REF!,#REF!*#REF!*#REF!))</f>
        <v>#REF!</v>
      </c>
      <c r="J192" s="180" t="e">
        <f>#REF!*#REF!</f>
        <v>#REF!</v>
      </c>
      <c r="K192" s="178" t="e">
        <f>#REF!*mo</f>
        <v>#REF!</v>
      </c>
      <c r="L192" s="178" t="e">
        <f t="shared" si="31"/>
        <v>#REF!</v>
      </c>
      <c r="M192" s="178" t="e">
        <f>#REF!*#REF!</f>
        <v>#REF!</v>
      </c>
      <c r="N192" s="178" t="e">
        <f>#REF!+K192+#REF!</f>
        <v>#REF!</v>
      </c>
      <c r="O192" s="181" t="e">
        <f t="shared" si="28"/>
        <v>#REF!</v>
      </c>
    </row>
    <row r="193" spans="1:15" s="193" customFormat="1" outlineLevel="2">
      <c r="A193" s="155"/>
      <c r="B193" s="197" t="s">
        <v>872</v>
      </c>
      <c r="C193" s="190" t="s">
        <v>123</v>
      </c>
      <c r="D193" s="191"/>
      <c r="E193" s="176"/>
      <c r="F193" s="177"/>
      <c r="G193" s="192"/>
      <c r="H193" s="179"/>
      <c r="I193" s="339" t="e">
        <f>IF(#REF!="",#REF!*#REF!,IF(#REF!=0,#REF!*#REF!,#REF!*#REF!*#REF!))</f>
        <v>#REF!</v>
      </c>
      <c r="J193" s="180" t="e">
        <f>#REF!*#REF!</f>
        <v>#REF!</v>
      </c>
      <c r="K193" s="178" t="e">
        <f>#REF!*mo</f>
        <v>#REF!</v>
      </c>
      <c r="L193" s="178" t="e">
        <f t="shared" si="31"/>
        <v>#REF!</v>
      </c>
      <c r="M193" s="178" t="e">
        <f>#REF!*#REF!</f>
        <v>#REF!</v>
      </c>
      <c r="N193" s="178" t="e">
        <f>#REF!+K193+#REF!</f>
        <v>#REF!</v>
      </c>
      <c r="O193" s="181" t="e">
        <f t="shared" si="28"/>
        <v>#REF!</v>
      </c>
    </row>
    <row r="194" spans="1:15" s="193" customFormat="1" outlineLevel="2">
      <c r="A194" s="155"/>
      <c r="B194" s="197" t="s">
        <v>873</v>
      </c>
      <c r="C194" s="190" t="s">
        <v>123</v>
      </c>
      <c r="D194" s="191"/>
      <c r="E194" s="176"/>
      <c r="F194" s="177"/>
      <c r="G194" s="192"/>
      <c r="H194" s="179"/>
      <c r="I194" s="339" t="e">
        <f>IF(#REF!="",#REF!*#REF!,IF(#REF!=0,#REF!*#REF!,#REF!*#REF!*#REF!))</f>
        <v>#REF!</v>
      </c>
      <c r="J194" s="180" t="e">
        <f>#REF!*#REF!</f>
        <v>#REF!</v>
      </c>
      <c r="K194" s="178" t="e">
        <f>#REF!*mo</f>
        <v>#REF!</v>
      </c>
      <c r="L194" s="178" t="e">
        <f t="shared" si="31"/>
        <v>#REF!</v>
      </c>
      <c r="M194" s="178" t="e">
        <f>#REF!*#REF!</f>
        <v>#REF!</v>
      </c>
      <c r="N194" s="178" t="e">
        <f>#REF!+K194+#REF!</f>
        <v>#REF!</v>
      </c>
      <c r="O194" s="181" t="e">
        <f t="shared" si="28"/>
        <v>#REF!</v>
      </c>
    </row>
    <row r="195" spans="1:15" s="193" customFormat="1" outlineLevel="2">
      <c r="A195" s="155"/>
      <c r="B195" s="197" t="s">
        <v>874</v>
      </c>
      <c r="C195" s="190" t="s">
        <v>123</v>
      </c>
      <c r="D195" s="191"/>
      <c r="E195" s="176"/>
      <c r="F195" s="177"/>
      <c r="G195" s="192"/>
      <c r="H195" s="179"/>
      <c r="I195" s="339" t="e">
        <f>IF(#REF!="",#REF!*#REF!,IF(#REF!=0,#REF!*#REF!,#REF!*#REF!*#REF!))</f>
        <v>#REF!</v>
      </c>
      <c r="J195" s="180" t="e">
        <f>#REF!*#REF!</f>
        <v>#REF!</v>
      </c>
      <c r="K195" s="178" t="e">
        <f>#REF!*mo</f>
        <v>#REF!</v>
      </c>
      <c r="L195" s="178" t="e">
        <f t="shared" si="31"/>
        <v>#REF!</v>
      </c>
      <c r="M195" s="178" t="e">
        <f>#REF!*#REF!</f>
        <v>#REF!</v>
      </c>
      <c r="N195" s="178" t="e">
        <f>#REF!+K195+#REF!</f>
        <v>#REF!</v>
      </c>
      <c r="O195" s="181" t="e">
        <f t="shared" si="28"/>
        <v>#REF!</v>
      </c>
    </row>
    <row r="196" spans="1:15" s="193" customFormat="1" outlineLevel="2">
      <c r="A196" s="155"/>
      <c r="B196" s="197" t="s">
        <v>875</v>
      </c>
      <c r="C196" s="190" t="s">
        <v>123</v>
      </c>
      <c r="D196" s="191"/>
      <c r="E196" s="176"/>
      <c r="F196" s="177"/>
      <c r="G196" s="192"/>
      <c r="H196" s="179"/>
      <c r="I196" s="339" t="e">
        <f>IF(#REF!="",#REF!*#REF!,IF(#REF!=0,#REF!*#REF!,#REF!*#REF!*#REF!))</f>
        <v>#REF!</v>
      </c>
      <c r="J196" s="180" t="e">
        <f>#REF!*#REF!</f>
        <v>#REF!</v>
      </c>
      <c r="K196" s="178" t="e">
        <f>#REF!*mo</f>
        <v>#REF!</v>
      </c>
      <c r="L196" s="178" t="e">
        <f t="shared" si="31"/>
        <v>#REF!</v>
      </c>
      <c r="M196" s="178" t="e">
        <f>#REF!*#REF!</f>
        <v>#REF!</v>
      </c>
      <c r="N196" s="178" t="e">
        <f>#REF!+K196+#REF!</f>
        <v>#REF!</v>
      </c>
      <c r="O196" s="181" t="e">
        <f t="shared" si="28"/>
        <v>#REF!</v>
      </c>
    </row>
    <row r="197" spans="1:15" s="193" customFormat="1" outlineLevel="2">
      <c r="A197" s="155"/>
      <c r="B197" s="197" t="s">
        <v>876</v>
      </c>
      <c r="C197" s="190" t="s">
        <v>123</v>
      </c>
      <c r="D197" s="191"/>
      <c r="E197" s="176"/>
      <c r="F197" s="177"/>
      <c r="G197" s="192"/>
      <c r="H197" s="179"/>
      <c r="I197" s="339" t="e">
        <f>IF(#REF!="",#REF!*#REF!,IF(#REF!=0,#REF!*#REF!,#REF!*#REF!*#REF!))</f>
        <v>#REF!</v>
      </c>
      <c r="J197" s="180" t="e">
        <f>#REF!*#REF!</f>
        <v>#REF!</v>
      </c>
      <c r="K197" s="178" t="e">
        <f>#REF!*mo</f>
        <v>#REF!</v>
      </c>
      <c r="L197" s="178" t="e">
        <f t="shared" si="31"/>
        <v>#REF!</v>
      </c>
      <c r="M197" s="178" t="e">
        <f>#REF!*#REF!</f>
        <v>#REF!</v>
      </c>
      <c r="N197" s="178" t="e">
        <f>#REF!+K197+#REF!</f>
        <v>#REF!</v>
      </c>
      <c r="O197" s="181" t="e">
        <f t="shared" ref="O197:O261" si="33">M197+L197+I197</f>
        <v>#REF!</v>
      </c>
    </row>
    <row r="198" spans="1:15" s="193" customFormat="1" outlineLevel="2">
      <c r="A198" s="155"/>
      <c r="B198" s="197" t="s">
        <v>877</v>
      </c>
      <c r="C198" s="190" t="s">
        <v>123</v>
      </c>
      <c r="D198" s="191"/>
      <c r="E198" s="176"/>
      <c r="F198" s="177"/>
      <c r="G198" s="192"/>
      <c r="H198" s="179"/>
      <c r="I198" s="339" t="e">
        <f>IF(#REF!="",#REF!*#REF!,IF(#REF!=0,#REF!*#REF!,#REF!*#REF!*#REF!))</f>
        <v>#REF!</v>
      </c>
      <c r="J198" s="180" t="e">
        <f>#REF!*#REF!</f>
        <v>#REF!</v>
      </c>
      <c r="K198" s="178" t="e">
        <f>#REF!*mo</f>
        <v>#REF!</v>
      </c>
      <c r="L198" s="178" t="e">
        <f t="shared" si="31"/>
        <v>#REF!</v>
      </c>
      <c r="M198" s="178" t="e">
        <f>#REF!*#REF!</f>
        <v>#REF!</v>
      </c>
      <c r="N198" s="178" t="e">
        <f>#REF!+K198+#REF!</f>
        <v>#REF!</v>
      </c>
      <c r="O198" s="181" t="e">
        <f t="shared" si="33"/>
        <v>#REF!</v>
      </c>
    </row>
    <row r="199" spans="1:15" s="193" customFormat="1" outlineLevel="2">
      <c r="A199" s="155"/>
      <c r="B199" s="197" t="s">
        <v>878</v>
      </c>
      <c r="C199" s="190" t="s">
        <v>123</v>
      </c>
      <c r="D199" s="191"/>
      <c r="E199" s="176"/>
      <c r="F199" s="177"/>
      <c r="G199" s="192"/>
      <c r="H199" s="179"/>
      <c r="I199" s="339" t="e">
        <f>IF(#REF!="",#REF!*#REF!,IF(#REF!=0,#REF!*#REF!,#REF!*#REF!*#REF!))</f>
        <v>#REF!</v>
      </c>
      <c r="J199" s="180" t="e">
        <f>#REF!*#REF!</f>
        <v>#REF!</v>
      </c>
      <c r="K199" s="178" t="e">
        <f>#REF!*mo</f>
        <v>#REF!</v>
      </c>
      <c r="L199" s="178" t="e">
        <f t="shared" si="31"/>
        <v>#REF!</v>
      </c>
      <c r="M199" s="178" t="e">
        <f>#REF!*#REF!</f>
        <v>#REF!</v>
      </c>
      <c r="N199" s="178" t="e">
        <f>#REF!+K199+#REF!</f>
        <v>#REF!</v>
      </c>
      <c r="O199" s="181" t="e">
        <f t="shared" si="33"/>
        <v>#REF!</v>
      </c>
    </row>
    <row r="200" spans="1:15" s="193" customFormat="1" outlineLevel="2">
      <c r="A200" s="155"/>
      <c r="B200" s="197" t="s">
        <v>879</v>
      </c>
      <c r="C200" s="190" t="s">
        <v>123</v>
      </c>
      <c r="D200" s="191"/>
      <c r="E200" s="176"/>
      <c r="F200" s="177"/>
      <c r="G200" s="192"/>
      <c r="H200" s="179"/>
      <c r="I200" s="339" t="e">
        <f>IF(#REF!="",#REF!*#REF!,IF(#REF!=0,#REF!*#REF!,#REF!*#REF!*#REF!))</f>
        <v>#REF!</v>
      </c>
      <c r="J200" s="180" t="e">
        <f>#REF!*#REF!</f>
        <v>#REF!</v>
      </c>
      <c r="K200" s="178" t="e">
        <f>#REF!*mo</f>
        <v>#REF!</v>
      </c>
      <c r="L200" s="178" t="e">
        <f t="shared" si="31"/>
        <v>#REF!</v>
      </c>
      <c r="M200" s="178" t="e">
        <f>#REF!*#REF!</f>
        <v>#REF!</v>
      </c>
      <c r="N200" s="178" t="e">
        <f>#REF!+K200+#REF!</f>
        <v>#REF!</v>
      </c>
      <c r="O200" s="181" t="e">
        <f t="shared" si="33"/>
        <v>#REF!</v>
      </c>
    </row>
    <row r="201" spans="1:15" s="193" customFormat="1" outlineLevel="2">
      <c r="A201" s="155"/>
      <c r="B201" s="197"/>
      <c r="C201" s="190"/>
      <c r="D201" s="191"/>
      <c r="E201" s="176"/>
      <c r="F201" s="177"/>
      <c r="G201" s="192"/>
      <c r="H201" s="179"/>
      <c r="I201" s="339" t="e">
        <f>IF(#REF!="",#REF!*#REF!,IF(#REF!=0,#REF!*#REF!,#REF!*#REF!*#REF!))</f>
        <v>#REF!</v>
      </c>
      <c r="J201" s="180" t="e">
        <f>#REF!*#REF!</f>
        <v>#REF!</v>
      </c>
      <c r="K201" s="178" t="e">
        <f>#REF!*mo</f>
        <v>#REF!</v>
      </c>
      <c r="L201" s="178" t="e">
        <f t="shared" si="31"/>
        <v>#REF!</v>
      </c>
      <c r="M201" s="178" t="e">
        <f>#REF!*#REF!</f>
        <v>#REF!</v>
      </c>
      <c r="N201" s="178" t="e">
        <f>#REF!+K201+#REF!</f>
        <v>#REF!</v>
      </c>
      <c r="O201" s="181" t="e">
        <f t="shared" si="33"/>
        <v>#REF!</v>
      </c>
    </row>
    <row r="202" spans="1:15" s="193" customFormat="1" outlineLevel="2">
      <c r="A202" s="155"/>
      <c r="B202" s="156"/>
      <c r="C202" s="190"/>
      <c r="D202" s="191"/>
      <c r="E202" s="176"/>
      <c r="F202" s="177"/>
      <c r="G202" s="192"/>
      <c r="H202" s="179"/>
      <c r="I202" s="339" t="e">
        <f>IF(#REF!="",#REF!*#REF!,IF(#REF!=0,#REF!*#REF!,#REF!*#REF!*#REF!))</f>
        <v>#REF!</v>
      </c>
      <c r="J202" s="180" t="e">
        <f>#REF!*#REF!</f>
        <v>#REF!</v>
      </c>
      <c r="K202" s="178" t="e">
        <f>#REF!*mo</f>
        <v>#REF!</v>
      </c>
      <c r="L202" s="178" t="e">
        <f t="shared" si="29"/>
        <v>#REF!</v>
      </c>
      <c r="M202" s="178" t="e">
        <f>#REF!*#REF!</f>
        <v>#REF!</v>
      </c>
      <c r="N202" s="178" t="e">
        <f>#REF!+K202+#REF!</f>
        <v>#REF!</v>
      </c>
      <c r="O202" s="181" t="e">
        <f t="shared" si="33"/>
        <v>#REF!</v>
      </c>
    </row>
    <row r="203" spans="1:15" s="193" customFormat="1" outlineLevel="1">
      <c r="A203" s="157" t="str">
        <f>$A$134&amp;".2"</f>
        <v>3.3.2</v>
      </c>
      <c r="B203" s="158" t="s">
        <v>885</v>
      </c>
      <c r="C203" s="190"/>
      <c r="D203" s="191"/>
      <c r="E203" s="176"/>
      <c r="F203" s="177"/>
      <c r="G203" s="192">
        <f>SUM(F204:F211)</f>
        <v>0</v>
      </c>
      <c r="H203" s="179"/>
      <c r="I203" s="339" t="e">
        <f>IF(#REF!="",#REF!*#REF!,IF(#REF!=0,#REF!*#REF!,#REF!*#REF!*#REF!))</f>
        <v>#REF!</v>
      </c>
      <c r="J203" s="180" t="e">
        <f>#REF!*#REF!</f>
        <v>#REF!</v>
      </c>
      <c r="K203" s="178" t="e">
        <f>#REF!*mo</f>
        <v>#REF!</v>
      </c>
      <c r="L203" s="178" t="e">
        <f t="shared" si="29"/>
        <v>#REF!</v>
      </c>
      <c r="M203" s="178" t="e">
        <f>#REF!*#REF!</f>
        <v>#REF!</v>
      </c>
      <c r="N203" s="178" t="e">
        <f>#REF!+K203+#REF!</f>
        <v>#REF!</v>
      </c>
      <c r="O203" s="181" t="e">
        <f t="shared" si="33"/>
        <v>#REF!</v>
      </c>
    </row>
    <row r="204" spans="1:15" s="193" customFormat="1" outlineLevel="2">
      <c r="A204" s="155"/>
      <c r="B204" s="197"/>
      <c r="C204" s="190"/>
      <c r="D204" s="191"/>
      <c r="E204" s="176"/>
      <c r="F204" s="177"/>
      <c r="G204" s="192"/>
      <c r="H204" s="179"/>
      <c r="I204" s="339" t="e">
        <f>IF(#REF!="",#REF!*#REF!,IF(#REF!=0,#REF!*#REF!,#REF!*#REF!*#REF!))</f>
        <v>#REF!</v>
      </c>
      <c r="J204" s="180" t="e">
        <f>#REF!*#REF!</f>
        <v>#REF!</v>
      </c>
      <c r="K204" s="178" t="e">
        <f>#REF!*mo</f>
        <v>#REF!</v>
      </c>
      <c r="L204" s="178" t="e">
        <f t="shared" si="29"/>
        <v>#REF!</v>
      </c>
      <c r="M204" s="178" t="e">
        <f>#REF!*#REF!</f>
        <v>#REF!</v>
      </c>
      <c r="N204" s="178" t="e">
        <f>#REF!+K204+#REF!</f>
        <v>#REF!</v>
      </c>
      <c r="O204" s="181" t="e">
        <f t="shared" si="33"/>
        <v>#REF!</v>
      </c>
    </row>
    <row r="205" spans="1:15" s="193" customFormat="1" outlineLevel="2">
      <c r="A205" s="155"/>
      <c r="B205" s="156" t="s">
        <v>886</v>
      </c>
      <c r="C205" s="190" t="s">
        <v>795</v>
      </c>
      <c r="D205" s="191"/>
      <c r="E205" s="176"/>
      <c r="F205" s="177"/>
      <c r="G205" s="192"/>
      <c r="H205" s="179"/>
      <c r="I205" s="339" t="e">
        <f>IF(#REF!="",#REF!*#REF!,IF(#REF!=0,#REF!*#REF!,#REF!*#REF!*#REF!))</f>
        <v>#REF!</v>
      </c>
      <c r="J205" s="180" t="e">
        <f>#REF!*#REF!</f>
        <v>#REF!</v>
      </c>
      <c r="K205" s="178" t="e">
        <f>#REF!*mo</f>
        <v>#REF!</v>
      </c>
      <c r="L205" s="178" t="e">
        <f>J205*mo</f>
        <v>#REF!</v>
      </c>
      <c r="M205" s="178" t="e">
        <f>#REF!*#REF!</f>
        <v>#REF!</v>
      </c>
      <c r="N205" s="178" t="e">
        <f>#REF!+K205+#REF!</f>
        <v>#REF!</v>
      </c>
      <c r="O205" s="181" t="e">
        <f>M205+L205+I205</f>
        <v>#REF!</v>
      </c>
    </row>
    <row r="206" spans="1:15" s="193" customFormat="1" outlineLevel="2">
      <c r="A206" s="155"/>
      <c r="B206" s="156" t="s">
        <v>887</v>
      </c>
      <c r="C206" s="190" t="s">
        <v>123</v>
      </c>
      <c r="D206" s="191"/>
      <c r="E206" s="176"/>
      <c r="F206" s="177"/>
      <c r="G206" s="192"/>
      <c r="H206" s="179"/>
      <c r="I206" s="339" t="e">
        <f>IF(#REF!="",#REF!*#REF!,IF(#REF!=0,#REF!*#REF!,#REF!*#REF!*#REF!))</f>
        <v>#REF!</v>
      </c>
      <c r="J206" s="180" t="e">
        <f>#REF!*#REF!</f>
        <v>#REF!</v>
      </c>
      <c r="K206" s="178" t="e">
        <f>#REF!*mo</f>
        <v>#REF!</v>
      </c>
      <c r="L206" s="178" t="e">
        <f t="shared" si="29"/>
        <v>#REF!</v>
      </c>
      <c r="M206" s="178" t="e">
        <f>#REF!*#REF!</f>
        <v>#REF!</v>
      </c>
      <c r="N206" s="178" t="e">
        <f>#REF!+K206+#REF!</f>
        <v>#REF!</v>
      </c>
      <c r="O206" s="181" t="e">
        <f t="shared" si="33"/>
        <v>#REF!</v>
      </c>
    </row>
    <row r="207" spans="1:15" s="193" customFormat="1" outlineLevel="2">
      <c r="A207" s="155"/>
      <c r="B207" s="156"/>
      <c r="C207" s="190"/>
      <c r="D207" s="191"/>
      <c r="E207" s="176"/>
      <c r="F207" s="177"/>
      <c r="G207" s="192"/>
      <c r="H207" s="179"/>
      <c r="I207" s="339" t="e">
        <f>IF(#REF!="",#REF!*#REF!,IF(#REF!=0,#REF!*#REF!,#REF!*#REF!*#REF!))</f>
        <v>#REF!</v>
      </c>
      <c r="J207" s="180" t="e">
        <f>#REF!*#REF!</f>
        <v>#REF!</v>
      </c>
      <c r="K207" s="178" t="e">
        <f>#REF!*mo</f>
        <v>#REF!</v>
      </c>
      <c r="L207" s="178" t="e">
        <f t="shared" si="29"/>
        <v>#REF!</v>
      </c>
      <c r="M207" s="178" t="e">
        <f>#REF!*#REF!</f>
        <v>#REF!</v>
      </c>
      <c r="N207" s="178" t="e">
        <f>#REF!+K207+#REF!</f>
        <v>#REF!</v>
      </c>
      <c r="O207" s="181" t="e">
        <f t="shared" si="33"/>
        <v>#REF!</v>
      </c>
    </row>
    <row r="208" spans="1:15" s="193" customFormat="1" outlineLevel="2">
      <c r="A208" s="155"/>
      <c r="B208" s="156" t="s">
        <v>888</v>
      </c>
      <c r="C208" s="190" t="s">
        <v>123</v>
      </c>
      <c r="D208" s="191"/>
      <c r="E208" s="176"/>
      <c r="F208" s="177"/>
      <c r="G208" s="192"/>
      <c r="H208" s="179"/>
      <c r="I208" s="339" t="e">
        <f>IF(#REF!="",#REF!*#REF!,IF(#REF!=0,#REF!*#REF!,#REF!*#REF!*#REF!))</f>
        <v>#REF!</v>
      </c>
      <c r="J208" s="180" t="e">
        <f>#REF!*#REF!</f>
        <v>#REF!</v>
      </c>
      <c r="K208" s="178" t="e">
        <f>#REF!*mo</f>
        <v>#REF!</v>
      </c>
      <c r="L208" s="178" t="e">
        <f t="shared" si="29"/>
        <v>#REF!</v>
      </c>
      <c r="M208" s="178" t="e">
        <f>#REF!*#REF!</f>
        <v>#REF!</v>
      </c>
      <c r="N208" s="178" t="e">
        <f>#REF!+K208+#REF!</f>
        <v>#REF!</v>
      </c>
      <c r="O208" s="181" t="e">
        <f t="shared" si="33"/>
        <v>#REF!</v>
      </c>
    </row>
    <row r="209" spans="1:15" s="193" customFormat="1" outlineLevel="2">
      <c r="A209" s="155"/>
      <c r="B209" s="156" t="s">
        <v>889</v>
      </c>
      <c r="C209" s="190" t="s">
        <v>123</v>
      </c>
      <c r="D209" s="191"/>
      <c r="E209" s="176"/>
      <c r="F209" s="177"/>
      <c r="G209" s="192"/>
      <c r="H209" s="179"/>
      <c r="I209" s="339" t="e">
        <f>IF(#REF!="",#REF!*#REF!,IF(#REF!=0,#REF!*#REF!,#REF!*#REF!*#REF!))</f>
        <v>#REF!</v>
      </c>
      <c r="J209" s="180" t="e">
        <f>#REF!*#REF!</f>
        <v>#REF!</v>
      </c>
      <c r="K209" s="178" t="e">
        <f>#REF!*mo</f>
        <v>#REF!</v>
      </c>
      <c r="L209" s="178" t="e">
        <f t="shared" si="29"/>
        <v>#REF!</v>
      </c>
      <c r="M209" s="178" t="e">
        <f>#REF!*#REF!</f>
        <v>#REF!</v>
      </c>
      <c r="N209" s="178" t="e">
        <f>#REF!+K209+#REF!</f>
        <v>#REF!</v>
      </c>
      <c r="O209" s="181" t="e">
        <f t="shared" si="33"/>
        <v>#REF!</v>
      </c>
    </row>
    <row r="210" spans="1:15" s="193" customFormat="1" outlineLevel="2">
      <c r="A210" s="155"/>
      <c r="B210" s="156" t="s">
        <v>890</v>
      </c>
      <c r="C210" s="190" t="s">
        <v>123</v>
      </c>
      <c r="D210" s="191"/>
      <c r="E210" s="176"/>
      <c r="F210" s="177"/>
      <c r="G210" s="192"/>
      <c r="H210" s="179"/>
      <c r="I210" s="339" t="e">
        <f>IF(#REF!="",#REF!*#REF!,IF(#REF!=0,#REF!*#REF!,#REF!*#REF!*#REF!))</f>
        <v>#REF!</v>
      </c>
      <c r="J210" s="180" t="e">
        <f>#REF!*#REF!</f>
        <v>#REF!</v>
      </c>
      <c r="K210" s="178" t="e">
        <f>#REF!*mo</f>
        <v>#REF!</v>
      </c>
      <c r="L210" s="178" t="e">
        <f t="shared" si="29"/>
        <v>#REF!</v>
      </c>
      <c r="M210" s="178" t="e">
        <f>#REF!*#REF!</f>
        <v>#REF!</v>
      </c>
      <c r="N210" s="178" t="e">
        <f>#REF!+K210+#REF!</f>
        <v>#REF!</v>
      </c>
      <c r="O210" s="181" t="e">
        <f t="shared" si="33"/>
        <v>#REF!</v>
      </c>
    </row>
    <row r="211" spans="1:15" s="193" customFormat="1" outlineLevel="2">
      <c r="A211" s="155"/>
      <c r="B211" s="156"/>
      <c r="C211" s="190"/>
      <c r="D211" s="191"/>
      <c r="E211" s="176"/>
      <c r="F211" s="177"/>
      <c r="G211" s="192"/>
      <c r="H211" s="179"/>
      <c r="I211" s="339" t="e">
        <f>IF(#REF!="",#REF!*#REF!,IF(#REF!=0,#REF!*#REF!,#REF!*#REF!*#REF!))</f>
        <v>#REF!</v>
      </c>
      <c r="J211" s="180" t="e">
        <f>#REF!*#REF!</f>
        <v>#REF!</v>
      </c>
      <c r="K211" s="178" t="e">
        <f>#REF!*mo</f>
        <v>#REF!</v>
      </c>
      <c r="L211" s="178" t="e">
        <f t="shared" si="29"/>
        <v>#REF!</v>
      </c>
      <c r="M211" s="178" t="e">
        <f>#REF!*#REF!</f>
        <v>#REF!</v>
      </c>
      <c r="N211" s="178" t="e">
        <f>#REF!+K211+#REF!</f>
        <v>#REF!</v>
      </c>
      <c r="O211" s="181" t="e">
        <f t="shared" si="33"/>
        <v>#REF!</v>
      </c>
    </row>
    <row r="212" spans="1:15" s="209" customFormat="1" outlineLevel="1">
      <c r="A212" s="157" t="str">
        <f>$A$134&amp;".3"</f>
        <v>3.3.3</v>
      </c>
      <c r="B212" s="158" t="s">
        <v>891</v>
      </c>
      <c r="C212" s="195"/>
      <c r="D212" s="170"/>
      <c r="E212" s="176"/>
      <c r="F212" s="177"/>
      <c r="G212" s="192">
        <f>SUM(F213:F254)</f>
        <v>0</v>
      </c>
      <c r="H212" s="179"/>
      <c r="I212" s="339" t="e">
        <f>IF(#REF!="",#REF!*#REF!,IF(#REF!=0,#REF!*#REF!,#REF!*#REF!*#REF!))</f>
        <v>#REF!</v>
      </c>
      <c r="J212" s="180" t="e">
        <f>#REF!*#REF!</f>
        <v>#REF!</v>
      </c>
      <c r="K212" s="178" t="e">
        <f>#REF!*mo</f>
        <v>#REF!</v>
      </c>
      <c r="L212" s="178" t="e">
        <f t="shared" ref="L212:L260" si="34">J212*mo</f>
        <v>#REF!</v>
      </c>
      <c r="M212" s="178" t="e">
        <f>#REF!*#REF!</f>
        <v>#REF!</v>
      </c>
      <c r="N212" s="178" t="e">
        <f>#REF!+K212+#REF!</f>
        <v>#REF!</v>
      </c>
      <c r="O212" s="181" t="e">
        <f t="shared" si="33"/>
        <v>#REF!</v>
      </c>
    </row>
    <row r="213" spans="1:15" s="193" customFormat="1" outlineLevel="2">
      <c r="A213" s="155"/>
      <c r="B213" s="156"/>
      <c r="C213" s="190"/>
      <c r="D213" s="191"/>
      <c r="E213" s="176"/>
      <c r="F213" s="177"/>
      <c r="G213" s="192"/>
      <c r="H213" s="179"/>
      <c r="I213" s="339" t="e">
        <f>IF(#REF!="",#REF!*#REF!,IF(#REF!=0,#REF!*#REF!,#REF!*#REF!*#REF!))</f>
        <v>#REF!</v>
      </c>
      <c r="J213" s="180" t="e">
        <f>#REF!*#REF!</f>
        <v>#REF!</v>
      </c>
      <c r="K213" s="178" t="e">
        <f>#REF!*mo</f>
        <v>#REF!</v>
      </c>
      <c r="L213" s="178" t="e">
        <f t="shared" si="34"/>
        <v>#REF!</v>
      </c>
      <c r="M213" s="178" t="e">
        <f>#REF!*#REF!</f>
        <v>#REF!</v>
      </c>
      <c r="N213" s="178" t="e">
        <f>#REF!+K213+#REF!</f>
        <v>#REF!</v>
      </c>
      <c r="O213" s="181" t="e">
        <f t="shared" si="33"/>
        <v>#REF!</v>
      </c>
    </row>
    <row r="214" spans="1:15" s="193" customFormat="1" outlineLevel="2">
      <c r="A214" s="155"/>
      <c r="B214" s="156" t="s">
        <v>892</v>
      </c>
      <c r="C214" s="190"/>
      <c r="D214" s="191"/>
      <c r="E214" s="176"/>
      <c r="F214" s="177"/>
      <c r="G214" s="192"/>
      <c r="H214" s="179"/>
      <c r="I214" s="339" t="e">
        <f>IF(#REF!="",#REF!*#REF!,IF(#REF!=0,#REF!*#REF!,#REF!*#REF!*#REF!))</f>
        <v>#REF!</v>
      </c>
      <c r="J214" s="180" t="e">
        <f>#REF!*#REF!</f>
        <v>#REF!</v>
      </c>
      <c r="K214" s="178" t="e">
        <f>#REF!*mo</f>
        <v>#REF!</v>
      </c>
      <c r="L214" s="178" t="e">
        <f t="shared" si="34"/>
        <v>#REF!</v>
      </c>
      <c r="M214" s="178" t="e">
        <f>#REF!*#REF!</f>
        <v>#REF!</v>
      </c>
      <c r="N214" s="178" t="e">
        <f>#REF!+K214+#REF!</f>
        <v>#REF!</v>
      </c>
      <c r="O214" s="181" t="e">
        <f t="shared" si="33"/>
        <v>#REF!</v>
      </c>
    </row>
    <row r="215" spans="1:15" s="193" customFormat="1" outlineLevel="2">
      <c r="A215" s="155"/>
      <c r="B215" s="197" t="s">
        <v>868</v>
      </c>
      <c r="C215" s="190" t="s">
        <v>93</v>
      </c>
      <c r="D215" s="191"/>
      <c r="E215" s="176"/>
      <c r="F215" s="177"/>
      <c r="G215" s="192"/>
      <c r="H215" s="179"/>
      <c r="I215" s="339" t="e">
        <f>IF(#REF!="",#REF!*#REF!,IF(#REF!=0,#REF!*#REF!,#REF!*#REF!*#REF!))</f>
        <v>#REF!</v>
      </c>
      <c r="J215" s="180" t="e">
        <f>#REF!*#REF!</f>
        <v>#REF!</v>
      </c>
      <c r="K215" s="178" t="e">
        <f>#REF!*mo</f>
        <v>#REF!</v>
      </c>
      <c r="L215" s="178" t="e">
        <f t="shared" si="34"/>
        <v>#REF!</v>
      </c>
      <c r="M215" s="178" t="e">
        <f>#REF!*#REF!</f>
        <v>#REF!</v>
      </c>
      <c r="N215" s="178" t="e">
        <f>#REF!+K215+#REF!</f>
        <v>#REF!</v>
      </c>
      <c r="O215" s="181" t="e">
        <f t="shared" si="33"/>
        <v>#REF!</v>
      </c>
    </row>
    <row r="216" spans="1:15" s="193" customFormat="1" outlineLevel="2">
      <c r="A216" s="155"/>
      <c r="B216" s="197" t="s">
        <v>869</v>
      </c>
      <c r="C216" s="190" t="s">
        <v>93</v>
      </c>
      <c r="D216" s="191"/>
      <c r="E216" s="176"/>
      <c r="F216" s="177"/>
      <c r="G216" s="192"/>
      <c r="H216" s="179"/>
      <c r="I216" s="339" t="e">
        <f>IF(#REF!="",#REF!*#REF!,IF(#REF!=0,#REF!*#REF!,#REF!*#REF!*#REF!))</f>
        <v>#REF!</v>
      </c>
      <c r="J216" s="180" t="e">
        <f>#REF!*#REF!</f>
        <v>#REF!</v>
      </c>
      <c r="K216" s="178" t="e">
        <f>#REF!*mo</f>
        <v>#REF!</v>
      </c>
      <c r="L216" s="178" t="e">
        <f t="shared" si="34"/>
        <v>#REF!</v>
      </c>
      <c r="M216" s="178" t="e">
        <f>#REF!*#REF!</f>
        <v>#REF!</v>
      </c>
      <c r="N216" s="178" t="e">
        <f>#REF!+K216+#REF!</f>
        <v>#REF!</v>
      </c>
      <c r="O216" s="181" t="e">
        <f t="shared" si="33"/>
        <v>#REF!</v>
      </c>
    </row>
    <row r="217" spans="1:15" s="193" customFormat="1" outlineLevel="2">
      <c r="A217" s="155"/>
      <c r="B217" s="197" t="s">
        <v>870</v>
      </c>
      <c r="C217" s="190" t="s">
        <v>93</v>
      </c>
      <c r="D217" s="191"/>
      <c r="E217" s="176"/>
      <c r="F217" s="177"/>
      <c r="G217" s="192"/>
      <c r="H217" s="179"/>
      <c r="I217" s="339" t="e">
        <f>IF(#REF!="",#REF!*#REF!,IF(#REF!=0,#REF!*#REF!,#REF!*#REF!*#REF!))</f>
        <v>#REF!</v>
      </c>
      <c r="J217" s="180" t="e">
        <f>#REF!*#REF!</f>
        <v>#REF!</v>
      </c>
      <c r="K217" s="178" t="e">
        <f>#REF!*mo</f>
        <v>#REF!</v>
      </c>
      <c r="L217" s="178" t="e">
        <f t="shared" ref="L217" si="35">J217*mo</f>
        <v>#REF!</v>
      </c>
      <c r="M217" s="178" t="e">
        <f>#REF!*#REF!</f>
        <v>#REF!</v>
      </c>
      <c r="N217" s="178" t="e">
        <f>#REF!+K217+#REF!</f>
        <v>#REF!</v>
      </c>
      <c r="O217" s="181" t="e">
        <f t="shared" si="33"/>
        <v>#REF!</v>
      </c>
    </row>
    <row r="218" spans="1:15" s="193" customFormat="1" outlineLevel="2">
      <c r="A218" s="155"/>
      <c r="B218" s="197" t="s">
        <v>871</v>
      </c>
      <c r="C218" s="190" t="s">
        <v>93</v>
      </c>
      <c r="D218" s="191"/>
      <c r="E218" s="176"/>
      <c r="F218" s="177"/>
      <c r="G218" s="192"/>
      <c r="H218" s="179"/>
      <c r="I218" s="339" t="e">
        <f>IF(#REF!="",#REF!*#REF!,IF(#REF!=0,#REF!*#REF!,#REF!*#REF!*#REF!))</f>
        <v>#REF!</v>
      </c>
      <c r="J218" s="180" t="e">
        <f>#REF!*#REF!</f>
        <v>#REF!</v>
      </c>
      <c r="K218" s="178" t="e">
        <f>#REF!*mo</f>
        <v>#REF!</v>
      </c>
      <c r="L218" s="178" t="e">
        <f t="shared" si="34"/>
        <v>#REF!</v>
      </c>
      <c r="M218" s="178" t="e">
        <f>#REF!*#REF!</f>
        <v>#REF!</v>
      </c>
      <c r="N218" s="178" t="e">
        <f>#REF!+K218+#REF!</f>
        <v>#REF!</v>
      </c>
      <c r="O218" s="181" t="e">
        <f t="shared" si="33"/>
        <v>#REF!</v>
      </c>
    </row>
    <row r="219" spans="1:15" s="193" customFormat="1" outlineLevel="2">
      <c r="A219" s="155"/>
      <c r="B219" s="197" t="s">
        <v>872</v>
      </c>
      <c r="C219" s="190" t="s">
        <v>93</v>
      </c>
      <c r="D219" s="191"/>
      <c r="E219" s="176"/>
      <c r="F219" s="177"/>
      <c r="G219" s="192"/>
      <c r="H219" s="179"/>
      <c r="I219" s="339" t="e">
        <f>IF(#REF!="",#REF!*#REF!,IF(#REF!=0,#REF!*#REF!,#REF!*#REF!*#REF!))</f>
        <v>#REF!</v>
      </c>
      <c r="J219" s="180" t="e">
        <f>#REF!*#REF!</f>
        <v>#REF!</v>
      </c>
      <c r="K219" s="178" t="e">
        <f>#REF!*mo</f>
        <v>#REF!</v>
      </c>
      <c r="L219" s="178" t="e">
        <f t="shared" si="34"/>
        <v>#REF!</v>
      </c>
      <c r="M219" s="178" t="e">
        <f>#REF!*#REF!</f>
        <v>#REF!</v>
      </c>
      <c r="N219" s="178" t="e">
        <f>#REF!+K219+#REF!</f>
        <v>#REF!</v>
      </c>
      <c r="O219" s="181" t="e">
        <f t="shared" si="33"/>
        <v>#REF!</v>
      </c>
    </row>
    <row r="220" spans="1:15" s="193" customFormat="1" outlineLevel="2">
      <c r="A220" s="155"/>
      <c r="B220" s="197" t="s">
        <v>873</v>
      </c>
      <c r="C220" s="190" t="s">
        <v>93</v>
      </c>
      <c r="D220" s="191"/>
      <c r="E220" s="176"/>
      <c r="F220" s="177"/>
      <c r="G220" s="192"/>
      <c r="H220" s="179"/>
      <c r="I220" s="339" t="e">
        <f>IF(#REF!="",#REF!*#REF!,IF(#REF!=0,#REF!*#REF!,#REF!*#REF!*#REF!))</f>
        <v>#REF!</v>
      </c>
      <c r="J220" s="180" t="e">
        <f>#REF!*#REF!</f>
        <v>#REF!</v>
      </c>
      <c r="K220" s="178" t="e">
        <f>#REF!*mo</f>
        <v>#REF!</v>
      </c>
      <c r="L220" s="178" t="e">
        <f t="shared" si="34"/>
        <v>#REF!</v>
      </c>
      <c r="M220" s="178" t="e">
        <f>#REF!*#REF!</f>
        <v>#REF!</v>
      </c>
      <c r="N220" s="178" t="e">
        <f>#REF!+K220+#REF!</f>
        <v>#REF!</v>
      </c>
      <c r="O220" s="181" t="e">
        <f t="shared" si="33"/>
        <v>#REF!</v>
      </c>
    </row>
    <row r="221" spans="1:15" s="193" customFormat="1" outlineLevel="2">
      <c r="A221" s="155"/>
      <c r="B221" s="197" t="s">
        <v>874</v>
      </c>
      <c r="C221" s="190" t="s">
        <v>123</v>
      </c>
      <c r="D221" s="191"/>
      <c r="E221" s="176"/>
      <c r="F221" s="177"/>
      <c r="G221" s="192"/>
      <c r="H221" s="179"/>
      <c r="I221" s="339" t="e">
        <f>IF(#REF!="",#REF!*#REF!,IF(#REF!=0,#REF!*#REF!,#REF!*#REF!*#REF!))</f>
        <v>#REF!</v>
      </c>
      <c r="J221" s="180" t="e">
        <f>#REF!*#REF!</f>
        <v>#REF!</v>
      </c>
      <c r="K221" s="178" t="e">
        <f>#REF!*mo</f>
        <v>#REF!</v>
      </c>
      <c r="L221" s="178" t="e">
        <f t="shared" si="34"/>
        <v>#REF!</v>
      </c>
      <c r="M221" s="178" t="e">
        <f>#REF!*#REF!</f>
        <v>#REF!</v>
      </c>
      <c r="N221" s="178" t="e">
        <f>#REF!+K221+#REF!</f>
        <v>#REF!</v>
      </c>
      <c r="O221" s="181" t="e">
        <f t="shared" si="33"/>
        <v>#REF!</v>
      </c>
    </row>
    <row r="222" spans="1:15" s="193" customFormat="1" outlineLevel="2">
      <c r="A222" s="155"/>
      <c r="B222" s="197" t="s">
        <v>875</v>
      </c>
      <c r="C222" s="190" t="s">
        <v>123</v>
      </c>
      <c r="D222" s="191"/>
      <c r="E222" s="176"/>
      <c r="F222" s="177"/>
      <c r="G222" s="192"/>
      <c r="H222" s="179"/>
      <c r="I222" s="339" t="e">
        <f>IF(#REF!="",#REF!*#REF!,IF(#REF!=0,#REF!*#REF!,#REF!*#REF!*#REF!))</f>
        <v>#REF!</v>
      </c>
      <c r="J222" s="180" t="e">
        <f>#REF!*#REF!</f>
        <v>#REF!</v>
      </c>
      <c r="K222" s="178" t="e">
        <f>#REF!*mo</f>
        <v>#REF!</v>
      </c>
      <c r="L222" s="178" t="e">
        <f t="shared" si="34"/>
        <v>#REF!</v>
      </c>
      <c r="M222" s="178" t="e">
        <f>#REF!*#REF!</f>
        <v>#REF!</v>
      </c>
      <c r="N222" s="178" t="e">
        <f>#REF!+K222+#REF!</f>
        <v>#REF!</v>
      </c>
      <c r="O222" s="181" t="e">
        <f t="shared" si="33"/>
        <v>#REF!</v>
      </c>
    </row>
    <row r="223" spans="1:15" s="193" customFormat="1" outlineLevel="2">
      <c r="A223" s="155"/>
      <c r="B223" s="197" t="s">
        <v>876</v>
      </c>
      <c r="C223" s="190" t="s">
        <v>123</v>
      </c>
      <c r="D223" s="191"/>
      <c r="E223" s="176"/>
      <c r="F223" s="177"/>
      <c r="G223" s="192"/>
      <c r="H223" s="179"/>
      <c r="I223" s="339" t="e">
        <f>IF(#REF!="",#REF!*#REF!,IF(#REF!=0,#REF!*#REF!,#REF!*#REF!*#REF!))</f>
        <v>#REF!</v>
      </c>
      <c r="J223" s="180" t="e">
        <f>#REF!*#REF!</f>
        <v>#REF!</v>
      </c>
      <c r="K223" s="178" t="e">
        <f>#REF!*mo</f>
        <v>#REF!</v>
      </c>
      <c r="L223" s="178" t="e">
        <f t="shared" si="34"/>
        <v>#REF!</v>
      </c>
      <c r="M223" s="178" t="e">
        <f>#REF!*#REF!</f>
        <v>#REF!</v>
      </c>
      <c r="N223" s="178" t="e">
        <f>#REF!+K223+#REF!</f>
        <v>#REF!</v>
      </c>
      <c r="O223" s="181" t="e">
        <f t="shared" si="33"/>
        <v>#REF!</v>
      </c>
    </row>
    <row r="224" spans="1:15" s="193" customFormat="1" outlineLevel="2">
      <c r="A224" s="155"/>
      <c r="B224" s="197" t="s">
        <v>878</v>
      </c>
      <c r="C224" s="190" t="s">
        <v>93</v>
      </c>
      <c r="D224" s="191"/>
      <c r="E224" s="176"/>
      <c r="F224" s="177"/>
      <c r="G224" s="192"/>
      <c r="H224" s="179"/>
      <c r="I224" s="339" t="e">
        <f>IF(#REF!="",#REF!*#REF!,IF(#REF!=0,#REF!*#REF!,#REF!*#REF!*#REF!))</f>
        <v>#REF!</v>
      </c>
      <c r="J224" s="180" t="e">
        <f>#REF!*#REF!</f>
        <v>#REF!</v>
      </c>
      <c r="K224" s="178" t="e">
        <f>#REF!*mo</f>
        <v>#REF!</v>
      </c>
      <c r="L224" s="178" t="e">
        <f t="shared" si="34"/>
        <v>#REF!</v>
      </c>
      <c r="M224" s="178" t="e">
        <f>#REF!*#REF!</f>
        <v>#REF!</v>
      </c>
      <c r="N224" s="178" t="e">
        <f>#REF!+K224+#REF!</f>
        <v>#REF!</v>
      </c>
      <c r="O224" s="181" t="e">
        <f t="shared" si="33"/>
        <v>#REF!</v>
      </c>
    </row>
    <row r="225" spans="1:15" s="193" customFormat="1" outlineLevel="2">
      <c r="A225" s="155"/>
      <c r="B225" s="156"/>
      <c r="C225" s="190"/>
      <c r="D225" s="191"/>
      <c r="E225" s="176"/>
      <c r="F225" s="177"/>
      <c r="G225" s="192"/>
      <c r="H225" s="179"/>
      <c r="I225" s="339" t="e">
        <f>IF(#REF!="",#REF!*#REF!,IF(#REF!=0,#REF!*#REF!,#REF!*#REF!*#REF!))</f>
        <v>#REF!</v>
      </c>
      <c r="J225" s="180" t="e">
        <f>#REF!*#REF!</f>
        <v>#REF!</v>
      </c>
      <c r="K225" s="178" t="e">
        <f>#REF!*mo</f>
        <v>#REF!</v>
      </c>
      <c r="L225" s="178" t="e">
        <f t="shared" si="34"/>
        <v>#REF!</v>
      </c>
      <c r="M225" s="178" t="e">
        <f>#REF!*#REF!</f>
        <v>#REF!</v>
      </c>
      <c r="N225" s="178" t="e">
        <f>#REF!+K225+#REF!</f>
        <v>#REF!</v>
      </c>
      <c r="O225" s="181" t="e">
        <f t="shared" si="33"/>
        <v>#REF!</v>
      </c>
    </row>
    <row r="226" spans="1:15" s="193" customFormat="1" outlineLevel="2">
      <c r="A226" s="155"/>
      <c r="B226" s="156" t="s">
        <v>893</v>
      </c>
      <c r="C226" s="190"/>
      <c r="D226" s="191"/>
      <c r="E226" s="176"/>
      <c r="F226" s="177"/>
      <c r="G226" s="192"/>
      <c r="H226" s="179"/>
      <c r="I226" s="339" t="e">
        <f>IF(#REF!="",#REF!*#REF!,IF(#REF!=0,#REF!*#REF!,#REF!*#REF!*#REF!))</f>
        <v>#REF!</v>
      </c>
      <c r="J226" s="180" t="e">
        <f>#REF!*#REF!</f>
        <v>#REF!</v>
      </c>
      <c r="K226" s="178" t="e">
        <f>#REF!*mo</f>
        <v>#REF!</v>
      </c>
      <c r="L226" s="178" t="e">
        <f t="shared" si="34"/>
        <v>#REF!</v>
      </c>
      <c r="M226" s="178" t="e">
        <f>#REF!*#REF!</f>
        <v>#REF!</v>
      </c>
      <c r="N226" s="178" t="e">
        <f>#REF!+K226+#REF!</f>
        <v>#REF!</v>
      </c>
      <c r="O226" s="181" t="e">
        <f t="shared" si="33"/>
        <v>#REF!</v>
      </c>
    </row>
    <row r="227" spans="1:15" s="193" customFormat="1" outlineLevel="2">
      <c r="A227" s="155"/>
      <c r="B227" s="197" t="s">
        <v>868</v>
      </c>
      <c r="C227" s="190" t="s">
        <v>93</v>
      </c>
      <c r="D227" s="191"/>
      <c r="E227" s="176"/>
      <c r="F227" s="177"/>
      <c r="G227" s="192"/>
      <c r="H227" s="179"/>
      <c r="I227" s="339" t="e">
        <f>IF(#REF!="",#REF!*#REF!,IF(#REF!=0,#REF!*#REF!,#REF!*#REF!*#REF!))</f>
        <v>#REF!</v>
      </c>
      <c r="J227" s="180" t="e">
        <f>#REF!*#REF!</f>
        <v>#REF!</v>
      </c>
      <c r="K227" s="178" t="e">
        <f>#REF!*mo</f>
        <v>#REF!</v>
      </c>
      <c r="L227" s="178" t="e">
        <f t="shared" si="34"/>
        <v>#REF!</v>
      </c>
      <c r="M227" s="178" t="e">
        <f>#REF!*#REF!</f>
        <v>#REF!</v>
      </c>
      <c r="N227" s="178" t="e">
        <f>#REF!+K227+#REF!</f>
        <v>#REF!</v>
      </c>
      <c r="O227" s="181" t="e">
        <f t="shared" si="33"/>
        <v>#REF!</v>
      </c>
    </row>
    <row r="228" spans="1:15" s="193" customFormat="1" outlineLevel="2">
      <c r="A228" s="155"/>
      <c r="B228" s="197" t="s">
        <v>869</v>
      </c>
      <c r="C228" s="190" t="s">
        <v>93</v>
      </c>
      <c r="D228" s="191"/>
      <c r="E228" s="176"/>
      <c r="F228" s="177"/>
      <c r="G228" s="192"/>
      <c r="H228" s="179"/>
      <c r="I228" s="339" t="e">
        <f>IF(#REF!="",#REF!*#REF!,IF(#REF!=0,#REF!*#REF!,#REF!*#REF!*#REF!))</f>
        <v>#REF!</v>
      </c>
      <c r="J228" s="180" t="e">
        <f>#REF!*#REF!</f>
        <v>#REF!</v>
      </c>
      <c r="K228" s="178" t="e">
        <f>#REF!*mo</f>
        <v>#REF!</v>
      </c>
      <c r="L228" s="178" t="e">
        <f t="shared" si="34"/>
        <v>#REF!</v>
      </c>
      <c r="M228" s="178" t="e">
        <f>#REF!*#REF!</f>
        <v>#REF!</v>
      </c>
      <c r="N228" s="178" t="e">
        <f>#REF!+K228+#REF!</f>
        <v>#REF!</v>
      </c>
      <c r="O228" s="181" t="e">
        <f t="shared" si="33"/>
        <v>#REF!</v>
      </c>
    </row>
    <row r="229" spans="1:15" s="193" customFormat="1" outlineLevel="2">
      <c r="A229" s="155"/>
      <c r="B229" s="197" t="s">
        <v>870</v>
      </c>
      <c r="C229" s="190" t="s">
        <v>93</v>
      </c>
      <c r="D229" s="191"/>
      <c r="E229" s="176"/>
      <c r="F229" s="177"/>
      <c r="G229" s="192"/>
      <c r="H229" s="179"/>
      <c r="I229" s="339" t="e">
        <f>IF(#REF!="",#REF!*#REF!,IF(#REF!=0,#REF!*#REF!,#REF!*#REF!*#REF!))</f>
        <v>#REF!</v>
      </c>
      <c r="J229" s="180" t="e">
        <f>#REF!*#REF!</f>
        <v>#REF!</v>
      </c>
      <c r="K229" s="178" t="e">
        <f>#REF!*mo</f>
        <v>#REF!</v>
      </c>
      <c r="L229" s="178" t="e">
        <f t="shared" ref="L229" si="36">J229*mo</f>
        <v>#REF!</v>
      </c>
      <c r="M229" s="178" t="e">
        <f>#REF!*#REF!</f>
        <v>#REF!</v>
      </c>
      <c r="N229" s="178" t="e">
        <f>#REF!+K229+#REF!</f>
        <v>#REF!</v>
      </c>
      <c r="O229" s="181" t="e">
        <f t="shared" si="33"/>
        <v>#REF!</v>
      </c>
    </row>
    <row r="230" spans="1:15" s="193" customFormat="1" outlineLevel="2">
      <c r="A230" s="155"/>
      <c r="B230" s="197" t="s">
        <v>871</v>
      </c>
      <c r="C230" s="190" t="s">
        <v>93</v>
      </c>
      <c r="D230" s="191"/>
      <c r="E230" s="176"/>
      <c r="F230" s="177"/>
      <c r="G230" s="192"/>
      <c r="H230" s="179"/>
      <c r="I230" s="339" t="e">
        <f>IF(#REF!="",#REF!*#REF!,IF(#REF!=0,#REF!*#REF!,#REF!*#REF!*#REF!))</f>
        <v>#REF!</v>
      </c>
      <c r="J230" s="180" t="e">
        <f>#REF!*#REF!</f>
        <v>#REF!</v>
      </c>
      <c r="K230" s="178" t="e">
        <f>#REF!*mo</f>
        <v>#REF!</v>
      </c>
      <c r="L230" s="178" t="e">
        <f t="shared" si="34"/>
        <v>#REF!</v>
      </c>
      <c r="M230" s="178" t="e">
        <f>#REF!*#REF!</f>
        <v>#REF!</v>
      </c>
      <c r="N230" s="178" t="e">
        <f>#REF!+K230+#REF!</f>
        <v>#REF!</v>
      </c>
      <c r="O230" s="181" t="e">
        <f t="shared" si="33"/>
        <v>#REF!</v>
      </c>
    </row>
    <row r="231" spans="1:15" s="193" customFormat="1" outlineLevel="2">
      <c r="A231" s="155"/>
      <c r="B231" s="197" t="s">
        <v>872</v>
      </c>
      <c r="C231" s="190" t="s">
        <v>93</v>
      </c>
      <c r="D231" s="191"/>
      <c r="E231" s="176"/>
      <c r="F231" s="177"/>
      <c r="G231" s="192"/>
      <c r="H231" s="179"/>
      <c r="I231" s="339" t="e">
        <f>IF(#REF!="",#REF!*#REF!,IF(#REF!=0,#REF!*#REF!,#REF!*#REF!*#REF!))</f>
        <v>#REF!</v>
      </c>
      <c r="J231" s="180" t="e">
        <f>#REF!*#REF!</f>
        <v>#REF!</v>
      </c>
      <c r="K231" s="178" t="e">
        <f>#REF!*mo</f>
        <v>#REF!</v>
      </c>
      <c r="L231" s="178" t="e">
        <f t="shared" si="34"/>
        <v>#REF!</v>
      </c>
      <c r="M231" s="178" t="e">
        <f>#REF!*#REF!</f>
        <v>#REF!</v>
      </c>
      <c r="N231" s="178" t="e">
        <f>#REF!+K231+#REF!</f>
        <v>#REF!</v>
      </c>
      <c r="O231" s="181" t="e">
        <f t="shared" si="33"/>
        <v>#REF!</v>
      </c>
    </row>
    <row r="232" spans="1:15" s="193" customFormat="1" outlineLevel="2">
      <c r="A232" s="155"/>
      <c r="B232" s="197" t="s">
        <v>873</v>
      </c>
      <c r="C232" s="190" t="s">
        <v>93</v>
      </c>
      <c r="D232" s="191"/>
      <c r="E232" s="176"/>
      <c r="F232" s="177"/>
      <c r="G232" s="192"/>
      <c r="H232" s="179"/>
      <c r="I232" s="339" t="e">
        <f>IF(#REF!="",#REF!*#REF!,IF(#REF!=0,#REF!*#REF!,#REF!*#REF!*#REF!))</f>
        <v>#REF!</v>
      </c>
      <c r="J232" s="180" t="e">
        <f>#REF!*#REF!</f>
        <v>#REF!</v>
      </c>
      <c r="K232" s="178" t="e">
        <f>#REF!*mo</f>
        <v>#REF!</v>
      </c>
      <c r="L232" s="178" t="e">
        <f t="shared" si="34"/>
        <v>#REF!</v>
      </c>
      <c r="M232" s="178" t="e">
        <f>#REF!*#REF!</f>
        <v>#REF!</v>
      </c>
      <c r="N232" s="178" t="e">
        <f>#REF!+K232+#REF!</f>
        <v>#REF!</v>
      </c>
      <c r="O232" s="181" t="e">
        <f t="shared" si="33"/>
        <v>#REF!</v>
      </c>
    </row>
    <row r="233" spans="1:15" s="193" customFormat="1" outlineLevel="2">
      <c r="A233" s="155"/>
      <c r="B233" s="197" t="s">
        <v>874</v>
      </c>
      <c r="C233" s="190" t="s">
        <v>93</v>
      </c>
      <c r="D233" s="191"/>
      <c r="E233" s="176"/>
      <c r="F233" s="177"/>
      <c r="G233" s="192"/>
      <c r="H233" s="179"/>
      <c r="I233" s="339" t="e">
        <f>IF(#REF!="",#REF!*#REF!,IF(#REF!=0,#REF!*#REF!,#REF!*#REF!*#REF!))</f>
        <v>#REF!</v>
      </c>
      <c r="J233" s="180" t="e">
        <f>#REF!*#REF!</f>
        <v>#REF!</v>
      </c>
      <c r="K233" s="178" t="e">
        <f>#REF!*mo</f>
        <v>#REF!</v>
      </c>
      <c r="L233" s="178" t="e">
        <f t="shared" si="34"/>
        <v>#REF!</v>
      </c>
      <c r="M233" s="178" t="e">
        <f>#REF!*#REF!</f>
        <v>#REF!</v>
      </c>
      <c r="N233" s="178" t="e">
        <f>#REF!+K233+#REF!</f>
        <v>#REF!</v>
      </c>
      <c r="O233" s="181" t="e">
        <f t="shared" si="33"/>
        <v>#REF!</v>
      </c>
    </row>
    <row r="234" spans="1:15" s="193" customFormat="1" outlineLevel="2">
      <c r="A234" s="155"/>
      <c r="B234" s="197" t="s">
        <v>875</v>
      </c>
      <c r="C234" s="190" t="s">
        <v>93</v>
      </c>
      <c r="D234" s="191"/>
      <c r="E234" s="176"/>
      <c r="F234" s="177"/>
      <c r="G234" s="192"/>
      <c r="H234" s="179"/>
      <c r="I234" s="339" t="e">
        <f>IF(#REF!="",#REF!*#REF!,IF(#REF!=0,#REF!*#REF!,#REF!*#REF!*#REF!))</f>
        <v>#REF!</v>
      </c>
      <c r="J234" s="180" t="e">
        <f>#REF!*#REF!</f>
        <v>#REF!</v>
      </c>
      <c r="K234" s="178" t="e">
        <f>#REF!*mo</f>
        <v>#REF!</v>
      </c>
      <c r="L234" s="178" t="e">
        <f t="shared" si="34"/>
        <v>#REF!</v>
      </c>
      <c r="M234" s="178" t="e">
        <f>#REF!*#REF!</f>
        <v>#REF!</v>
      </c>
      <c r="N234" s="178" t="e">
        <f>#REF!+K234+#REF!</f>
        <v>#REF!</v>
      </c>
      <c r="O234" s="181" t="e">
        <f t="shared" si="33"/>
        <v>#REF!</v>
      </c>
    </row>
    <row r="235" spans="1:15" s="193" customFormat="1" outlineLevel="2">
      <c r="A235" s="155"/>
      <c r="B235" s="197" t="s">
        <v>876</v>
      </c>
      <c r="C235" s="190" t="s">
        <v>93</v>
      </c>
      <c r="D235" s="191"/>
      <c r="E235" s="176"/>
      <c r="F235" s="177"/>
      <c r="G235" s="192"/>
      <c r="H235" s="179"/>
      <c r="I235" s="339" t="e">
        <f>IF(#REF!="",#REF!*#REF!,IF(#REF!=0,#REF!*#REF!,#REF!*#REF!*#REF!))</f>
        <v>#REF!</v>
      </c>
      <c r="J235" s="180" t="e">
        <f>#REF!*#REF!</f>
        <v>#REF!</v>
      </c>
      <c r="K235" s="178" t="e">
        <f>#REF!*mo</f>
        <v>#REF!</v>
      </c>
      <c r="L235" s="178" t="e">
        <f t="shared" si="34"/>
        <v>#REF!</v>
      </c>
      <c r="M235" s="178" t="e">
        <f>#REF!*#REF!</f>
        <v>#REF!</v>
      </c>
      <c r="N235" s="178" t="e">
        <f>#REF!+K235+#REF!</f>
        <v>#REF!</v>
      </c>
      <c r="O235" s="181" t="e">
        <f t="shared" si="33"/>
        <v>#REF!</v>
      </c>
    </row>
    <row r="236" spans="1:15" s="193" customFormat="1" outlineLevel="2">
      <c r="A236" s="155"/>
      <c r="B236" s="197" t="s">
        <v>878</v>
      </c>
      <c r="C236" s="190" t="s">
        <v>93</v>
      </c>
      <c r="D236" s="191"/>
      <c r="E236" s="176"/>
      <c r="F236" s="177"/>
      <c r="G236" s="192"/>
      <c r="H236" s="179"/>
      <c r="I236" s="339" t="e">
        <f>IF(#REF!="",#REF!*#REF!,IF(#REF!=0,#REF!*#REF!,#REF!*#REF!*#REF!))</f>
        <v>#REF!</v>
      </c>
      <c r="J236" s="180" t="e">
        <f>#REF!*#REF!</f>
        <v>#REF!</v>
      </c>
      <c r="K236" s="178" t="e">
        <f>#REF!*mo</f>
        <v>#REF!</v>
      </c>
      <c r="L236" s="178" t="e">
        <f t="shared" si="34"/>
        <v>#REF!</v>
      </c>
      <c r="M236" s="178" t="e">
        <f>#REF!*#REF!</f>
        <v>#REF!</v>
      </c>
      <c r="N236" s="178" t="e">
        <f>#REF!+K236+#REF!</f>
        <v>#REF!</v>
      </c>
      <c r="O236" s="181" t="e">
        <f t="shared" si="33"/>
        <v>#REF!</v>
      </c>
    </row>
    <row r="237" spans="1:15" s="193" customFormat="1" outlineLevel="2">
      <c r="A237" s="155"/>
      <c r="B237" s="197" t="s">
        <v>894</v>
      </c>
      <c r="C237" s="190" t="s">
        <v>93</v>
      </c>
      <c r="D237" s="191"/>
      <c r="E237" s="176"/>
      <c r="F237" s="177"/>
      <c r="G237" s="192"/>
      <c r="H237" s="179"/>
      <c r="I237" s="339" t="e">
        <f>IF(#REF!="",#REF!*#REF!,IF(#REF!=0,#REF!*#REF!,#REF!*#REF!*#REF!))</f>
        <v>#REF!</v>
      </c>
      <c r="J237" s="180" t="e">
        <f>#REF!*#REF!</f>
        <v>#REF!</v>
      </c>
      <c r="K237" s="178" t="e">
        <f>#REF!*mo</f>
        <v>#REF!</v>
      </c>
      <c r="L237" s="178" t="e">
        <f t="shared" si="34"/>
        <v>#REF!</v>
      </c>
      <c r="M237" s="178" t="e">
        <f>#REF!*#REF!</f>
        <v>#REF!</v>
      </c>
      <c r="N237" s="178" t="e">
        <f>#REF!+K237+#REF!</f>
        <v>#REF!</v>
      </c>
      <c r="O237" s="181" t="e">
        <f t="shared" si="33"/>
        <v>#REF!</v>
      </c>
    </row>
    <row r="238" spans="1:15" s="193" customFormat="1" outlineLevel="2">
      <c r="A238" s="155"/>
      <c r="B238" s="156"/>
      <c r="C238" s="190"/>
      <c r="D238" s="191"/>
      <c r="E238" s="176"/>
      <c r="F238" s="177"/>
      <c r="G238" s="192"/>
      <c r="H238" s="179"/>
      <c r="I238" s="339" t="e">
        <f>IF(#REF!="",#REF!*#REF!,IF(#REF!=0,#REF!*#REF!,#REF!*#REF!*#REF!))</f>
        <v>#REF!</v>
      </c>
      <c r="J238" s="180" t="e">
        <f>#REF!*#REF!</f>
        <v>#REF!</v>
      </c>
      <c r="K238" s="178" t="e">
        <f>#REF!*mo</f>
        <v>#REF!</v>
      </c>
      <c r="L238" s="178" t="e">
        <f t="shared" si="34"/>
        <v>#REF!</v>
      </c>
      <c r="M238" s="178" t="e">
        <f>#REF!*#REF!</f>
        <v>#REF!</v>
      </c>
      <c r="N238" s="178" t="e">
        <f>#REF!+K238+#REF!</f>
        <v>#REF!</v>
      </c>
      <c r="O238" s="181" t="e">
        <f t="shared" si="33"/>
        <v>#REF!</v>
      </c>
    </row>
    <row r="239" spans="1:15" s="193" customFormat="1" outlineLevel="2">
      <c r="A239" s="155"/>
      <c r="B239" s="156" t="s">
        <v>895</v>
      </c>
      <c r="C239" s="190" t="s">
        <v>795</v>
      </c>
      <c r="D239" s="191"/>
      <c r="E239" s="176"/>
      <c r="F239" s="177"/>
      <c r="G239" s="192"/>
      <c r="H239" s="179"/>
      <c r="I239" s="339" t="e">
        <f>IF(#REF!="",#REF!*#REF!,IF(#REF!=0,#REF!*#REF!,#REF!*#REF!*#REF!))</f>
        <v>#REF!</v>
      </c>
      <c r="J239" s="180" t="e">
        <f>#REF!*#REF!</f>
        <v>#REF!</v>
      </c>
      <c r="K239" s="178" t="e">
        <f>#REF!*mo</f>
        <v>#REF!</v>
      </c>
      <c r="L239" s="178" t="e">
        <f t="shared" si="34"/>
        <v>#REF!</v>
      </c>
      <c r="M239" s="178" t="e">
        <f>#REF!*#REF!</f>
        <v>#REF!</v>
      </c>
      <c r="N239" s="178" t="e">
        <f>#REF!+K239+#REF!</f>
        <v>#REF!</v>
      </c>
      <c r="O239" s="181" t="e">
        <f t="shared" si="33"/>
        <v>#REF!</v>
      </c>
    </row>
    <row r="240" spans="1:15" s="193" customFormat="1" outlineLevel="2">
      <c r="A240" s="155"/>
      <c r="B240" s="156" t="s">
        <v>896</v>
      </c>
      <c r="C240" s="190" t="s">
        <v>93</v>
      </c>
      <c r="D240" s="191"/>
      <c r="E240" s="176"/>
      <c r="F240" s="177"/>
      <c r="G240" s="192"/>
      <c r="H240" s="179"/>
      <c r="I240" s="339" t="e">
        <f>IF(#REF!="",#REF!*#REF!,IF(#REF!=0,#REF!*#REF!,#REF!*#REF!*#REF!))</f>
        <v>#REF!</v>
      </c>
      <c r="J240" s="180" t="e">
        <f>#REF!*#REF!</f>
        <v>#REF!</v>
      </c>
      <c r="K240" s="178" t="e">
        <f>#REF!*mo</f>
        <v>#REF!</v>
      </c>
      <c r="L240" s="178" t="e">
        <f t="shared" si="34"/>
        <v>#REF!</v>
      </c>
      <c r="M240" s="178" t="e">
        <f>#REF!*#REF!</f>
        <v>#REF!</v>
      </c>
      <c r="N240" s="178" t="e">
        <f>#REF!+K240+#REF!</f>
        <v>#REF!</v>
      </c>
      <c r="O240" s="181" t="e">
        <f t="shared" si="33"/>
        <v>#REF!</v>
      </c>
    </row>
    <row r="241" spans="1:15" s="193" customFormat="1" outlineLevel="2">
      <c r="A241" s="155"/>
      <c r="B241" s="156" t="s">
        <v>897</v>
      </c>
      <c r="C241" s="190" t="s">
        <v>93</v>
      </c>
      <c r="D241" s="191"/>
      <c r="E241" s="176"/>
      <c r="F241" s="177"/>
      <c r="G241" s="192"/>
      <c r="H241" s="179"/>
      <c r="I241" s="339" t="e">
        <f>IF(#REF!="",#REF!*#REF!,IF(#REF!=0,#REF!*#REF!,#REF!*#REF!*#REF!))</f>
        <v>#REF!</v>
      </c>
      <c r="J241" s="180" t="e">
        <f>#REF!*#REF!</f>
        <v>#REF!</v>
      </c>
      <c r="K241" s="178" t="e">
        <f>#REF!*mo</f>
        <v>#REF!</v>
      </c>
      <c r="L241" s="178" t="e">
        <f t="shared" si="34"/>
        <v>#REF!</v>
      </c>
      <c r="M241" s="178" t="e">
        <f>#REF!*#REF!</f>
        <v>#REF!</v>
      </c>
      <c r="N241" s="178" t="e">
        <f>#REF!+K241+#REF!</f>
        <v>#REF!</v>
      </c>
      <c r="O241" s="181" t="e">
        <f t="shared" si="33"/>
        <v>#REF!</v>
      </c>
    </row>
    <row r="242" spans="1:15" s="193" customFormat="1" outlineLevel="2">
      <c r="A242" s="155"/>
      <c r="B242" s="156"/>
      <c r="C242" s="190"/>
      <c r="D242" s="191"/>
      <c r="E242" s="176"/>
      <c r="F242" s="177"/>
      <c r="G242" s="192"/>
      <c r="H242" s="179"/>
      <c r="I242" s="339" t="e">
        <f>IF(#REF!="",#REF!*#REF!,IF(#REF!=0,#REF!*#REF!,#REF!*#REF!*#REF!))</f>
        <v>#REF!</v>
      </c>
      <c r="J242" s="180" t="e">
        <f>#REF!*#REF!</f>
        <v>#REF!</v>
      </c>
      <c r="K242" s="178" t="e">
        <f>#REF!*mo</f>
        <v>#REF!</v>
      </c>
      <c r="L242" s="178" t="e">
        <f t="shared" si="34"/>
        <v>#REF!</v>
      </c>
      <c r="M242" s="178" t="e">
        <f>#REF!*#REF!</f>
        <v>#REF!</v>
      </c>
      <c r="N242" s="178" t="e">
        <f>#REF!+K242+#REF!</f>
        <v>#REF!</v>
      </c>
      <c r="O242" s="181" t="e">
        <f t="shared" si="33"/>
        <v>#REF!</v>
      </c>
    </row>
    <row r="243" spans="1:15" s="193" customFormat="1" outlineLevel="2">
      <c r="A243" s="155"/>
      <c r="B243" s="156" t="s">
        <v>898</v>
      </c>
      <c r="C243" s="190" t="s">
        <v>795</v>
      </c>
      <c r="D243" s="191"/>
      <c r="E243" s="176"/>
      <c r="F243" s="177"/>
      <c r="G243" s="192"/>
      <c r="H243" s="179"/>
      <c r="I243" s="339" t="e">
        <f>IF(#REF!="",#REF!*#REF!,IF(#REF!=0,#REF!*#REF!,#REF!*#REF!*#REF!))</f>
        <v>#REF!</v>
      </c>
      <c r="J243" s="180" t="e">
        <f>#REF!*#REF!</f>
        <v>#REF!</v>
      </c>
      <c r="K243" s="178" t="e">
        <f>#REF!*mo</f>
        <v>#REF!</v>
      </c>
      <c r="L243" s="178" t="e">
        <f>J243*mo</f>
        <v>#REF!</v>
      </c>
      <c r="M243" s="178" t="e">
        <f>#REF!*#REF!</f>
        <v>#REF!</v>
      </c>
      <c r="N243" s="178" t="e">
        <f>#REF!+K243+#REF!</f>
        <v>#REF!</v>
      </c>
      <c r="O243" s="181" t="e">
        <f>M243+L243+I243</f>
        <v>#REF!</v>
      </c>
    </row>
    <row r="244" spans="1:15" s="193" customFormat="1" outlineLevel="2">
      <c r="A244" s="155"/>
      <c r="B244" s="197" t="s">
        <v>899</v>
      </c>
      <c r="C244" s="190"/>
      <c r="D244" s="191"/>
      <c r="E244" s="176"/>
      <c r="F244" s="177"/>
      <c r="G244" s="192"/>
      <c r="H244" s="179"/>
      <c r="I244" s="339"/>
      <c r="J244" s="180"/>
      <c r="K244" s="178"/>
      <c r="L244" s="178"/>
      <c r="M244" s="178"/>
      <c r="N244" s="178"/>
      <c r="O244" s="181"/>
    </row>
    <row r="245" spans="1:15" s="193" customFormat="1" outlineLevel="2">
      <c r="A245" s="155"/>
      <c r="B245" s="197" t="s">
        <v>900</v>
      </c>
      <c r="C245" s="190"/>
      <c r="D245" s="191"/>
      <c r="E245" s="176"/>
      <c r="F245" s="177"/>
      <c r="G245" s="192"/>
      <c r="H245" s="179"/>
      <c r="I245" s="339"/>
      <c r="J245" s="180"/>
      <c r="K245" s="178"/>
      <c r="L245" s="178"/>
      <c r="M245" s="178"/>
      <c r="N245" s="178"/>
      <c r="O245" s="181"/>
    </row>
    <row r="246" spans="1:15" s="193" customFormat="1" outlineLevel="2">
      <c r="A246" s="155"/>
      <c r="B246" s="197" t="s">
        <v>901</v>
      </c>
      <c r="C246" s="190"/>
      <c r="D246" s="191"/>
      <c r="E246" s="176"/>
      <c r="F246" s="177"/>
      <c r="G246" s="192"/>
      <c r="H246" s="179"/>
      <c r="I246" s="339"/>
      <c r="J246" s="180"/>
      <c r="K246" s="178"/>
      <c r="L246" s="178"/>
      <c r="M246" s="178"/>
      <c r="N246" s="178"/>
      <c r="O246" s="181"/>
    </row>
    <row r="247" spans="1:15" s="193" customFormat="1" outlineLevel="2">
      <c r="A247" s="155"/>
      <c r="B247" s="197" t="s">
        <v>902</v>
      </c>
      <c r="C247" s="190"/>
      <c r="D247" s="191"/>
      <c r="E247" s="176"/>
      <c r="F247" s="177"/>
      <c r="G247" s="192"/>
      <c r="H247" s="179"/>
      <c r="I247" s="339"/>
      <c r="J247" s="180"/>
      <c r="K247" s="178"/>
      <c r="L247" s="178"/>
      <c r="M247" s="178"/>
      <c r="N247" s="178"/>
      <c r="O247" s="181"/>
    </row>
    <row r="248" spans="1:15" s="193" customFormat="1" outlineLevel="2">
      <c r="A248" s="155"/>
      <c r="B248" s="197" t="s">
        <v>903</v>
      </c>
      <c r="C248" s="190"/>
      <c r="D248" s="191"/>
      <c r="E248" s="176"/>
      <c r="F248" s="177"/>
      <c r="G248" s="192"/>
      <c r="H248" s="179"/>
      <c r="I248" s="339"/>
      <c r="J248" s="180"/>
      <c r="K248" s="178"/>
      <c r="L248" s="178"/>
      <c r="M248" s="178"/>
      <c r="N248" s="178"/>
      <c r="O248" s="181"/>
    </row>
    <row r="249" spans="1:15" s="193" customFormat="1" outlineLevel="2">
      <c r="A249" s="155"/>
      <c r="B249" s="156"/>
      <c r="C249" s="190"/>
      <c r="D249" s="191"/>
      <c r="E249" s="176"/>
      <c r="F249" s="177"/>
      <c r="G249" s="192"/>
      <c r="H249" s="179"/>
      <c r="I249" s="339" t="e">
        <f>IF(#REF!="",#REF!*#REF!,IF(#REF!=0,#REF!*#REF!,#REF!*#REF!*#REF!))</f>
        <v>#REF!</v>
      </c>
      <c r="J249" s="180" t="e">
        <f>#REF!*#REF!</f>
        <v>#REF!</v>
      </c>
      <c r="K249" s="178" t="e">
        <f>#REF!*mo</f>
        <v>#REF!</v>
      </c>
      <c r="L249" s="178" t="e">
        <f t="shared" ref="L249" si="37">J249*mo</f>
        <v>#REF!</v>
      </c>
      <c r="M249" s="178" t="e">
        <f>#REF!*#REF!</f>
        <v>#REF!</v>
      </c>
      <c r="N249" s="178" t="e">
        <f>#REF!+K249+#REF!</f>
        <v>#REF!</v>
      </c>
      <c r="O249" s="181" t="e">
        <f t="shared" ref="O249" si="38">M249+L249+I249</f>
        <v>#REF!</v>
      </c>
    </row>
    <row r="250" spans="1:15" s="193" customFormat="1" outlineLevel="2">
      <c r="A250" s="155"/>
      <c r="B250" s="156" t="s">
        <v>904</v>
      </c>
      <c r="C250" s="190" t="s">
        <v>795</v>
      </c>
      <c r="D250" s="191"/>
      <c r="E250" s="176"/>
      <c r="F250" s="177"/>
      <c r="G250" s="192"/>
      <c r="H250" s="179"/>
      <c r="I250" s="339" t="e">
        <f>IF(#REF!="",#REF!*#REF!,IF(#REF!=0,#REF!*#REF!,#REF!*#REF!*#REF!))</f>
        <v>#REF!</v>
      </c>
      <c r="J250" s="180" t="e">
        <f>#REF!*#REF!</f>
        <v>#REF!</v>
      </c>
      <c r="K250" s="178" t="e">
        <f>#REF!*mo</f>
        <v>#REF!</v>
      </c>
      <c r="L250" s="178" t="e">
        <f>J250*mo</f>
        <v>#REF!</v>
      </c>
      <c r="M250" s="178" t="e">
        <f>#REF!*#REF!</f>
        <v>#REF!</v>
      </c>
      <c r="N250" s="178" t="e">
        <f>#REF!+K250+#REF!</f>
        <v>#REF!</v>
      </c>
      <c r="O250" s="181" t="e">
        <f>M250+L250+I250</f>
        <v>#REF!</v>
      </c>
    </row>
    <row r="251" spans="1:15" s="193" customFormat="1" outlineLevel="2">
      <c r="A251" s="155"/>
      <c r="B251" s="197" t="s">
        <v>905</v>
      </c>
      <c r="C251" s="190"/>
      <c r="D251" s="191"/>
      <c r="E251" s="176"/>
      <c r="F251" s="177"/>
      <c r="G251" s="192"/>
      <c r="H251" s="179"/>
      <c r="I251" s="339"/>
      <c r="J251" s="180"/>
      <c r="K251" s="178"/>
      <c r="L251" s="178"/>
      <c r="M251" s="178"/>
      <c r="N251" s="178"/>
      <c r="O251" s="181"/>
    </row>
    <row r="252" spans="1:15" s="193" customFormat="1" outlineLevel="2">
      <c r="A252" s="155"/>
      <c r="B252" s="197" t="s">
        <v>906</v>
      </c>
      <c r="C252" s="190"/>
      <c r="D252" s="191"/>
      <c r="E252" s="176"/>
      <c r="F252" s="177"/>
      <c r="G252" s="192"/>
      <c r="H252" s="179"/>
      <c r="I252" s="339"/>
      <c r="J252" s="180"/>
      <c r="K252" s="178"/>
      <c r="L252" s="178"/>
      <c r="M252" s="178"/>
      <c r="N252" s="178"/>
      <c r="O252" s="181"/>
    </row>
    <row r="253" spans="1:15" s="193" customFormat="1" outlineLevel="2">
      <c r="A253" s="155"/>
      <c r="B253" s="197" t="s">
        <v>907</v>
      </c>
      <c r="C253" s="190"/>
      <c r="D253" s="191"/>
      <c r="E253" s="176"/>
      <c r="F253" s="177"/>
      <c r="G253" s="192"/>
      <c r="H253" s="179"/>
      <c r="I253" s="339"/>
      <c r="J253" s="180"/>
      <c r="K253" s="178"/>
      <c r="L253" s="178"/>
      <c r="M253" s="178"/>
      <c r="N253" s="178"/>
      <c r="O253" s="181"/>
    </row>
    <row r="254" spans="1:15" s="193" customFormat="1" outlineLevel="2">
      <c r="A254" s="155"/>
      <c r="B254" s="197"/>
      <c r="C254" s="190"/>
      <c r="D254" s="191"/>
      <c r="E254" s="176"/>
      <c r="F254" s="177"/>
      <c r="G254" s="192"/>
      <c r="H254" s="179"/>
      <c r="I254" s="339" t="e">
        <f>IF(#REF!="",#REF!*#REF!,IF(#REF!=0,#REF!*#REF!,#REF!*#REF!*#REF!))</f>
        <v>#REF!</v>
      </c>
      <c r="J254" s="180" t="e">
        <f>#REF!*#REF!</f>
        <v>#REF!</v>
      </c>
      <c r="K254" s="178" t="e">
        <f>#REF!*mo</f>
        <v>#REF!</v>
      </c>
      <c r="L254" s="178" t="e">
        <f t="shared" si="34"/>
        <v>#REF!</v>
      </c>
      <c r="M254" s="178" t="e">
        <f>#REF!*#REF!</f>
        <v>#REF!</v>
      </c>
      <c r="N254" s="178" t="e">
        <f>#REF!+K254+#REF!</f>
        <v>#REF!</v>
      </c>
      <c r="O254" s="181" t="e">
        <f t="shared" si="33"/>
        <v>#REF!</v>
      </c>
    </row>
    <row r="255" spans="1:15" s="193" customFormat="1" outlineLevel="1">
      <c r="A255" s="157" t="str">
        <f>$A$134&amp;".4"</f>
        <v>3.3.4</v>
      </c>
      <c r="B255" s="210" t="s">
        <v>908</v>
      </c>
      <c r="C255" s="190"/>
      <c r="D255" s="191"/>
      <c r="E255" s="176"/>
      <c r="F255" s="177"/>
      <c r="G255" s="192">
        <f>SUM(F256:F261)</f>
        <v>0</v>
      </c>
      <c r="H255" s="179"/>
      <c r="I255" s="339" t="e">
        <f>IF(#REF!="",#REF!*#REF!,IF(#REF!=0,#REF!*#REF!,#REF!*#REF!*#REF!))</f>
        <v>#REF!</v>
      </c>
      <c r="J255" s="180" t="e">
        <f>#REF!*#REF!</f>
        <v>#REF!</v>
      </c>
      <c r="K255" s="178" t="e">
        <f>#REF!*mo</f>
        <v>#REF!</v>
      </c>
      <c r="L255" s="178" t="e">
        <f t="shared" si="34"/>
        <v>#REF!</v>
      </c>
      <c r="M255" s="178" t="e">
        <f>#REF!*#REF!</f>
        <v>#REF!</v>
      </c>
      <c r="N255" s="178" t="e">
        <f>#REF!+K255+#REF!</f>
        <v>#REF!</v>
      </c>
      <c r="O255" s="181" t="e">
        <f t="shared" si="33"/>
        <v>#REF!</v>
      </c>
    </row>
    <row r="256" spans="1:15" s="193" customFormat="1" outlineLevel="2">
      <c r="A256" s="211"/>
      <c r="B256" s="210"/>
      <c r="C256" s="190"/>
      <c r="D256" s="191"/>
      <c r="E256" s="176"/>
      <c r="F256" s="177"/>
      <c r="G256" s="192"/>
      <c r="H256" s="179"/>
      <c r="I256" s="339" t="e">
        <f>IF(#REF!="",#REF!*#REF!,IF(#REF!=0,#REF!*#REF!,#REF!*#REF!*#REF!))</f>
        <v>#REF!</v>
      </c>
      <c r="J256" s="180" t="e">
        <f>#REF!*#REF!</f>
        <v>#REF!</v>
      </c>
      <c r="K256" s="178" t="e">
        <f>#REF!*mo</f>
        <v>#REF!</v>
      </c>
      <c r="L256" s="178" t="e">
        <f t="shared" si="34"/>
        <v>#REF!</v>
      </c>
      <c r="M256" s="178" t="e">
        <f>#REF!*#REF!</f>
        <v>#REF!</v>
      </c>
      <c r="N256" s="178" t="e">
        <f>#REF!+K256+#REF!</f>
        <v>#REF!</v>
      </c>
      <c r="O256" s="181" t="e">
        <f t="shared" si="33"/>
        <v>#REF!</v>
      </c>
    </row>
    <row r="257" spans="1:16" s="193" customFormat="1" outlineLevel="2">
      <c r="A257" s="211"/>
      <c r="B257" s="212" t="s">
        <v>909</v>
      </c>
      <c r="C257" s="190" t="s">
        <v>48</v>
      </c>
      <c r="D257" s="191"/>
      <c r="E257" s="176"/>
      <c r="F257" s="177"/>
      <c r="G257" s="192"/>
      <c r="H257" s="179"/>
      <c r="I257" s="339" t="e">
        <f>IF(#REF!="",#REF!*#REF!,IF(#REF!=0,#REF!*#REF!,#REF!*#REF!*#REF!))</f>
        <v>#REF!</v>
      </c>
      <c r="J257" s="180" t="e">
        <f>#REF!*#REF!</f>
        <v>#REF!</v>
      </c>
      <c r="K257" s="178" t="e">
        <f>#REF!*mo</f>
        <v>#REF!</v>
      </c>
      <c r="L257" s="178" t="e">
        <f t="shared" si="34"/>
        <v>#REF!</v>
      </c>
      <c r="M257" s="178" t="e">
        <f>#REF!*#REF!</f>
        <v>#REF!</v>
      </c>
      <c r="N257" s="178" t="e">
        <f>#REF!+K257+#REF!</f>
        <v>#REF!</v>
      </c>
      <c r="O257" s="181" t="e">
        <f t="shared" si="33"/>
        <v>#REF!</v>
      </c>
    </row>
    <row r="258" spans="1:16" s="193" customFormat="1" outlineLevel="2">
      <c r="A258" s="211"/>
      <c r="B258" s="212" t="s">
        <v>910</v>
      </c>
      <c r="C258" s="190" t="s">
        <v>795</v>
      </c>
      <c r="D258" s="191"/>
      <c r="E258" s="176"/>
      <c r="F258" s="177"/>
      <c r="G258" s="192"/>
      <c r="H258" s="179"/>
      <c r="I258" s="339" t="e">
        <f>IF(#REF!="",#REF!*#REF!,IF(#REF!=0,#REF!*#REF!,#REF!*#REF!*#REF!))</f>
        <v>#REF!</v>
      </c>
      <c r="J258" s="180" t="e">
        <f>#REF!*#REF!</f>
        <v>#REF!</v>
      </c>
      <c r="K258" s="178" t="e">
        <f>#REF!*mo</f>
        <v>#REF!</v>
      </c>
      <c r="L258" s="178" t="e">
        <f t="shared" si="34"/>
        <v>#REF!</v>
      </c>
      <c r="M258" s="178" t="e">
        <f>#REF!*#REF!</f>
        <v>#REF!</v>
      </c>
      <c r="N258" s="178" t="e">
        <f>#REF!+K258+#REF!</f>
        <v>#REF!</v>
      </c>
      <c r="O258" s="181" t="e">
        <f t="shared" si="33"/>
        <v>#REF!</v>
      </c>
    </row>
    <row r="259" spans="1:16" s="193" customFormat="1" outlineLevel="2">
      <c r="A259" s="211"/>
      <c r="B259" s="212" t="s">
        <v>911</v>
      </c>
      <c r="C259" s="190" t="s">
        <v>795</v>
      </c>
      <c r="D259" s="191"/>
      <c r="E259" s="176"/>
      <c r="F259" s="177"/>
      <c r="G259" s="192"/>
      <c r="H259" s="179"/>
      <c r="I259" s="339" t="e">
        <f>IF(#REF!="",#REF!*#REF!,IF(#REF!=0,#REF!*#REF!,#REF!*#REF!*#REF!))</f>
        <v>#REF!</v>
      </c>
      <c r="J259" s="180" t="e">
        <f>#REF!*#REF!</f>
        <v>#REF!</v>
      </c>
      <c r="K259" s="178" t="e">
        <f>#REF!*mo</f>
        <v>#REF!</v>
      </c>
      <c r="L259" s="178" t="e">
        <f t="shared" si="34"/>
        <v>#REF!</v>
      </c>
      <c r="M259" s="178" t="e">
        <f>#REF!*#REF!</f>
        <v>#REF!</v>
      </c>
      <c r="N259" s="178" t="e">
        <f>#REF!+K259+#REF!</f>
        <v>#REF!</v>
      </c>
      <c r="O259" s="181" t="e">
        <f t="shared" si="33"/>
        <v>#REF!</v>
      </c>
    </row>
    <row r="260" spans="1:16" s="193" customFormat="1" outlineLevel="2">
      <c r="A260" s="211"/>
      <c r="B260" s="212" t="s">
        <v>912</v>
      </c>
      <c r="C260" s="190" t="s">
        <v>795</v>
      </c>
      <c r="D260" s="191"/>
      <c r="E260" s="176"/>
      <c r="F260" s="177"/>
      <c r="G260" s="192"/>
      <c r="H260" s="179"/>
      <c r="I260" s="339" t="e">
        <f>IF(#REF!="",#REF!*#REF!,IF(#REF!=0,#REF!*#REF!,#REF!*#REF!*#REF!))</f>
        <v>#REF!</v>
      </c>
      <c r="J260" s="180" t="e">
        <f>#REF!*#REF!</f>
        <v>#REF!</v>
      </c>
      <c r="K260" s="178" t="e">
        <f>#REF!*mo</f>
        <v>#REF!</v>
      </c>
      <c r="L260" s="178" t="e">
        <f t="shared" si="34"/>
        <v>#REF!</v>
      </c>
      <c r="M260" s="178" t="e">
        <f>#REF!*#REF!</f>
        <v>#REF!</v>
      </c>
      <c r="N260" s="178" t="e">
        <f>#REF!+K260+#REF!</f>
        <v>#REF!</v>
      </c>
      <c r="O260" s="181" t="e">
        <f t="shared" si="33"/>
        <v>#REF!</v>
      </c>
    </row>
    <row r="261" spans="1:16" s="193" customFormat="1" outlineLevel="2">
      <c r="A261" s="155"/>
      <c r="B261" s="197"/>
      <c r="C261" s="190"/>
      <c r="D261" s="191"/>
      <c r="E261" s="176"/>
      <c r="F261" s="177"/>
      <c r="G261" s="192"/>
      <c r="H261" s="179"/>
      <c r="I261" s="339" t="e">
        <f>IF(#REF!="",#REF!*#REF!,IF(#REF!=0,#REF!*#REF!,#REF!*#REF!*#REF!))</f>
        <v>#REF!</v>
      </c>
      <c r="J261" s="180" t="e">
        <f>#REF!*#REF!</f>
        <v>#REF!</v>
      </c>
      <c r="K261" s="178" t="e">
        <f>#REF!*mo</f>
        <v>#REF!</v>
      </c>
      <c r="L261" s="178" t="e">
        <f t="shared" ref="L261" si="39">J261*mo</f>
        <v>#REF!</v>
      </c>
      <c r="M261" s="178" t="e">
        <f>#REF!*#REF!</f>
        <v>#REF!</v>
      </c>
      <c r="N261" s="178" t="e">
        <f>#REF!+K261+#REF!</f>
        <v>#REF!</v>
      </c>
      <c r="O261" s="181" t="e">
        <f t="shared" si="33"/>
        <v>#REF!</v>
      </c>
    </row>
    <row r="262" spans="1:16" s="193" customFormat="1" outlineLevel="1">
      <c r="A262" s="155"/>
      <c r="B262" s="198" t="str">
        <f>"Total "&amp;B134</f>
        <v>Total DISTRIBUTION DE CHALEUR</v>
      </c>
      <c r="C262" s="190"/>
      <c r="D262" s="191"/>
      <c r="E262" s="176"/>
      <c r="F262" s="177"/>
      <c r="G262" s="192"/>
      <c r="H262" s="179">
        <f>SUM(G135:G262)</f>
        <v>0</v>
      </c>
      <c r="I262" s="339"/>
      <c r="J262" s="180"/>
      <c r="K262" s="178"/>
      <c r="L262" s="178"/>
      <c r="M262" s="178"/>
      <c r="N262" s="178"/>
      <c r="O262" s="181"/>
    </row>
    <row r="263" spans="1:16" s="193" customFormat="1" outlineLevel="1">
      <c r="A263" s="155"/>
      <c r="B263" s="213"/>
      <c r="C263" s="341"/>
      <c r="D263" s="191"/>
      <c r="E263" s="176"/>
      <c r="F263" s="177"/>
      <c r="G263" s="192"/>
      <c r="H263" s="179"/>
      <c r="I263" s="339" t="e">
        <f>IF(#REF!="",#REF!*#REF!,IF(#REF!=0,#REF!*#REF!,#REF!*#REF!*#REF!))</f>
        <v>#REF!</v>
      </c>
      <c r="J263" s="180" t="e">
        <f>#REF!*#REF!</f>
        <v>#REF!</v>
      </c>
      <c r="K263" s="178" t="e">
        <f>#REF!*mo</f>
        <v>#REF!</v>
      </c>
      <c r="L263" s="178" t="e">
        <f t="shared" ref="L263:L285" si="40">J263*mo</f>
        <v>#REF!</v>
      </c>
      <c r="M263" s="178" t="e">
        <f>#REF!*#REF!</f>
        <v>#REF!</v>
      </c>
      <c r="N263" s="178" t="e">
        <f>#REF!+K263+#REF!</f>
        <v>#REF!</v>
      </c>
      <c r="O263" s="181" t="e">
        <f t="shared" ref="O263:O285" si="41">M263+L263+I263</f>
        <v>#REF!</v>
      </c>
    </row>
    <row r="264" spans="1:16" s="216" customFormat="1" outlineLevel="1">
      <c r="A264" s="157" t="str">
        <f>A14&amp;".4"</f>
        <v>3.4</v>
      </c>
      <c r="B264" s="214" t="s">
        <v>913</v>
      </c>
      <c r="C264" s="342"/>
      <c r="D264" s="170"/>
      <c r="E264" s="176"/>
      <c r="F264" s="177"/>
      <c r="G264" s="192"/>
      <c r="H264" s="215"/>
      <c r="I264" s="339" t="e">
        <f>IF(#REF!="",#REF!*#REF!,IF(#REF!=0,#REF!*#REF!,#REF!*#REF!*#REF!))</f>
        <v>#REF!</v>
      </c>
      <c r="J264" s="180" t="e">
        <f>#REF!*#REF!</f>
        <v>#REF!</v>
      </c>
      <c r="K264" s="178" t="e">
        <f>#REF!*mo</f>
        <v>#REF!</v>
      </c>
      <c r="L264" s="178" t="e">
        <f t="shared" si="40"/>
        <v>#REF!</v>
      </c>
      <c r="M264" s="178" t="e">
        <f>#REF!*#REF!</f>
        <v>#REF!</v>
      </c>
      <c r="N264" s="178" t="e">
        <f>#REF!+K264+#REF!</f>
        <v>#REF!</v>
      </c>
      <c r="O264" s="181" t="e">
        <f t="shared" si="41"/>
        <v>#REF!</v>
      </c>
      <c r="P264" s="209"/>
    </row>
    <row r="265" spans="1:16" s="209" customFormat="1" outlineLevel="1">
      <c r="A265" s="157" t="str">
        <f>A264&amp;".1"</f>
        <v>3.4.1</v>
      </c>
      <c r="B265" s="217" t="s">
        <v>914</v>
      </c>
      <c r="C265" s="342"/>
      <c r="D265" s="170"/>
      <c r="E265" s="176"/>
      <c r="F265" s="177"/>
      <c r="G265" s="192">
        <f>SUM(F266:F275)</f>
        <v>0</v>
      </c>
      <c r="H265" s="179"/>
      <c r="I265" s="339" t="e">
        <f>IF(#REF!="",#REF!*#REF!,IF(#REF!=0,#REF!*#REF!,#REF!*#REF!*#REF!))</f>
        <v>#REF!</v>
      </c>
      <c r="J265" s="180" t="e">
        <f>#REF!*#REF!</f>
        <v>#REF!</v>
      </c>
      <c r="K265" s="178" t="e">
        <f>#REF!*mo</f>
        <v>#REF!</v>
      </c>
      <c r="L265" s="178" t="e">
        <f t="shared" si="40"/>
        <v>#REF!</v>
      </c>
      <c r="M265" s="178" t="e">
        <f>#REF!*#REF!</f>
        <v>#REF!</v>
      </c>
      <c r="N265" s="178" t="e">
        <f>#REF!+K265+#REF!</f>
        <v>#REF!</v>
      </c>
      <c r="O265" s="181" t="e">
        <f t="shared" si="41"/>
        <v>#REF!</v>
      </c>
    </row>
    <row r="266" spans="1:16" s="193" customFormat="1" outlineLevel="2">
      <c r="A266" s="155"/>
      <c r="B266" s="213"/>
      <c r="C266" s="341"/>
      <c r="D266" s="191"/>
      <c r="E266" s="176"/>
      <c r="F266" s="177"/>
      <c r="G266" s="192"/>
      <c r="H266" s="179"/>
      <c r="I266" s="339" t="e">
        <f>IF(#REF!="",#REF!*#REF!,IF(#REF!=0,#REF!*#REF!,#REF!*#REF!*#REF!))</f>
        <v>#REF!</v>
      </c>
      <c r="J266" s="180" t="e">
        <f>#REF!*#REF!</f>
        <v>#REF!</v>
      </c>
      <c r="K266" s="178" t="e">
        <f>#REF!*mo</f>
        <v>#REF!</v>
      </c>
      <c r="L266" s="178" t="e">
        <f t="shared" si="40"/>
        <v>#REF!</v>
      </c>
      <c r="M266" s="178" t="e">
        <f>#REF!*#REF!</f>
        <v>#REF!</v>
      </c>
      <c r="N266" s="178" t="e">
        <f>#REF!+K266+#REF!</f>
        <v>#REF!</v>
      </c>
      <c r="O266" s="181" t="e">
        <f t="shared" si="41"/>
        <v>#REF!</v>
      </c>
    </row>
    <row r="267" spans="1:16" s="193" customFormat="1" outlineLevel="2">
      <c r="A267" s="155"/>
      <c r="B267" s="213" t="s">
        <v>915</v>
      </c>
      <c r="C267" s="341" t="s">
        <v>93</v>
      </c>
      <c r="D267" s="191"/>
      <c r="E267" s="176"/>
      <c r="F267" s="177"/>
      <c r="G267" s="192"/>
      <c r="H267" s="179"/>
      <c r="I267" s="339" t="e">
        <f>IF(#REF!="",#REF!*#REF!,IF(#REF!=0,#REF!*#REF!,#REF!*#REF!*#REF!))</f>
        <v>#REF!</v>
      </c>
      <c r="J267" s="180" t="e">
        <f>#REF!*#REF!</f>
        <v>#REF!</v>
      </c>
      <c r="K267" s="178" t="e">
        <f>#REF!*mo</f>
        <v>#REF!</v>
      </c>
      <c r="L267" s="178" t="e">
        <f t="shared" si="40"/>
        <v>#REF!</v>
      </c>
      <c r="M267" s="178" t="e">
        <f>#REF!*#REF!</f>
        <v>#REF!</v>
      </c>
      <c r="N267" s="178" t="e">
        <f>#REF!+K267+#REF!</f>
        <v>#REF!</v>
      </c>
      <c r="O267" s="181" t="e">
        <f t="shared" si="41"/>
        <v>#REF!</v>
      </c>
    </row>
    <row r="268" spans="1:16" s="193" customFormat="1" outlineLevel="2">
      <c r="A268" s="155"/>
      <c r="B268" s="213"/>
      <c r="C268" s="341"/>
      <c r="D268" s="191"/>
      <c r="E268" s="176"/>
      <c r="F268" s="177"/>
      <c r="G268" s="192"/>
      <c r="H268" s="179"/>
      <c r="I268" s="339" t="e">
        <f>IF(#REF!="",#REF!*#REF!,IF(#REF!=0,#REF!*#REF!,#REF!*#REF!*#REF!))</f>
        <v>#REF!</v>
      </c>
      <c r="J268" s="180" t="e">
        <f>#REF!*#REF!</f>
        <v>#REF!</v>
      </c>
      <c r="K268" s="178" t="e">
        <f>#REF!*mo</f>
        <v>#REF!</v>
      </c>
      <c r="L268" s="178" t="e">
        <f t="shared" si="40"/>
        <v>#REF!</v>
      </c>
      <c r="M268" s="178" t="e">
        <f>#REF!*#REF!</f>
        <v>#REF!</v>
      </c>
      <c r="N268" s="178" t="e">
        <f>#REF!+K268+#REF!</f>
        <v>#REF!</v>
      </c>
      <c r="O268" s="181" t="e">
        <f t="shared" si="41"/>
        <v>#REF!</v>
      </c>
    </row>
    <row r="269" spans="1:16" s="193" customFormat="1" outlineLevel="2">
      <c r="A269" s="155"/>
      <c r="B269" s="213" t="s">
        <v>916</v>
      </c>
      <c r="C269" s="341" t="s">
        <v>93</v>
      </c>
      <c r="D269" s="191"/>
      <c r="E269" s="176"/>
      <c r="F269" s="177"/>
      <c r="G269" s="192"/>
      <c r="H269" s="179"/>
      <c r="I269" s="339" t="e">
        <f>IF(#REF!="",#REF!*#REF!,IF(#REF!=0,#REF!*#REF!,#REF!*#REF!*#REF!))</f>
        <v>#REF!</v>
      </c>
      <c r="J269" s="180" t="e">
        <f>#REF!*#REF!</f>
        <v>#REF!</v>
      </c>
      <c r="K269" s="178" t="e">
        <f>#REF!*mo</f>
        <v>#REF!</v>
      </c>
      <c r="L269" s="178" t="e">
        <f t="shared" si="40"/>
        <v>#REF!</v>
      </c>
      <c r="M269" s="178" t="e">
        <f>#REF!*#REF!</f>
        <v>#REF!</v>
      </c>
      <c r="N269" s="178" t="e">
        <f>#REF!+K269+#REF!</f>
        <v>#REF!</v>
      </c>
      <c r="O269" s="181" t="e">
        <f t="shared" si="41"/>
        <v>#REF!</v>
      </c>
    </row>
    <row r="270" spans="1:16" s="193" customFormat="1" outlineLevel="2">
      <c r="A270" s="155"/>
      <c r="B270" s="213"/>
      <c r="C270" s="341"/>
      <c r="D270" s="191"/>
      <c r="E270" s="176"/>
      <c r="F270" s="177"/>
      <c r="G270" s="192"/>
      <c r="H270" s="179"/>
      <c r="I270" s="339" t="e">
        <f>IF(#REF!="",#REF!*#REF!,IF(#REF!=0,#REF!*#REF!,#REF!*#REF!*#REF!))</f>
        <v>#REF!</v>
      </c>
      <c r="J270" s="180" t="e">
        <f>#REF!*#REF!</f>
        <v>#REF!</v>
      </c>
      <c r="K270" s="178" t="e">
        <f>#REF!*mo</f>
        <v>#REF!</v>
      </c>
      <c r="L270" s="178" t="e">
        <f t="shared" si="40"/>
        <v>#REF!</v>
      </c>
      <c r="M270" s="178" t="e">
        <f>#REF!*#REF!</f>
        <v>#REF!</v>
      </c>
      <c r="N270" s="178" t="e">
        <f>#REF!+K270+#REF!</f>
        <v>#REF!</v>
      </c>
      <c r="O270" s="181" t="e">
        <f t="shared" si="41"/>
        <v>#REF!</v>
      </c>
    </row>
    <row r="271" spans="1:16" s="193" customFormat="1" outlineLevel="2">
      <c r="A271" s="155"/>
      <c r="B271" s="213"/>
      <c r="C271" s="341"/>
      <c r="D271" s="191"/>
      <c r="E271" s="176"/>
      <c r="F271" s="177"/>
      <c r="G271" s="192"/>
      <c r="H271" s="179"/>
      <c r="I271" s="339"/>
      <c r="J271" s="180"/>
      <c r="K271" s="178"/>
      <c r="L271" s="178"/>
      <c r="M271" s="178"/>
      <c r="N271" s="178"/>
      <c r="O271" s="181"/>
    </row>
    <row r="272" spans="1:16" s="193" customFormat="1" outlineLevel="2">
      <c r="A272" s="155"/>
      <c r="B272" s="213" t="s">
        <v>917</v>
      </c>
      <c r="C272" s="341" t="s">
        <v>93</v>
      </c>
      <c r="D272" s="191"/>
      <c r="E272" s="176"/>
      <c r="F272" s="177"/>
      <c r="G272" s="192"/>
      <c r="H272" s="179"/>
      <c r="I272" s="339" t="e">
        <f>IF(#REF!="",#REF!*#REF!,IF(#REF!=0,#REF!*#REF!,#REF!*#REF!*#REF!))</f>
        <v>#REF!</v>
      </c>
      <c r="J272" s="180" t="e">
        <f>#REF!*#REF!</f>
        <v>#REF!</v>
      </c>
      <c r="K272" s="178" t="e">
        <f>#REF!*mo</f>
        <v>#REF!</v>
      </c>
      <c r="L272" s="178" t="e">
        <f t="shared" si="40"/>
        <v>#REF!</v>
      </c>
      <c r="M272" s="178" t="e">
        <f>#REF!*#REF!</f>
        <v>#REF!</v>
      </c>
      <c r="N272" s="178" t="e">
        <f>#REF!+K272+#REF!</f>
        <v>#REF!</v>
      </c>
      <c r="O272" s="181" t="e">
        <f t="shared" si="41"/>
        <v>#REF!</v>
      </c>
    </row>
    <row r="273" spans="1:16" s="193" customFormat="1" outlineLevel="2">
      <c r="A273" s="155"/>
      <c r="B273" s="213" t="s">
        <v>918</v>
      </c>
      <c r="C273" s="341" t="s">
        <v>801</v>
      </c>
      <c r="D273" s="191"/>
      <c r="E273" s="176"/>
      <c r="F273" s="177"/>
      <c r="G273" s="192"/>
      <c r="H273" s="179"/>
      <c r="I273" s="339" t="e">
        <f>IF(#REF!="",#REF!*#REF!,IF(#REF!=0,#REF!*#REF!,#REF!*#REF!*#REF!))</f>
        <v>#REF!</v>
      </c>
      <c r="J273" s="180" t="e">
        <f>#REF!*#REF!</f>
        <v>#REF!</v>
      </c>
      <c r="K273" s="178" t="e">
        <f>#REF!*mo</f>
        <v>#REF!</v>
      </c>
      <c r="L273" s="178" t="e">
        <f t="shared" si="40"/>
        <v>#REF!</v>
      </c>
      <c r="M273" s="178" t="e">
        <f>#REF!*#REF!</f>
        <v>#REF!</v>
      </c>
      <c r="N273" s="178" t="e">
        <f>#REF!+K273+#REF!</f>
        <v>#REF!</v>
      </c>
      <c r="O273" s="181" t="e">
        <f t="shared" si="41"/>
        <v>#REF!</v>
      </c>
    </row>
    <row r="274" spans="1:16" s="193" customFormat="1" outlineLevel="2">
      <c r="A274" s="155"/>
      <c r="B274" s="213" t="s">
        <v>919</v>
      </c>
      <c r="C274" s="341" t="s">
        <v>801</v>
      </c>
      <c r="D274" s="191"/>
      <c r="E274" s="176"/>
      <c r="F274" s="177"/>
      <c r="G274" s="192"/>
      <c r="H274" s="179"/>
      <c r="I274" s="339" t="e">
        <f>IF(#REF!="",#REF!*#REF!,IF(#REF!=0,#REF!*#REF!,#REF!*#REF!*#REF!))</f>
        <v>#REF!</v>
      </c>
      <c r="J274" s="180" t="e">
        <f>#REF!*#REF!</f>
        <v>#REF!</v>
      </c>
      <c r="K274" s="178" t="e">
        <f>#REF!*mo</f>
        <v>#REF!</v>
      </c>
      <c r="L274" s="178" t="e">
        <f t="shared" si="40"/>
        <v>#REF!</v>
      </c>
      <c r="M274" s="178" t="e">
        <f>#REF!*#REF!</f>
        <v>#REF!</v>
      </c>
      <c r="N274" s="178" t="e">
        <f>#REF!+K274+#REF!</f>
        <v>#REF!</v>
      </c>
      <c r="O274" s="181" t="e">
        <f t="shared" si="41"/>
        <v>#REF!</v>
      </c>
    </row>
    <row r="275" spans="1:16" ht="13.05" customHeight="1" outlineLevel="2">
      <c r="A275" s="155"/>
      <c r="B275" s="218"/>
      <c r="C275" s="341"/>
      <c r="D275" s="191"/>
      <c r="E275" s="176"/>
      <c r="F275" s="177"/>
      <c r="G275" s="192"/>
      <c r="H275" s="179"/>
      <c r="I275" s="339" t="e">
        <f>IF(#REF!="",#REF!*#REF!,IF(#REF!=0,#REF!*#REF!,#REF!*#REF!*#REF!))</f>
        <v>#REF!</v>
      </c>
      <c r="J275" s="180" t="e">
        <f>#REF!*#REF!</f>
        <v>#REF!</v>
      </c>
      <c r="K275" s="178" t="e">
        <f>#REF!*mo</f>
        <v>#REF!</v>
      </c>
      <c r="L275" s="178" t="e">
        <f t="shared" si="40"/>
        <v>#REF!</v>
      </c>
      <c r="M275" s="178" t="e">
        <f>#REF!*#REF!</f>
        <v>#REF!</v>
      </c>
      <c r="N275" s="178" t="e">
        <f>#REF!+K275+#REF!</f>
        <v>#REF!</v>
      </c>
      <c r="O275" s="181" t="e">
        <f t="shared" si="41"/>
        <v>#REF!</v>
      </c>
      <c r="P275" s="193"/>
    </row>
    <row r="276" spans="1:16" s="193" customFormat="1" outlineLevel="2">
      <c r="A276" s="155"/>
      <c r="B276" s="218"/>
      <c r="C276" s="341"/>
      <c r="D276" s="191"/>
      <c r="E276" s="176"/>
      <c r="F276" s="177"/>
      <c r="G276" s="192"/>
      <c r="H276" s="179"/>
      <c r="I276" s="339"/>
      <c r="J276" s="180"/>
      <c r="K276" s="178"/>
      <c r="L276" s="178"/>
      <c r="M276" s="178"/>
      <c r="N276" s="178"/>
      <c r="O276" s="181"/>
    </row>
    <row r="277" spans="1:16" outlineLevel="1">
      <c r="A277" s="155"/>
      <c r="B277" s="219" t="str">
        <f>"Total "&amp;B264</f>
        <v>Total EMISSION DE CHALEUR</v>
      </c>
      <c r="C277" s="341"/>
      <c r="D277" s="191"/>
      <c r="E277" s="176"/>
      <c r="F277" s="177"/>
      <c r="G277" s="192"/>
      <c r="H277" s="179">
        <f>SUM(G265:G277)</f>
        <v>0</v>
      </c>
      <c r="I277" s="339"/>
      <c r="J277" s="180"/>
      <c r="K277" s="178"/>
      <c r="L277" s="178"/>
      <c r="M277" s="178"/>
      <c r="N277" s="178"/>
      <c r="O277" s="181"/>
      <c r="P277" s="193"/>
    </row>
    <row r="278" spans="1:16" outlineLevel="1">
      <c r="A278" s="155"/>
      <c r="B278" s="218"/>
      <c r="C278" s="341"/>
      <c r="D278" s="191"/>
      <c r="E278" s="176"/>
      <c r="F278" s="177"/>
      <c r="G278" s="192"/>
      <c r="H278" s="179"/>
      <c r="I278" s="339" t="e">
        <f>IF(#REF!="",#REF!*#REF!,IF(#REF!=0,#REF!*#REF!,#REF!*#REF!*#REF!))</f>
        <v>#REF!</v>
      </c>
      <c r="J278" s="180" t="e">
        <f>#REF!*#REF!</f>
        <v>#REF!</v>
      </c>
      <c r="K278" s="178" t="e">
        <f>#REF!*mo</f>
        <v>#REF!</v>
      </c>
      <c r="L278" s="178" t="e">
        <f t="shared" si="40"/>
        <v>#REF!</v>
      </c>
      <c r="M278" s="178" t="e">
        <f>#REF!*#REF!</f>
        <v>#REF!</v>
      </c>
      <c r="N278" s="178" t="e">
        <f>#REF!+K278+#REF!</f>
        <v>#REF!</v>
      </c>
      <c r="O278" s="181" t="e">
        <f t="shared" si="41"/>
        <v>#REF!</v>
      </c>
      <c r="P278" s="193"/>
    </row>
    <row r="279" spans="1:16" s="216" customFormat="1" outlineLevel="1">
      <c r="A279" s="157" t="str">
        <f>A264&amp;".2"</f>
        <v>3.4.2</v>
      </c>
      <c r="B279" s="214" t="s">
        <v>920</v>
      </c>
      <c r="C279" s="342"/>
      <c r="D279" s="170"/>
      <c r="E279" s="176"/>
      <c r="F279" s="177"/>
      <c r="G279" s="192">
        <f>SUM(F280:F283)</f>
        <v>0</v>
      </c>
      <c r="H279" s="215"/>
      <c r="I279" s="339" t="e">
        <f>IF(#REF!="",#REF!*#REF!,IF(#REF!=0,#REF!*#REF!,#REF!*#REF!*#REF!))</f>
        <v>#REF!</v>
      </c>
      <c r="J279" s="180" t="e">
        <f>#REF!*#REF!</f>
        <v>#REF!</v>
      </c>
      <c r="K279" s="178" t="e">
        <f>#REF!*mo</f>
        <v>#REF!</v>
      </c>
      <c r="L279" s="178" t="e">
        <f t="shared" si="40"/>
        <v>#REF!</v>
      </c>
      <c r="M279" s="178" t="e">
        <f>#REF!*#REF!</f>
        <v>#REF!</v>
      </c>
      <c r="N279" s="178" t="e">
        <f>#REF!+K279+#REF!</f>
        <v>#REF!</v>
      </c>
      <c r="O279" s="181" t="e">
        <f t="shared" si="41"/>
        <v>#REF!</v>
      </c>
      <c r="P279" s="209"/>
    </row>
    <row r="280" spans="1:16" outlineLevel="2">
      <c r="A280" s="155"/>
      <c r="B280" s="218"/>
      <c r="C280" s="341"/>
      <c r="D280" s="191"/>
      <c r="E280" s="176"/>
      <c r="F280" s="177"/>
      <c r="G280" s="192"/>
      <c r="H280" s="179"/>
      <c r="I280" s="339" t="e">
        <f>IF(#REF!="",#REF!*#REF!,IF(#REF!=0,#REF!*#REF!,#REF!*#REF!*#REF!))</f>
        <v>#REF!</v>
      </c>
      <c r="J280" s="180" t="e">
        <f>#REF!*#REF!</f>
        <v>#REF!</v>
      </c>
      <c r="K280" s="178" t="e">
        <f>#REF!*mo</f>
        <v>#REF!</v>
      </c>
      <c r="L280" s="178" t="e">
        <f t="shared" si="40"/>
        <v>#REF!</v>
      </c>
      <c r="M280" s="178" t="e">
        <f>#REF!*#REF!</f>
        <v>#REF!</v>
      </c>
      <c r="N280" s="178" t="e">
        <f>#REF!+K280+#REF!</f>
        <v>#REF!</v>
      </c>
      <c r="O280" s="181" t="e">
        <f t="shared" si="41"/>
        <v>#REF!</v>
      </c>
      <c r="P280" s="193"/>
    </row>
    <row r="281" spans="1:16" outlineLevel="2">
      <c r="A281" s="155"/>
      <c r="B281" s="156" t="s">
        <v>921</v>
      </c>
      <c r="C281" s="190" t="s">
        <v>93</v>
      </c>
      <c r="D281" s="191"/>
      <c r="E281" s="176"/>
      <c r="F281" s="177"/>
      <c r="G281" s="192"/>
      <c r="H281" s="179"/>
      <c r="I281" s="339" t="e">
        <f>IF(#REF!="",#REF!*#REF!,IF(#REF!=0,#REF!*#REF!,#REF!*#REF!*#REF!))</f>
        <v>#REF!</v>
      </c>
      <c r="J281" s="180" t="e">
        <f>#REF!*#REF!</f>
        <v>#REF!</v>
      </c>
      <c r="K281" s="178" t="e">
        <f>#REF!*mo</f>
        <v>#REF!</v>
      </c>
      <c r="L281" s="178" t="e">
        <f t="shared" si="40"/>
        <v>#REF!</v>
      </c>
      <c r="M281" s="178" t="e">
        <f>#REF!*#REF!</f>
        <v>#REF!</v>
      </c>
      <c r="N281" s="178" t="e">
        <f>#REF!+K281+#REF!</f>
        <v>#REF!</v>
      </c>
      <c r="O281" s="181" t="e">
        <f t="shared" si="41"/>
        <v>#REF!</v>
      </c>
      <c r="P281" s="193"/>
    </row>
    <row r="282" spans="1:16" outlineLevel="2">
      <c r="A282" s="155"/>
      <c r="B282" s="218" t="s">
        <v>922</v>
      </c>
      <c r="C282" s="341" t="s">
        <v>93</v>
      </c>
      <c r="D282" s="191"/>
      <c r="E282" s="176"/>
      <c r="F282" s="177"/>
      <c r="G282" s="192"/>
      <c r="H282" s="179"/>
      <c r="I282" s="339" t="e">
        <f>IF(#REF!="",#REF!*#REF!,IF(#REF!=0,#REF!*#REF!,#REF!*#REF!*#REF!))</f>
        <v>#REF!</v>
      </c>
      <c r="J282" s="180" t="e">
        <f>#REF!*#REF!</f>
        <v>#REF!</v>
      </c>
      <c r="K282" s="178" t="e">
        <f>#REF!*mo</f>
        <v>#REF!</v>
      </c>
      <c r="L282" s="178" t="e">
        <f t="shared" si="40"/>
        <v>#REF!</v>
      </c>
      <c r="M282" s="178" t="e">
        <f>#REF!*#REF!</f>
        <v>#REF!</v>
      </c>
      <c r="N282" s="178" t="e">
        <f>#REF!+K282+#REF!</f>
        <v>#REF!</v>
      </c>
      <c r="O282" s="181" t="e">
        <f t="shared" si="41"/>
        <v>#REF!</v>
      </c>
      <c r="P282" s="193"/>
    </row>
    <row r="283" spans="1:16" outlineLevel="2">
      <c r="A283" s="155"/>
      <c r="B283" s="218"/>
      <c r="C283" s="341"/>
      <c r="D283" s="191"/>
      <c r="E283" s="176"/>
      <c r="F283" s="177"/>
      <c r="G283" s="192"/>
      <c r="H283" s="179"/>
      <c r="I283" s="339" t="e">
        <f>IF(#REF!="",#REF!*#REF!,IF(#REF!=0,#REF!*#REF!,#REF!*#REF!*#REF!))</f>
        <v>#REF!</v>
      </c>
      <c r="J283" s="180" t="e">
        <f>#REF!*#REF!</f>
        <v>#REF!</v>
      </c>
      <c r="K283" s="178" t="e">
        <f>#REF!*mo</f>
        <v>#REF!</v>
      </c>
      <c r="L283" s="178" t="e">
        <f t="shared" ref="L283" si="42">J283*mo</f>
        <v>#REF!</v>
      </c>
      <c r="M283" s="178" t="e">
        <f>#REF!*#REF!</f>
        <v>#REF!</v>
      </c>
      <c r="N283" s="178" t="e">
        <f>#REF!+K283+#REF!</f>
        <v>#REF!</v>
      </c>
      <c r="O283" s="181" t="e">
        <f t="shared" si="41"/>
        <v>#REF!</v>
      </c>
      <c r="P283" s="193"/>
    </row>
    <row r="284" spans="1:16" outlineLevel="1">
      <c r="A284" s="155"/>
      <c r="B284" s="219" t="str">
        <f>"Total "&amp;B279</f>
        <v>Total REGULATION DE CHALEUR</v>
      </c>
      <c r="C284" s="341"/>
      <c r="D284" s="191"/>
      <c r="E284" s="176"/>
      <c r="F284" s="177"/>
      <c r="G284" s="192"/>
      <c r="H284" s="179">
        <f>G279</f>
        <v>0</v>
      </c>
      <c r="I284" s="339" t="e">
        <f>IF(#REF!="",#REF!*#REF!,IF(#REF!=0,#REF!*#REF!,#REF!*#REF!*#REF!))</f>
        <v>#REF!</v>
      </c>
      <c r="J284" s="180" t="e">
        <f>#REF!*#REF!</f>
        <v>#REF!</v>
      </c>
      <c r="K284" s="178" t="e">
        <f>#REF!*mo</f>
        <v>#REF!</v>
      </c>
      <c r="L284" s="178" t="e">
        <f t="shared" si="40"/>
        <v>#REF!</v>
      </c>
      <c r="M284" s="178" t="e">
        <f>#REF!*#REF!</f>
        <v>#REF!</v>
      </c>
      <c r="N284" s="178" t="e">
        <f>#REF!+K284+#REF!</f>
        <v>#REF!</v>
      </c>
      <c r="O284" s="181" t="e">
        <f t="shared" si="41"/>
        <v>#REF!</v>
      </c>
      <c r="P284" s="193"/>
    </row>
    <row r="285" spans="1:16" outlineLevel="1">
      <c r="A285" s="155"/>
      <c r="B285" s="218"/>
      <c r="C285" s="341"/>
      <c r="D285" s="191"/>
      <c r="E285" s="176"/>
      <c r="F285" s="177"/>
      <c r="G285" s="192"/>
      <c r="H285" s="179"/>
      <c r="I285" s="339" t="e">
        <f>IF(#REF!="",#REF!*#REF!,IF(#REF!=0,#REF!*#REF!,#REF!*#REF!*#REF!))</f>
        <v>#REF!</v>
      </c>
      <c r="J285" s="180" t="e">
        <f>#REF!*#REF!</f>
        <v>#REF!</v>
      </c>
      <c r="K285" s="178" t="e">
        <f>#REF!*mo</f>
        <v>#REF!</v>
      </c>
      <c r="L285" s="178" t="e">
        <f t="shared" si="40"/>
        <v>#REF!</v>
      </c>
      <c r="M285" s="178" t="e">
        <f>#REF!*#REF!</f>
        <v>#REF!</v>
      </c>
      <c r="N285" s="178" t="e">
        <f>#REF!+K285+#REF!</f>
        <v>#REF!</v>
      </c>
      <c r="O285" s="181" t="e">
        <f t="shared" si="41"/>
        <v>#REF!</v>
      </c>
      <c r="P285" s="193"/>
    </row>
    <row r="286" spans="1:16" s="228" customFormat="1" ht="12.6">
      <c r="A286" s="220">
        <v>4</v>
      </c>
      <c r="B286" s="154" t="s">
        <v>923</v>
      </c>
      <c r="C286" s="221"/>
      <c r="D286" s="222"/>
      <c r="E286" s="223"/>
      <c r="F286" s="224"/>
      <c r="G286" s="186"/>
      <c r="H286" s="187">
        <f>SUM(H287:H382)</f>
        <v>0</v>
      </c>
      <c r="I286" s="343" t="e">
        <f>IF(#REF!="",#REF!*#REF!,IF(#REF!=0,#REF!*#REF!,#REF!*#REF!*#REF!))</f>
        <v>#REF!</v>
      </c>
      <c r="J286" s="225"/>
      <c r="K286" s="226"/>
      <c r="L286" s="226"/>
      <c r="M286" s="226"/>
      <c r="N286" s="226"/>
      <c r="O286" s="227"/>
    </row>
    <row r="287" spans="1:16" s="193" customFormat="1" outlineLevel="1">
      <c r="A287" s="155"/>
      <c r="B287" s="156"/>
      <c r="C287" s="190"/>
      <c r="D287" s="191"/>
      <c r="E287" s="176"/>
      <c r="F287" s="177"/>
      <c r="G287" s="192"/>
      <c r="H287" s="179"/>
      <c r="I287" s="339" t="e">
        <f>IF(#REF!="",#REF!*#REF!,IF(#REF!=0,#REF!*#REF!,#REF!*#REF!*#REF!))</f>
        <v>#REF!</v>
      </c>
      <c r="J287" s="180" t="e">
        <f>#REF!*#REF!</f>
        <v>#REF!</v>
      </c>
      <c r="K287" s="178" t="e">
        <f>#REF!*mo</f>
        <v>#REF!</v>
      </c>
      <c r="L287" s="178" t="e">
        <f t="shared" ref="L287:L303" si="43">J287*mo</f>
        <v>#REF!</v>
      </c>
      <c r="M287" s="178" t="e">
        <f>#REF!*#REF!</f>
        <v>#REF!</v>
      </c>
      <c r="N287" s="178" t="e">
        <f>#REF!+K287+#REF!</f>
        <v>#REF!</v>
      </c>
      <c r="O287" s="181" t="e">
        <f t="shared" ref="O287:O350" si="44">M287+L287+I287</f>
        <v>#REF!</v>
      </c>
    </row>
    <row r="288" spans="1:16" s="209" customFormat="1" outlineLevel="1">
      <c r="A288" s="157" t="str">
        <f>A286&amp;".2"</f>
        <v>4.2</v>
      </c>
      <c r="B288" s="158" t="s">
        <v>924</v>
      </c>
      <c r="C288" s="195"/>
      <c r="D288" s="170"/>
      <c r="E288" s="176"/>
      <c r="F288" s="177"/>
      <c r="G288" s="192"/>
      <c r="H288" s="196"/>
      <c r="I288" s="339" t="e">
        <f>IF(#REF!="",#REF!*#REF!,IF(#REF!=0,#REF!*#REF!,#REF!*#REF!*#REF!))</f>
        <v>#REF!</v>
      </c>
      <c r="J288" s="180" t="e">
        <f>#REF!*#REF!</f>
        <v>#REF!</v>
      </c>
      <c r="K288" s="178" t="e">
        <f>#REF!*mo</f>
        <v>#REF!</v>
      </c>
      <c r="L288" s="178" t="e">
        <f t="shared" si="43"/>
        <v>#REF!</v>
      </c>
      <c r="M288" s="178" t="e">
        <f>#REF!*#REF!</f>
        <v>#REF!</v>
      </c>
      <c r="N288" s="178" t="e">
        <f>#REF!+K288+#REF!</f>
        <v>#REF!</v>
      </c>
      <c r="O288" s="181" t="e">
        <f t="shared" si="44"/>
        <v>#REF!</v>
      </c>
    </row>
    <row r="289" spans="1:15" s="193" customFormat="1" outlineLevel="1">
      <c r="A289" s="157" t="str">
        <f>$A$288&amp;".1"</f>
        <v>4.2.1</v>
      </c>
      <c r="B289" s="158" t="s">
        <v>925</v>
      </c>
      <c r="C289" s="195"/>
      <c r="D289" s="170"/>
      <c r="E289" s="176"/>
      <c r="F289" s="177"/>
      <c r="G289" s="192">
        <f>SUM(F290:F300)</f>
        <v>0</v>
      </c>
      <c r="H289" s="179"/>
      <c r="I289" s="339" t="e">
        <f>IF(#REF!="",#REF!*#REF!,IF(#REF!=0,#REF!*#REF!,#REF!*#REF!*#REF!))</f>
        <v>#REF!</v>
      </c>
      <c r="J289" s="180" t="e">
        <f>#REF!*#REF!</f>
        <v>#REF!</v>
      </c>
      <c r="K289" s="178" t="e">
        <f>#REF!*mo</f>
        <v>#REF!</v>
      </c>
      <c r="L289" s="178" t="e">
        <f t="shared" si="43"/>
        <v>#REF!</v>
      </c>
      <c r="M289" s="178" t="e">
        <f>#REF!*#REF!</f>
        <v>#REF!</v>
      </c>
      <c r="N289" s="178" t="e">
        <f>#REF!+K289+#REF!</f>
        <v>#REF!</v>
      </c>
      <c r="O289" s="181" t="e">
        <f t="shared" si="44"/>
        <v>#REF!</v>
      </c>
    </row>
    <row r="290" spans="1:15" s="193" customFormat="1" outlineLevel="2">
      <c r="A290" s="155"/>
      <c r="B290" s="156"/>
      <c r="C290" s="190"/>
      <c r="D290" s="191"/>
      <c r="E290" s="176"/>
      <c r="F290" s="177"/>
      <c r="G290" s="192"/>
      <c r="H290" s="179"/>
      <c r="I290" s="339" t="e">
        <f>IF(#REF!="",#REF!*#REF!,IF(#REF!=0,#REF!*#REF!,#REF!*#REF!*#REF!))</f>
        <v>#REF!</v>
      </c>
      <c r="J290" s="180" t="e">
        <f>#REF!*#REF!</f>
        <v>#REF!</v>
      </c>
      <c r="K290" s="178" t="e">
        <f>#REF!*mo</f>
        <v>#REF!</v>
      </c>
      <c r="L290" s="178" t="e">
        <f t="shared" ref="L290:L291" si="45">J290*mo</f>
        <v>#REF!</v>
      </c>
      <c r="M290" s="178" t="e">
        <f>#REF!*#REF!</f>
        <v>#REF!</v>
      </c>
      <c r="N290" s="178" t="e">
        <f>#REF!+K290+#REF!</f>
        <v>#REF!</v>
      </c>
      <c r="O290" s="181" t="e">
        <f t="shared" si="44"/>
        <v>#REF!</v>
      </c>
    </row>
    <row r="291" spans="1:15" s="193" customFormat="1" outlineLevel="2">
      <c r="A291" s="155"/>
      <c r="B291" s="206" t="s">
        <v>926</v>
      </c>
      <c r="C291" s="202" t="s">
        <v>48</v>
      </c>
      <c r="D291" s="203"/>
      <c r="E291" s="176"/>
      <c r="F291" s="177"/>
      <c r="G291" s="192"/>
      <c r="H291" s="179"/>
      <c r="I291" s="339" t="e">
        <f>IF(#REF!="",#REF!*#REF!,IF(#REF!=0,#REF!*#REF!,#REF!*#REF!*#REF!))</f>
        <v>#REF!</v>
      </c>
      <c r="J291" s="180" t="e">
        <f>#REF!*#REF!</f>
        <v>#REF!</v>
      </c>
      <c r="K291" s="178" t="e">
        <f>#REF!*mo</f>
        <v>#REF!</v>
      </c>
      <c r="L291" s="178" t="e">
        <f t="shared" si="45"/>
        <v>#REF!</v>
      </c>
      <c r="M291" s="178" t="e">
        <f>#REF!*#REF!</f>
        <v>#REF!</v>
      </c>
      <c r="N291" s="178" t="e">
        <f>#REF!+K291+#REF!</f>
        <v>#REF!</v>
      </c>
      <c r="O291" s="181" t="e">
        <f t="shared" si="44"/>
        <v>#REF!</v>
      </c>
    </row>
    <row r="292" spans="1:15" s="193" customFormat="1" outlineLevel="2">
      <c r="A292" s="155"/>
      <c r="B292" s="156"/>
      <c r="C292" s="190"/>
      <c r="D292" s="191"/>
      <c r="E292" s="176"/>
      <c r="F292" s="177"/>
      <c r="G292" s="192"/>
      <c r="H292" s="179"/>
      <c r="I292" s="339" t="e">
        <f>IF(#REF!="",#REF!*#REF!,IF(#REF!=0,#REF!*#REF!,#REF!*#REF!*#REF!))</f>
        <v>#REF!</v>
      </c>
      <c r="J292" s="180" t="e">
        <f>#REF!*#REF!</f>
        <v>#REF!</v>
      </c>
      <c r="K292" s="178" t="e">
        <f>#REF!*mo</f>
        <v>#REF!</v>
      </c>
      <c r="L292" s="178" t="e">
        <f t="shared" si="43"/>
        <v>#REF!</v>
      </c>
      <c r="M292" s="178" t="e">
        <f>#REF!*#REF!</f>
        <v>#REF!</v>
      </c>
      <c r="N292" s="178" t="e">
        <f>#REF!+K292+#REF!</f>
        <v>#REF!</v>
      </c>
      <c r="O292" s="181" t="e">
        <f t="shared" si="44"/>
        <v>#REF!</v>
      </c>
    </row>
    <row r="293" spans="1:15" s="193" customFormat="1" outlineLevel="2">
      <c r="A293" s="155"/>
      <c r="B293" s="206" t="s">
        <v>927</v>
      </c>
      <c r="C293" s="202" t="s">
        <v>801</v>
      </c>
      <c r="D293" s="203"/>
      <c r="E293" s="176"/>
      <c r="F293" s="177"/>
      <c r="G293" s="192"/>
      <c r="H293" s="179"/>
      <c r="I293" s="339" t="e">
        <f>IF(#REF!="",#REF!*#REF!,IF(#REF!=0,#REF!*#REF!,#REF!*#REF!*#REF!))</f>
        <v>#REF!</v>
      </c>
      <c r="J293" s="180" t="e">
        <f>#REF!*#REF!</f>
        <v>#REF!</v>
      </c>
      <c r="K293" s="178" t="e">
        <f>#REF!*mo</f>
        <v>#REF!</v>
      </c>
      <c r="L293" s="178" t="e">
        <f t="shared" si="43"/>
        <v>#REF!</v>
      </c>
      <c r="M293" s="178" t="e">
        <f>#REF!*#REF!</f>
        <v>#REF!</v>
      </c>
      <c r="N293" s="178" t="e">
        <f>#REF!+K293+#REF!</f>
        <v>#REF!</v>
      </c>
      <c r="O293" s="181" t="e">
        <f t="shared" si="44"/>
        <v>#REF!</v>
      </c>
    </row>
    <row r="294" spans="1:15" s="193" customFormat="1" outlineLevel="2">
      <c r="A294" s="155"/>
      <c r="B294" s="206" t="s">
        <v>928</v>
      </c>
      <c r="C294" s="202" t="s">
        <v>801</v>
      </c>
      <c r="D294" s="203"/>
      <c r="E294" s="176"/>
      <c r="F294" s="177"/>
      <c r="G294" s="192"/>
      <c r="H294" s="179"/>
      <c r="I294" s="339" t="e">
        <f>IF(#REF!="",#REF!*#REF!,IF(#REF!=0,#REF!*#REF!,#REF!*#REF!*#REF!))</f>
        <v>#REF!</v>
      </c>
      <c r="J294" s="180" t="e">
        <f>#REF!*#REF!</f>
        <v>#REF!</v>
      </c>
      <c r="K294" s="178" t="e">
        <f>#REF!*mo</f>
        <v>#REF!</v>
      </c>
      <c r="L294" s="178" t="e">
        <f t="shared" si="43"/>
        <v>#REF!</v>
      </c>
      <c r="M294" s="178" t="e">
        <f>#REF!*#REF!</f>
        <v>#REF!</v>
      </c>
      <c r="N294" s="178" t="e">
        <f>#REF!+K294+#REF!</f>
        <v>#REF!</v>
      </c>
      <c r="O294" s="181" t="e">
        <f t="shared" si="44"/>
        <v>#REF!</v>
      </c>
    </row>
    <row r="295" spans="1:15" s="193" customFormat="1" outlineLevel="2">
      <c r="A295" s="155"/>
      <c r="B295" s="206" t="s">
        <v>929</v>
      </c>
      <c r="C295" s="202" t="s">
        <v>801</v>
      </c>
      <c r="D295" s="203"/>
      <c r="E295" s="176"/>
      <c r="F295" s="177"/>
      <c r="G295" s="192"/>
      <c r="H295" s="179"/>
      <c r="I295" s="339" t="e">
        <f>IF(#REF!="",#REF!*#REF!,IF(#REF!=0,#REF!*#REF!,#REF!*#REF!*#REF!))</f>
        <v>#REF!</v>
      </c>
      <c r="J295" s="180" t="e">
        <f>#REF!*#REF!</f>
        <v>#REF!</v>
      </c>
      <c r="K295" s="178" t="e">
        <f>#REF!*mo</f>
        <v>#REF!</v>
      </c>
      <c r="L295" s="178" t="e">
        <f t="shared" si="43"/>
        <v>#REF!</v>
      </c>
      <c r="M295" s="178" t="e">
        <f>#REF!*#REF!</f>
        <v>#REF!</v>
      </c>
      <c r="N295" s="178" t="e">
        <f>#REF!+K295+#REF!</f>
        <v>#REF!</v>
      </c>
      <c r="O295" s="181" t="e">
        <f t="shared" si="44"/>
        <v>#REF!</v>
      </c>
    </row>
    <row r="296" spans="1:15" s="193" customFormat="1" outlineLevel="2">
      <c r="A296" s="155"/>
      <c r="B296" s="206" t="s">
        <v>930</v>
      </c>
      <c r="C296" s="202" t="s">
        <v>801</v>
      </c>
      <c r="D296" s="203"/>
      <c r="E296" s="176"/>
      <c r="F296" s="177"/>
      <c r="G296" s="192"/>
      <c r="H296" s="179"/>
      <c r="I296" s="339" t="e">
        <f>IF(#REF!="",#REF!*#REF!,IF(#REF!=0,#REF!*#REF!,#REF!*#REF!*#REF!))</f>
        <v>#REF!</v>
      </c>
      <c r="J296" s="180" t="e">
        <f>#REF!*#REF!</f>
        <v>#REF!</v>
      </c>
      <c r="K296" s="178" t="e">
        <f>#REF!*mo</f>
        <v>#REF!</v>
      </c>
      <c r="L296" s="178" t="e">
        <f t="shared" si="43"/>
        <v>#REF!</v>
      </c>
      <c r="M296" s="178" t="e">
        <f>#REF!*#REF!</f>
        <v>#REF!</v>
      </c>
      <c r="N296" s="178" t="e">
        <f>#REF!+K296+#REF!</f>
        <v>#REF!</v>
      </c>
      <c r="O296" s="181" t="e">
        <f t="shared" si="44"/>
        <v>#REF!</v>
      </c>
    </row>
    <row r="297" spans="1:15" s="193" customFormat="1" outlineLevel="2">
      <c r="A297" s="155"/>
      <c r="B297" s="206" t="s">
        <v>931</v>
      </c>
      <c r="C297" s="202" t="s">
        <v>801</v>
      </c>
      <c r="D297" s="203"/>
      <c r="E297" s="176"/>
      <c r="F297" s="177"/>
      <c r="G297" s="192"/>
      <c r="H297" s="179"/>
      <c r="I297" s="339" t="e">
        <f>IF(#REF!="",#REF!*#REF!,IF(#REF!=0,#REF!*#REF!,#REF!*#REF!*#REF!))</f>
        <v>#REF!</v>
      </c>
      <c r="J297" s="180" t="e">
        <f>#REF!*#REF!</f>
        <v>#REF!</v>
      </c>
      <c r="K297" s="178" t="e">
        <f>#REF!*mo</f>
        <v>#REF!</v>
      </c>
      <c r="L297" s="178" t="e">
        <f t="shared" si="43"/>
        <v>#REF!</v>
      </c>
      <c r="M297" s="178" t="e">
        <f>#REF!*#REF!</f>
        <v>#REF!</v>
      </c>
      <c r="N297" s="178" t="e">
        <f>#REF!+K297+#REF!</f>
        <v>#REF!</v>
      </c>
      <c r="O297" s="181" t="e">
        <f t="shared" si="44"/>
        <v>#REF!</v>
      </c>
    </row>
    <row r="298" spans="1:15" s="193" customFormat="1" outlineLevel="2">
      <c r="A298" s="155"/>
      <c r="B298" s="205" t="s">
        <v>864</v>
      </c>
      <c r="C298" s="202" t="s">
        <v>795</v>
      </c>
      <c r="D298" s="203"/>
      <c r="E298" s="176"/>
      <c r="F298" s="177"/>
      <c r="G298" s="192"/>
      <c r="H298" s="179"/>
      <c r="I298" s="339" t="e">
        <f>IF(#REF!="",#REF!*#REF!,IF(#REF!=0,#REF!*#REF!,#REF!*#REF!*#REF!))</f>
        <v>#REF!</v>
      </c>
      <c r="J298" s="180" t="e">
        <f>#REF!*#REF!</f>
        <v>#REF!</v>
      </c>
      <c r="K298" s="178" t="e">
        <f>#REF!*mo</f>
        <v>#REF!</v>
      </c>
      <c r="L298" s="178" t="e">
        <f t="shared" si="43"/>
        <v>#REF!</v>
      </c>
      <c r="M298" s="178" t="e">
        <f>#REF!*#REF!</f>
        <v>#REF!</v>
      </c>
      <c r="N298" s="178" t="e">
        <f>#REF!+K298+#REF!</f>
        <v>#REF!</v>
      </c>
      <c r="O298" s="181" t="e">
        <f t="shared" si="44"/>
        <v>#REF!</v>
      </c>
    </row>
    <row r="299" spans="1:15" s="193" customFormat="1" outlineLevel="2">
      <c r="A299" s="155"/>
      <c r="B299" s="156"/>
      <c r="C299" s="190"/>
      <c r="D299" s="191"/>
      <c r="E299" s="176"/>
      <c r="F299" s="177"/>
      <c r="G299" s="192"/>
      <c r="H299" s="179"/>
      <c r="I299" s="339" t="e">
        <f>IF(#REF!="",#REF!*#REF!,IF(#REF!=0,#REF!*#REF!,#REF!*#REF!*#REF!))</f>
        <v>#REF!</v>
      </c>
      <c r="J299" s="180" t="e">
        <f>#REF!*#REF!</f>
        <v>#REF!</v>
      </c>
      <c r="K299" s="178" t="e">
        <f>#REF!*mo</f>
        <v>#REF!</v>
      </c>
      <c r="L299" s="178" t="e">
        <f t="shared" si="43"/>
        <v>#REF!</v>
      </c>
      <c r="M299" s="178" t="e">
        <f>#REF!*#REF!</f>
        <v>#REF!</v>
      </c>
      <c r="N299" s="178" t="e">
        <f>#REF!+K299+#REF!</f>
        <v>#REF!</v>
      </c>
      <c r="O299" s="181" t="e">
        <f t="shared" si="44"/>
        <v>#REF!</v>
      </c>
    </row>
    <row r="300" spans="1:15" s="193" customFormat="1" outlineLevel="2">
      <c r="A300" s="155"/>
      <c r="B300" s="156"/>
      <c r="C300" s="190"/>
      <c r="D300" s="191"/>
      <c r="E300" s="176"/>
      <c r="F300" s="177"/>
      <c r="G300" s="192"/>
      <c r="H300" s="179"/>
      <c r="I300" s="339" t="e">
        <f>IF(#REF!="",#REF!*#REF!,IF(#REF!=0,#REF!*#REF!,#REF!*#REF!*#REF!))</f>
        <v>#REF!</v>
      </c>
      <c r="J300" s="180" t="e">
        <f>#REF!*#REF!</f>
        <v>#REF!</v>
      </c>
      <c r="K300" s="178" t="e">
        <f>#REF!*mo</f>
        <v>#REF!</v>
      </c>
      <c r="L300" s="178" t="e">
        <f t="shared" si="43"/>
        <v>#REF!</v>
      </c>
      <c r="M300" s="178" t="e">
        <f>#REF!*#REF!</f>
        <v>#REF!</v>
      </c>
      <c r="N300" s="178" t="e">
        <f>#REF!+K300+#REF!</f>
        <v>#REF!</v>
      </c>
      <c r="O300" s="181" t="e">
        <f t="shared" si="44"/>
        <v>#REF!</v>
      </c>
    </row>
    <row r="301" spans="1:15" s="209" customFormat="1" outlineLevel="1">
      <c r="A301" s="157" t="str">
        <f>$A$288&amp;".2"</f>
        <v>4.2.2</v>
      </c>
      <c r="B301" s="158" t="s">
        <v>932</v>
      </c>
      <c r="C301" s="195"/>
      <c r="D301" s="170"/>
      <c r="E301" s="176"/>
      <c r="F301" s="177"/>
      <c r="G301" s="192">
        <f>SUM(F302:F352)</f>
        <v>0</v>
      </c>
      <c r="H301" s="179"/>
      <c r="I301" s="339" t="e">
        <f>IF(#REF!="",#REF!*#REF!,IF(#REF!=0,#REF!*#REF!,#REF!*#REF!*#REF!))</f>
        <v>#REF!</v>
      </c>
      <c r="J301" s="180" t="e">
        <f>#REF!*#REF!</f>
        <v>#REF!</v>
      </c>
      <c r="K301" s="178" t="e">
        <f>#REF!*mo</f>
        <v>#REF!</v>
      </c>
      <c r="L301" s="178" t="e">
        <f t="shared" si="43"/>
        <v>#REF!</v>
      </c>
      <c r="M301" s="178" t="e">
        <f>#REF!*#REF!</f>
        <v>#REF!</v>
      </c>
      <c r="N301" s="178" t="e">
        <f>#REF!+K301+#REF!</f>
        <v>#REF!</v>
      </c>
      <c r="O301" s="181" t="e">
        <f t="shared" si="44"/>
        <v>#REF!</v>
      </c>
    </row>
    <row r="302" spans="1:15" s="193" customFormat="1" outlineLevel="2">
      <c r="A302" s="155"/>
      <c r="B302" s="156"/>
      <c r="C302" s="190"/>
      <c r="D302" s="191"/>
      <c r="E302" s="176"/>
      <c r="F302" s="177"/>
      <c r="G302" s="192"/>
      <c r="H302" s="179"/>
      <c r="I302" s="339" t="e">
        <f>IF(#REF!="",#REF!*#REF!,IF(#REF!=0,#REF!*#REF!,#REF!*#REF!*#REF!))</f>
        <v>#REF!</v>
      </c>
      <c r="J302" s="180" t="e">
        <f>#REF!*#REF!</f>
        <v>#REF!</v>
      </c>
      <c r="K302" s="178" t="e">
        <f>#REF!*mo</f>
        <v>#REF!</v>
      </c>
      <c r="L302" s="178" t="e">
        <f t="shared" si="43"/>
        <v>#REF!</v>
      </c>
      <c r="M302" s="178" t="e">
        <f>#REF!*#REF!</f>
        <v>#REF!</v>
      </c>
      <c r="N302" s="178" t="e">
        <f>#REF!+K302+#REF!</f>
        <v>#REF!</v>
      </c>
      <c r="O302" s="181" t="e">
        <f t="shared" si="44"/>
        <v>#REF!</v>
      </c>
    </row>
    <row r="303" spans="1:15" s="193" customFormat="1" outlineLevel="2">
      <c r="A303" s="155"/>
      <c r="B303" s="201" t="s">
        <v>933</v>
      </c>
      <c r="C303" s="202" t="s">
        <v>106</v>
      </c>
      <c r="D303" s="203"/>
      <c r="E303" s="176"/>
      <c r="F303" s="177"/>
      <c r="G303" s="192"/>
      <c r="H303" s="179"/>
      <c r="I303" s="339" t="e">
        <f>IF(#REF!="",#REF!*#REF!,IF(#REF!=0,#REF!*#REF!,#REF!*#REF!*#REF!))</f>
        <v>#REF!</v>
      </c>
      <c r="J303" s="180" t="e">
        <f>#REF!*#REF!</f>
        <v>#REF!</v>
      </c>
      <c r="K303" s="178" t="e">
        <f>#REF!*mo</f>
        <v>#REF!</v>
      </c>
      <c r="L303" s="178" t="e">
        <f t="shared" si="43"/>
        <v>#REF!</v>
      </c>
      <c r="M303" s="178" t="e">
        <f>#REF!*#REF!</f>
        <v>#REF!</v>
      </c>
      <c r="N303" s="178" t="e">
        <f>#REF!+K303+#REF!</f>
        <v>#REF!</v>
      </c>
      <c r="O303" s="181" t="e">
        <f t="shared" si="44"/>
        <v>#REF!</v>
      </c>
    </row>
    <row r="304" spans="1:15" s="193" customFormat="1" outlineLevel="2">
      <c r="A304" s="155"/>
      <c r="B304" s="229"/>
      <c r="C304" s="202"/>
      <c r="D304" s="203"/>
      <c r="E304" s="176"/>
      <c r="F304" s="177"/>
      <c r="G304" s="192"/>
      <c r="H304" s="179"/>
      <c r="I304" s="339" t="e">
        <f>IF(#REF!="",#REF!*#REF!,IF(#REF!=0,#REF!*#REF!,#REF!*#REF!*#REF!))</f>
        <v>#REF!</v>
      </c>
      <c r="J304" s="180" t="e">
        <f>#REF!*#REF!</f>
        <v>#REF!</v>
      </c>
      <c r="K304" s="178" t="e">
        <f>#REF!*mo</f>
        <v>#REF!</v>
      </c>
      <c r="L304" s="178" t="e">
        <f t="shared" ref="L304:L356" si="46">J304*mo</f>
        <v>#REF!</v>
      </c>
      <c r="M304" s="178" t="e">
        <f>#REF!*#REF!</f>
        <v>#REF!</v>
      </c>
      <c r="N304" s="178" t="e">
        <f>#REF!+K304+#REF!</f>
        <v>#REF!</v>
      </c>
      <c r="O304" s="181" t="e">
        <f t="shared" si="44"/>
        <v>#REF!</v>
      </c>
    </row>
    <row r="305" spans="1:15" s="193" customFormat="1" outlineLevel="2">
      <c r="A305" s="155"/>
      <c r="B305" s="201" t="s">
        <v>934</v>
      </c>
      <c r="C305" s="202" t="s">
        <v>106</v>
      </c>
      <c r="D305" s="203"/>
      <c r="E305" s="176"/>
      <c r="F305" s="177"/>
      <c r="G305" s="192"/>
      <c r="H305" s="179"/>
      <c r="I305" s="339" t="e">
        <f>IF(#REF!="",#REF!*#REF!,IF(#REF!=0,#REF!*#REF!,#REF!*#REF!*#REF!))</f>
        <v>#REF!</v>
      </c>
      <c r="J305" s="180" t="e">
        <f>#REF!*#REF!</f>
        <v>#REF!</v>
      </c>
      <c r="K305" s="178" t="e">
        <f>#REF!*mo</f>
        <v>#REF!</v>
      </c>
      <c r="L305" s="178" t="e">
        <f t="shared" si="46"/>
        <v>#REF!</v>
      </c>
      <c r="M305" s="178" t="e">
        <f>#REF!*#REF!</f>
        <v>#REF!</v>
      </c>
      <c r="N305" s="178" t="e">
        <f>#REF!+K305+#REF!</f>
        <v>#REF!</v>
      </c>
      <c r="O305" s="181" t="e">
        <f t="shared" si="44"/>
        <v>#REF!</v>
      </c>
    </row>
    <row r="306" spans="1:15" s="193" customFormat="1" outlineLevel="2">
      <c r="A306" s="155"/>
      <c r="B306" s="229"/>
      <c r="C306" s="202"/>
      <c r="D306" s="203"/>
      <c r="E306" s="176"/>
      <c r="F306" s="177"/>
      <c r="G306" s="192"/>
      <c r="H306" s="179"/>
      <c r="I306" s="339" t="e">
        <f>IF(#REF!="",#REF!*#REF!,IF(#REF!=0,#REF!*#REF!,#REF!*#REF!*#REF!))</f>
        <v>#REF!</v>
      </c>
      <c r="J306" s="180" t="e">
        <f>#REF!*#REF!</f>
        <v>#REF!</v>
      </c>
      <c r="K306" s="178" t="e">
        <f>#REF!*mo</f>
        <v>#REF!</v>
      </c>
      <c r="L306" s="178" t="e">
        <f t="shared" si="46"/>
        <v>#REF!</v>
      </c>
      <c r="M306" s="178" t="e">
        <f>#REF!*#REF!</f>
        <v>#REF!</v>
      </c>
      <c r="N306" s="178" t="e">
        <f>#REF!+K306+#REF!</f>
        <v>#REF!</v>
      </c>
      <c r="O306" s="181" t="e">
        <f t="shared" si="44"/>
        <v>#REF!</v>
      </c>
    </row>
    <row r="307" spans="1:15" s="193" customFormat="1" outlineLevel="2">
      <c r="A307" s="155"/>
      <c r="B307" s="201" t="s">
        <v>935</v>
      </c>
      <c r="C307" s="202"/>
      <c r="D307" s="203"/>
      <c r="E307" s="176"/>
      <c r="F307" s="177"/>
      <c r="G307" s="192"/>
      <c r="H307" s="179"/>
      <c r="I307" s="339" t="e">
        <f>IF(#REF!="",#REF!*#REF!,IF(#REF!=0,#REF!*#REF!,#REF!*#REF!*#REF!))</f>
        <v>#REF!</v>
      </c>
      <c r="J307" s="180" t="e">
        <f>#REF!*#REF!</f>
        <v>#REF!</v>
      </c>
      <c r="K307" s="178" t="e">
        <f>#REF!*mo</f>
        <v>#REF!</v>
      </c>
      <c r="L307" s="178" t="e">
        <f t="shared" si="46"/>
        <v>#REF!</v>
      </c>
      <c r="M307" s="178" t="e">
        <f>#REF!*#REF!</f>
        <v>#REF!</v>
      </c>
      <c r="N307" s="178" t="e">
        <f>#REF!+K307+#REF!</f>
        <v>#REF!</v>
      </c>
      <c r="O307" s="181" t="e">
        <f t="shared" si="44"/>
        <v>#REF!</v>
      </c>
    </row>
    <row r="308" spans="1:15" s="193" customFormat="1" outlineLevel="2">
      <c r="A308" s="155"/>
      <c r="B308" s="229"/>
      <c r="C308" s="202"/>
      <c r="D308" s="203"/>
      <c r="E308" s="176"/>
      <c r="F308" s="177"/>
      <c r="G308" s="192"/>
      <c r="H308" s="179"/>
      <c r="I308" s="339" t="e">
        <f>IF(#REF!="",#REF!*#REF!,IF(#REF!=0,#REF!*#REF!,#REF!*#REF!*#REF!))</f>
        <v>#REF!</v>
      </c>
      <c r="J308" s="180" t="e">
        <f>#REF!*#REF!</f>
        <v>#REF!</v>
      </c>
      <c r="K308" s="178" t="e">
        <f>#REF!*mo</f>
        <v>#REF!</v>
      </c>
      <c r="L308" s="178" t="e">
        <f t="shared" si="46"/>
        <v>#REF!</v>
      </c>
      <c r="M308" s="178" t="e">
        <f>#REF!*#REF!</f>
        <v>#REF!</v>
      </c>
      <c r="N308" s="178" t="e">
        <f>#REF!+K308+#REF!</f>
        <v>#REF!</v>
      </c>
      <c r="O308" s="181" t="e">
        <f t="shared" si="44"/>
        <v>#REF!</v>
      </c>
    </row>
    <row r="309" spans="1:15" s="193" customFormat="1" outlineLevel="2">
      <c r="A309" s="155"/>
      <c r="B309" s="205" t="s">
        <v>936</v>
      </c>
      <c r="C309" s="202" t="s">
        <v>937</v>
      </c>
      <c r="D309" s="203"/>
      <c r="E309" s="176"/>
      <c r="F309" s="177"/>
      <c r="G309" s="192"/>
      <c r="H309" s="179"/>
      <c r="I309" s="339" t="e">
        <f>IF(#REF!="",#REF!*#REF!,IF(#REF!=0,#REF!*#REF!,#REF!*#REF!*#REF!))</f>
        <v>#REF!</v>
      </c>
      <c r="J309" s="180" t="e">
        <f>#REF!*#REF!</f>
        <v>#REF!</v>
      </c>
      <c r="K309" s="178" t="e">
        <f>#REF!*mo</f>
        <v>#REF!</v>
      </c>
      <c r="L309" s="178" t="e">
        <f t="shared" si="46"/>
        <v>#REF!</v>
      </c>
      <c r="M309" s="178" t="e">
        <f>#REF!*#REF!</f>
        <v>#REF!</v>
      </c>
      <c r="N309" s="178" t="e">
        <f>#REF!+K309+#REF!</f>
        <v>#REF!</v>
      </c>
      <c r="O309" s="181" t="e">
        <f t="shared" si="44"/>
        <v>#REF!</v>
      </c>
    </row>
    <row r="310" spans="1:15" s="193" customFormat="1" outlineLevel="2">
      <c r="A310" s="155"/>
      <c r="B310" s="205" t="s">
        <v>938</v>
      </c>
      <c r="C310" s="202"/>
      <c r="D310" s="203"/>
      <c r="E310" s="176"/>
      <c r="F310" s="177"/>
      <c r="G310" s="192"/>
      <c r="H310" s="179"/>
      <c r="I310" s="339" t="e">
        <f>IF(#REF!="",#REF!*#REF!,IF(#REF!=0,#REF!*#REF!,#REF!*#REF!*#REF!))</f>
        <v>#REF!</v>
      </c>
      <c r="J310" s="180" t="e">
        <f>#REF!*#REF!</f>
        <v>#REF!</v>
      </c>
      <c r="K310" s="178" t="e">
        <f>#REF!*mo</f>
        <v>#REF!</v>
      </c>
      <c r="L310" s="178" t="e">
        <f t="shared" si="46"/>
        <v>#REF!</v>
      </c>
      <c r="M310" s="178" t="e">
        <f>#REF!*#REF!</f>
        <v>#REF!</v>
      </c>
      <c r="N310" s="178" t="e">
        <f>#REF!+K310+#REF!</f>
        <v>#REF!</v>
      </c>
      <c r="O310" s="181" t="e">
        <f t="shared" si="44"/>
        <v>#REF!</v>
      </c>
    </row>
    <row r="311" spans="1:15" s="193" customFormat="1" outlineLevel="2">
      <c r="A311" s="155"/>
      <c r="B311" s="230" t="s">
        <v>939</v>
      </c>
      <c r="C311" s="202" t="s">
        <v>123</v>
      </c>
      <c r="D311" s="203"/>
      <c r="E311" s="176"/>
      <c r="F311" s="177"/>
      <c r="G311" s="192"/>
      <c r="H311" s="179"/>
      <c r="I311" s="339" t="e">
        <f>IF(#REF!="",#REF!*#REF!,IF(#REF!=0,#REF!*#REF!,#REF!*#REF!*#REF!))</f>
        <v>#REF!</v>
      </c>
      <c r="J311" s="180" t="e">
        <f>#REF!*#REF!</f>
        <v>#REF!</v>
      </c>
      <c r="K311" s="178" t="e">
        <f>#REF!*mo</f>
        <v>#REF!</v>
      </c>
      <c r="L311" s="178" t="e">
        <f t="shared" si="46"/>
        <v>#REF!</v>
      </c>
      <c r="M311" s="178" t="e">
        <f>#REF!*#REF!</f>
        <v>#REF!</v>
      </c>
      <c r="N311" s="178" t="e">
        <f>#REF!+K311+#REF!</f>
        <v>#REF!</v>
      </c>
      <c r="O311" s="181" t="e">
        <f t="shared" si="44"/>
        <v>#REF!</v>
      </c>
    </row>
    <row r="312" spans="1:15" s="193" customFormat="1" outlineLevel="2">
      <c r="A312" s="155"/>
      <c r="B312" s="230" t="s">
        <v>940</v>
      </c>
      <c r="C312" s="202" t="s">
        <v>123</v>
      </c>
      <c r="D312" s="203"/>
      <c r="E312" s="176"/>
      <c r="F312" s="177"/>
      <c r="G312" s="192"/>
      <c r="H312" s="179"/>
      <c r="I312" s="339" t="e">
        <f>IF(#REF!="",#REF!*#REF!,IF(#REF!=0,#REF!*#REF!,#REF!*#REF!*#REF!))</f>
        <v>#REF!</v>
      </c>
      <c r="J312" s="180" t="e">
        <f>#REF!*#REF!</f>
        <v>#REF!</v>
      </c>
      <c r="K312" s="178" t="e">
        <f>#REF!*mo</f>
        <v>#REF!</v>
      </c>
      <c r="L312" s="178" t="e">
        <f t="shared" si="46"/>
        <v>#REF!</v>
      </c>
      <c r="M312" s="178" t="e">
        <f>#REF!*#REF!</f>
        <v>#REF!</v>
      </c>
      <c r="N312" s="178" t="e">
        <f>#REF!+K312+#REF!</f>
        <v>#REF!</v>
      </c>
      <c r="O312" s="181" t="e">
        <f t="shared" si="44"/>
        <v>#REF!</v>
      </c>
    </row>
    <row r="313" spans="1:15" s="193" customFormat="1" outlineLevel="2">
      <c r="A313" s="155"/>
      <c r="B313" s="230" t="s">
        <v>941</v>
      </c>
      <c r="C313" s="202" t="s">
        <v>123</v>
      </c>
      <c r="D313" s="203"/>
      <c r="E313" s="176"/>
      <c r="F313" s="177"/>
      <c r="G313" s="192"/>
      <c r="H313" s="179"/>
      <c r="I313" s="339" t="e">
        <f>IF(#REF!="",#REF!*#REF!,IF(#REF!=0,#REF!*#REF!,#REF!*#REF!*#REF!))</f>
        <v>#REF!</v>
      </c>
      <c r="J313" s="180" t="e">
        <f>#REF!*#REF!</f>
        <v>#REF!</v>
      </c>
      <c r="K313" s="178" t="e">
        <f>#REF!*mo</f>
        <v>#REF!</v>
      </c>
      <c r="L313" s="178" t="e">
        <f t="shared" si="46"/>
        <v>#REF!</v>
      </c>
      <c r="M313" s="178" t="e">
        <f>#REF!*#REF!</f>
        <v>#REF!</v>
      </c>
      <c r="N313" s="178" t="e">
        <f>#REF!+K313+#REF!</f>
        <v>#REF!</v>
      </c>
      <c r="O313" s="181" t="e">
        <f t="shared" si="44"/>
        <v>#REF!</v>
      </c>
    </row>
    <row r="314" spans="1:15" s="193" customFormat="1" outlineLevel="2">
      <c r="A314" s="155"/>
      <c r="B314" s="230" t="s">
        <v>942</v>
      </c>
      <c r="C314" s="202" t="s">
        <v>123</v>
      </c>
      <c r="D314" s="203"/>
      <c r="E314" s="176"/>
      <c r="F314" s="177"/>
      <c r="G314" s="192"/>
      <c r="H314" s="179"/>
      <c r="I314" s="339" t="e">
        <f>IF(#REF!="",#REF!*#REF!,IF(#REF!=0,#REF!*#REF!,#REF!*#REF!*#REF!))</f>
        <v>#REF!</v>
      </c>
      <c r="J314" s="180" t="e">
        <f>#REF!*#REF!</f>
        <v>#REF!</v>
      </c>
      <c r="K314" s="178" t="e">
        <f>#REF!*mo</f>
        <v>#REF!</v>
      </c>
      <c r="L314" s="178" t="e">
        <f t="shared" si="46"/>
        <v>#REF!</v>
      </c>
      <c r="M314" s="178" t="e">
        <f>#REF!*#REF!</f>
        <v>#REF!</v>
      </c>
      <c r="N314" s="178" t="e">
        <f>#REF!+K314+#REF!</f>
        <v>#REF!</v>
      </c>
      <c r="O314" s="181" t="e">
        <f t="shared" si="44"/>
        <v>#REF!</v>
      </c>
    </row>
    <row r="315" spans="1:15" s="193" customFormat="1" outlineLevel="2">
      <c r="A315" s="155"/>
      <c r="B315" s="230" t="s">
        <v>943</v>
      </c>
      <c r="C315" s="202" t="s">
        <v>123</v>
      </c>
      <c r="D315" s="203"/>
      <c r="E315" s="176"/>
      <c r="F315" s="177"/>
      <c r="G315" s="192"/>
      <c r="H315" s="179"/>
      <c r="I315" s="339" t="e">
        <f>IF(#REF!="",#REF!*#REF!,IF(#REF!=0,#REF!*#REF!,#REF!*#REF!*#REF!))</f>
        <v>#REF!</v>
      </c>
      <c r="J315" s="180" t="e">
        <f>#REF!*#REF!</f>
        <v>#REF!</v>
      </c>
      <c r="K315" s="178" t="e">
        <f>#REF!*mo</f>
        <v>#REF!</v>
      </c>
      <c r="L315" s="178" t="e">
        <f t="shared" si="46"/>
        <v>#REF!</v>
      </c>
      <c r="M315" s="178" t="e">
        <f>#REF!*#REF!</f>
        <v>#REF!</v>
      </c>
      <c r="N315" s="178" t="e">
        <f>#REF!+K315+#REF!</f>
        <v>#REF!</v>
      </c>
      <c r="O315" s="181" t="e">
        <f t="shared" si="44"/>
        <v>#REF!</v>
      </c>
    </row>
    <row r="316" spans="1:15" s="193" customFormat="1" outlineLevel="2">
      <c r="A316" s="155"/>
      <c r="B316" s="230" t="s">
        <v>868</v>
      </c>
      <c r="C316" s="202" t="s">
        <v>123</v>
      </c>
      <c r="D316" s="203"/>
      <c r="E316" s="176"/>
      <c r="F316" s="177"/>
      <c r="G316" s="192"/>
      <c r="H316" s="179"/>
      <c r="I316" s="339" t="e">
        <f>IF(#REF!="",#REF!*#REF!,IF(#REF!=0,#REF!*#REF!,#REF!*#REF!*#REF!))</f>
        <v>#REF!</v>
      </c>
      <c r="J316" s="180" t="e">
        <f>#REF!*#REF!</f>
        <v>#REF!</v>
      </c>
      <c r="K316" s="178" t="e">
        <f>#REF!*mo</f>
        <v>#REF!</v>
      </c>
      <c r="L316" s="178" t="e">
        <f t="shared" si="46"/>
        <v>#REF!</v>
      </c>
      <c r="M316" s="178" t="e">
        <f>#REF!*#REF!</f>
        <v>#REF!</v>
      </c>
      <c r="N316" s="178" t="e">
        <f>#REF!+K316+#REF!</f>
        <v>#REF!</v>
      </c>
      <c r="O316" s="181" t="e">
        <f t="shared" si="44"/>
        <v>#REF!</v>
      </c>
    </row>
    <row r="317" spans="1:15" s="193" customFormat="1" outlineLevel="2">
      <c r="A317" s="155"/>
      <c r="B317" s="230" t="s">
        <v>944</v>
      </c>
      <c r="C317" s="202" t="s">
        <v>123</v>
      </c>
      <c r="D317" s="203"/>
      <c r="E317" s="176"/>
      <c r="F317" s="177"/>
      <c r="G317" s="192"/>
      <c r="H317" s="179"/>
      <c r="I317" s="339" t="e">
        <f>IF(#REF!="",#REF!*#REF!,IF(#REF!=0,#REF!*#REF!,#REF!*#REF!*#REF!))</f>
        <v>#REF!</v>
      </c>
      <c r="J317" s="180" t="e">
        <f>#REF!*#REF!</f>
        <v>#REF!</v>
      </c>
      <c r="K317" s="178" t="e">
        <f>#REF!*mo</f>
        <v>#REF!</v>
      </c>
      <c r="L317" s="178" t="e">
        <f t="shared" si="46"/>
        <v>#REF!</v>
      </c>
      <c r="M317" s="178" t="e">
        <f>#REF!*#REF!</f>
        <v>#REF!</v>
      </c>
      <c r="N317" s="178" t="e">
        <f>#REF!+K317+#REF!</f>
        <v>#REF!</v>
      </c>
      <c r="O317" s="181" t="e">
        <f t="shared" si="44"/>
        <v>#REF!</v>
      </c>
    </row>
    <row r="318" spans="1:15" s="193" customFormat="1" outlineLevel="2">
      <c r="A318" s="155"/>
      <c r="B318" s="230" t="s">
        <v>870</v>
      </c>
      <c r="C318" s="202" t="s">
        <v>123</v>
      </c>
      <c r="D318" s="203"/>
      <c r="E318" s="176"/>
      <c r="F318" s="177"/>
      <c r="G318" s="192"/>
      <c r="H318" s="179"/>
      <c r="I318" s="339" t="e">
        <f>IF(#REF!="",#REF!*#REF!,IF(#REF!=0,#REF!*#REF!,#REF!*#REF!*#REF!))</f>
        <v>#REF!</v>
      </c>
      <c r="J318" s="180" t="e">
        <f>#REF!*#REF!</f>
        <v>#REF!</v>
      </c>
      <c r="K318" s="178" t="e">
        <f>#REF!*mo</f>
        <v>#REF!</v>
      </c>
      <c r="L318" s="178" t="e">
        <f t="shared" si="46"/>
        <v>#REF!</v>
      </c>
      <c r="M318" s="178" t="e">
        <f>#REF!*#REF!</f>
        <v>#REF!</v>
      </c>
      <c r="N318" s="178" t="e">
        <f>#REF!+K318+#REF!</f>
        <v>#REF!</v>
      </c>
      <c r="O318" s="181" t="e">
        <f t="shared" si="44"/>
        <v>#REF!</v>
      </c>
    </row>
    <row r="319" spans="1:15" s="193" customFormat="1" outlineLevel="2">
      <c r="A319" s="155"/>
      <c r="B319" s="230" t="s">
        <v>871</v>
      </c>
      <c r="C319" s="202" t="s">
        <v>123</v>
      </c>
      <c r="D319" s="203"/>
      <c r="E319" s="176"/>
      <c r="F319" s="177"/>
      <c r="G319" s="192"/>
      <c r="H319" s="179"/>
      <c r="I319" s="339" t="e">
        <f>IF(#REF!="",#REF!*#REF!,IF(#REF!=0,#REF!*#REF!,#REF!*#REF!*#REF!))</f>
        <v>#REF!</v>
      </c>
      <c r="J319" s="180" t="e">
        <f>#REF!*#REF!</f>
        <v>#REF!</v>
      </c>
      <c r="K319" s="178" t="e">
        <f>#REF!*mo</f>
        <v>#REF!</v>
      </c>
      <c r="L319" s="178" t="e">
        <f t="shared" si="46"/>
        <v>#REF!</v>
      </c>
      <c r="M319" s="178" t="e">
        <f>#REF!*#REF!</f>
        <v>#REF!</v>
      </c>
      <c r="N319" s="178" t="e">
        <f>#REF!+K319+#REF!</f>
        <v>#REF!</v>
      </c>
      <c r="O319" s="181" t="e">
        <f t="shared" si="44"/>
        <v>#REF!</v>
      </c>
    </row>
    <row r="320" spans="1:15" s="193" customFormat="1" outlineLevel="2">
      <c r="A320" s="155"/>
      <c r="B320" s="205" t="s">
        <v>945</v>
      </c>
      <c r="C320" s="202" t="s">
        <v>801</v>
      </c>
      <c r="D320" s="203"/>
      <c r="E320" s="176"/>
      <c r="F320" s="177"/>
      <c r="G320" s="192"/>
      <c r="H320" s="179"/>
      <c r="I320" s="339" t="e">
        <f>IF(#REF!="",#REF!*#REF!,IF(#REF!=0,#REF!*#REF!,#REF!*#REF!*#REF!))</f>
        <v>#REF!</v>
      </c>
      <c r="J320" s="180" t="e">
        <f>#REF!*#REF!</f>
        <v>#REF!</v>
      </c>
      <c r="K320" s="178" t="e">
        <f>#REF!*mo</f>
        <v>#REF!</v>
      </c>
      <c r="L320" s="178" t="e">
        <f t="shared" si="46"/>
        <v>#REF!</v>
      </c>
      <c r="M320" s="178" t="e">
        <f>#REF!*#REF!</f>
        <v>#REF!</v>
      </c>
      <c r="N320" s="178" t="e">
        <f>#REF!+K320+#REF!</f>
        <v>#REF!</v>
      </c>
      <c r="O320" s="181" t="e">
        <f t="shared" si="44"/>
        <v>#REF!</v>
      </c>
    </row>
    <row r="321" spans="1:15" s="193" customFormat="1" outlineLevel="2">
      <c r="A321" s="155"/>
      <c r="B321" s="205"/>
      <c r="C321" s="202"/>
      <c r="D321" s="203"/>
      <c r="E321" s="176"/>
      <c r="F321" s="177"/>
      <c r="G321" s="192"/>
      <c r="H321" s="179"/>
      <c r="I321" s="339" t="e">
        <f>IF(#REF!="",#REF!*#REF!,IF(#REF!=0,#REF!*#REF!,#REF!*#REF!*#REF!))</f>
        <v>#REF!</v>
      </c>
      <c r="J321" s="180" t="e">
        <f>#REF!*#REF!</f>
        <v>#REF!</v>
      </c>
      <c r="K321" s="178" t="e">
        <f>#REF!*mo</f>
        <v>#REF!</v>
      </c>
      <c r="L321" s="178" t="e">
        <f t="shared" si="46"/>
        <v>#REF!</v>
      </c>
      <c r="M321" s="178" t="e">
        <f>#REF!*#REF!</f>
        <v>#REF!</v>
      </c>
      <c r="N321" s="178" t="e">
        <f>#REF!+K321+#REF!</f>
        <v>#REF!</v>
      </c>
      <c r="O321" s="181" t="e">
        <f t="shared" si="44"/>
        <v>#REF!</v>
      </c>
    </row>
    <row r="322" spans="1:15" s="193" customFormat="1" outlineLevel="2">
      <c r="A322" s="155"/>
      <c r="B322" s="230" t="s">
        <v>946</v>
      </c>
      <c r="C322" s="202" t="s">
        <v>947</v>
      </c>
      <c r="D322" s="203"/>
      <c r="E322" s="176"/>
      <c r="F322" s="177"/>
      <c r="G322" s="192"/>
      <c r="H322" s="179"/>
      <c r="I322" s="339" t="e">
        <f>IF(#REF!="",#REF!*#REF!,IF(#REF!=0,#REF!*#REF!,#REF!*#REF!*#REF!))</f>
        <v>#REF!</v>
      </c>
      <c r="J322" s="180" t="e">
        <f>#REF!*#REF!</f>
        <v>#REF!</v>
      </c>
      <c r="K322" s="178" t="e">
        <f>#REF!*mo</f>
        <v>#REF!</v>
      </c>
      <c r="L322" s="178" t="e">
        <f t="shared" si="46"/>
        <v>#REF!</v>
      </c>
      <c r="M322" s="178" t="e">
        <f>#REF!*#REF!</f>
        <v>#REF!</v>
      </c>
      <c r="N322" s="178" t="e">
        <f>#REF!+K322+#REF!</f>
        <v>#REF!</v>
      </c>
      <c r="O322" s="181" t="e">
        <f t="shared" si="44"/>
        <v>#REF!</v>
      </c>
    </row>
    <row r="323" spans="1:15" s="193" customFormat="1" outlineLevel="2">
      <c r="A323" s="155"/>
      <c r="B323" s="230" t="s">
        <v>948</v>
      </c>
      <c r="C323" s="202" t="s">
        <v>947</v>
      </c>
      <c r="D323" s="203"/>
      <c r="E323" s="176"/>
      <c r="F323" s="177"/>
      <c r="G323" s="192"/>
      <c r="H323" s="179"/>
      <c r="I323" s="339" t="e">
        <f>IF(#REF!="",#REF!*#REF!,IF(#REF!=0,#REF!*#REF!,#REF!*#REF!*#REF!))</f>
        <v>#REF!</v>
      </c>
      <c r="J323" s="180" t="e">
        <f>#REF!*#REF!</f>
        <v>#REF!</v>
      </c>
      <c r="K323" s="178" t="e">
        <f>#REF!*mo</f>
        <v>#REF!</v>
      </c>
      <c r="L323" s="178" t="e">
        <f t="shared" si="46"/>
        <v>#REF!</v>
      </c>
      <c r="M323" s="178" t="e">
        <f>#REF!*#REF!</f>
        <v>#REF!</v>
      </c>
      <c r="N323" s="178" t="e">
        <f>#REF!+K323+#REF!</f>
        <v>#REF!</v>
      </c>
      <c r="O323" s="181" t="e">
        <f t="shared" si="44"/>
        <v>#REF!</v>
      </c>
    </row>
    <row r="324" spans="1:15" s="193" customFormat="1" outlineLevel="2">
      <c r="A324" s="155"/>
      <c r="B324" s="231"/>
      <c r="C324" s="202"/>
      <c r="D324" s="203"/>
      <c r="E324" s="176"/>
      <c r="F324" s="177"/>
      <c r="G324" s="192"/>
      <c r="H324" s="179"/>
      <c r="I324" s="339" t="e">
        <f>IF(#REF!="",#REF!*#REF!,IF(#REF!=0,#REF!*#REF!,#REF!*#REF!*#REF!))</f>
        <v>#REF!</v>
      </c>
      <c r="J324" s="180" t="e">
        <f>#REF!*#REF!</f>
        <v>#REF!</v>
      </c>
      <c r="K324" s="178" t="e">
        <f>#REF!*mo</f>
        <v>#REF!</v>
      </c>
      <c r="L324" s="178" t="e">
        <f t="shared" si="46"/>
        <v>#REF!</v>
      </c>
      <c r="M324" s="178" t="e">
        <f>#REF!*#REF!</f>
        <v>#REF!</v>
      </c>
      <c r="N324" s="178" t="e">
        <f>#REF!+K324+#REF!</f>
        <v>#REF!</v>
      </c>
      <c r="O324" s="181" t="e">
        <f t="shared" si="44"/>
        <v>#REF!</v>
      </c>
    </row>
    <row r="325" spans="1:15" s="193" customFormat="1" outlineLevel="2">
      <c r="A325" s="155"/>
      <c r="B325" s="230" t="s">
        <v>949</v>
      </c>
      <c r="C325" s="202" t="s">
        <v>801</v>
      </c>
      <c r="D325" s="203"/>
      <c r="E325" s="176"/>
      <c r="F325" s="177"/>
      <c r="G325" s="192"/>
      <c r="H325" s="179"/>
      <c r="I325" s="339" t="e">
        <f>IF(#REF!="",#REF!*#REF!,IF(#REF!=0,#REF!*#REF!,#REF!*#REF!*#REF!))</f>
        <v>#REF!</v>
      </c>
      <c r="J325" s="180" t="e">
        <f>#REF!*#REF!</f>
        <v>#REF!</v>
      </c>
      <c r="K325" s="178" t="e">
        <f>#REF!*mo</f>
        <v>#REF!</v>
      </c>
      <c r="L325" s="178" t="e">
        <f t="shared" si="46"/>
        <v>#REF!</v>
      </c>
      <c r="M325" s="178" t="e">
        <f>#REF!*#REF!</f>
        <v>#REF!</v>
      </c>
      <c r="N325" s="178" t="e">
        <f>#REF!+K325+#REF!</f>
        <v>#REF!</v>
      </c>
      <c r="O325" s="181" t="e">
        <f t="shared" si="44"/>
        <v>#REF!</v>
      </c>
    </row>
    <row r="326" spans="1:15" s="193" customFormat="1" outlineLevel="2">
      <c r="A326" s="155"/>
      <c r="B326" s="205"/>
      <c r="C326" s="202"/>
      <c r="D326" s="203"/>
      <c r="E326" s="176"/>
      <c r="F326" s="177"/>
      <c r="G326" s="192"/>
      <c r="H326" s="179"/>
      <c r="I326" s="339" t="e">
        <f>IF(#REF!="",#REF!*#REF!,IF(#REF!=0,#REF!*#REF!,#REF!*#REF!*#REF!))</f>
        <v>#REF!</v>
      </c>
      <c r="J326" s="180" t="e">
        <f>#REF!*#REF!</f>
        <v>#REF!</v>
      </c>
      <c r="K326" s="178" t="e">
        <f>#REF!*mo</f>
        <v>#REF!</v>
      </c>
      <c r="L326" s="178" t="e">
        <f t="shared" si="46"/>
        <v>#REF!</v>
      </c>
      <c r="M326" s="178" t="e">
        <f>#REF!*#REF!</f>
        <v>#REF!</v>
      </c>
      <c r="N326" s="178" t="e">
        <f>#REF!+K326+#REF!</f>
        <v>#REF!</v>
      </c>
      <c r="O326" s="181" t="e">
        <f t="shared" si="44"/>
        <v>#REF!</v>
      </c>
    </row>
    <row r="327" spans="1:15" s="193" customFormat="1" outlineLevel="2">
      <c r="A327" s="155"/>
      <c r="B327" s="230" t="s">
        <v>950</v>
      </c>
      <c r="C327" s="202" t="s">
        <v>93</v>
      </c>
      <c r="D327" s="203"/>
      <c r="E327" s="176"/>
      <c r="F327" s="177"/>
      <c r="G327" s="192"/>
      <c r="H327" s="179"/>
      <c r="I327" s="339" t="e">
        <f>IF(#REF!="",#REF!*#REF!,IF(#REF!=0,#REF!*#REF!,#REF!*#REF!*#REF!))</f>
        <v>#REF!</v>
      </c>
      <c r="J327" s="180" t="e">
        <f>#REF!*#REF!</f>
        <v>#REF!</v>
      </c>
      <c r="K327" s="178" t="e">
        <f>#REF!*mo</f>
        <v>#REF!</v>
      </c>
      <c r="L327" s="178" t="e">
        <f t="shared" si="46"/>
        <v>#REF!</v>
      </c>
      <c r="M327" s="178" t="e">
        <f>#REF!*#REF!</f>
        <v>#REF!</v>
      </c>
      <c r="N327" s="178" t="e">
        <f>#REF!+K327+#REF!</f>
        <v>#REF!</v>
      </c>
      <c r="O327" s="181" t="e">
        <f t="shared" si="44"/>
        <v>#REF!</v>
      </c>
    </row>
    <row r="328" spans="1:15" s="193" customFormat="1" outlineLevel="2">
      <c r="A328" s="155"/>
      <c r="B328" s="230" t="s">
        <v>951</v>
      </c>
      <c r="C328" s="202" t="s">
        <v>795</v>
      </c>
      <c r="D328" s="203"/>
      <c r="E328" s="176"/>
      <c r="F328" s="177"/>
      <c r="G328" s="192"/>
      <c r="H328" s="179"/>
      <c r="I328" s="339" t="e">
        <f>IF(#REF!="",#REF!*#REF!,IF(#REF!=0,#REF!*#REF!,#REF!*#REF!*#REF!))</f>
        <v>#REF!</v>
      </c>
      <c r="J328" s="180" t="e">
        <f>#REF!*#REF!</f>
        <v>#REF!</v>
      </c>
      <c r="K328" s="178" t="e">
        <f>#REF!*mo</f>
        <v>#REF!</v>
      </c>
      <c r="L328" s="178" t="e">
        <f t="shared" si="46"/>
        <v>#REF!</v>
      </c>
      <c r="M328" s="178" t="e">
        <f>#REF!*#REF!</f>
        <v>#REF!</v>
      </c>
      <c r="N328" s="178" t="e">
        <f>#REF!+K328+#REF!</f>
        <v>#REF!</v>
      </c>
      <c r="O328" s="181" t="e">
        <f t="shared" si="44"/>
        <v>#REF!</v>
      </c>
    </row>
    <row r="329" spans="1:15" s="193" customFormat="1" outlineLevel="2">
      <c r="A329" s="155"/>
      <c r="B329" s="230" t="s">
        <v>952</v>
      </c>
      <c r="C329" s="202" t="s">
        <v>795</v>
      </c>
      <c r="D329" s="203"/>
      <c r="E329" s="176"/>
      <c r="F329" s="177"/>
      <c r="G329" s="192"/>
      <c r="H329" s="179"/>
      <c r="I329" s="339" t="e">
        <f>IF(#REF!="",#REF!*#REF!,IF(#REF!=0,#REF!*#REF!,#REF!*#REF!*#REF!))</f>
        <v>#REF!</v>
      </c>
      <c r="J329" s="180" t="e">
        <f>#REF!*#REF!</f>
        <v>#REF!</v>
      </c>
      <c r="K329" s="178" t="e">
        <f>#REF!*mo</f>
        <v>#REF!</v>
      </c>
      <c r="L329" s="178" t="e">
        <f t="shared" si="46"/>
        <v>#REF!</v>
      </c>
      <c r="M329" s="178" t="e">
        <f>#REF!*#REF!</f>
        <v>#REF!</v>
      </c>
      <c r="N329" s="178" t="e">
        <f>#REF!+K329+#REF!</f>
        <v>#REF!</v>
      </c>
      <c r="O329" s="181" t="e">
        <f t="shared" si="44"/>
        <v>#REF!</v>
      </c>
    </row>
    <row r="330" spans="1:15" s="193" customFormat="1" outlineLevel="2">
      <c r="A330" s="155"/>
      <c r="B330" s="230"/>
      <c r="C330" s="202"/>
      <c r="D330" s="203"/>
      <c r="E330" s="176"/>
      <c r="F330" s="177"/>
      <c r="G330" s="192"/>
      <c r="H330" s="179"/>
      <c r="I330" s="339" t="e">
        <f>IF(#REF!="",#REF!*#REF!,IF(#REF!=0,#REF!*#REF!,#REF!*#REF!*#REF!))</f>
        <v>#REF!</v>
      </c>
      <c r="J330" s="180" t="e">
        <f>#REF!*#REF!</f>
        <v>#REF!</v>
      </c>
      <c r="K330" s="178" t="e">
        <f>#REF!*mo</f>
        <v>#REF!</v>
      </c>
      <c r="L330" s="178" t="e">
        <f t="shared" si="46"/>
        <v>#REF!</v>
      </c>
      <c r="M330" s="178" t="e">
        <f>#REF!*#REF!</f>
        <v>#REF!</v>
      </c>
      <c r="N330" s="178" t="e">
        <f>#REF!+K330+#REF!</f>
        <v>#REF!</v>
      </c>
      <c r="O330" s="181" t="e">
        <f t="shared" si="44"/>
        <v>#REF!</v>
      </c>
    </row>
    <row r="331" spans="1:15" s="193" customFormat="1" outlineLevel="2">
      <c r="A331" s="155"/>
      <c r="B331" s="201" t="s">
        <v>953</v>
      </c>
      <c r="C331" s="202"/>
      <c r="D331" s="203"/>
      <c r="E331" s="176"/>
      <c r="F331" s="177"/>
      <c r="G331" s="192"/>
      <c r="H331" s="179"/>
      <c r="I331" s="339" t="e">
        <f>IF(#REF!="",#REF!*#REF!,IF(#REF!=0,#REF!*#REF!,#REF!*#REF!*#REF!))</f>
        <v>#REF!</v>
      </c>
      <c r="J331" s="180" t="e">
        <f>#REF!*#REF!</f>
        <v>#REF!</v>
      </c>
      <c r="K331" s="178" t="e">
        <f>#REF!*mo</f>
        <v>#REF!</v>
      </c>
      <c r="L331" s="178" t="e">
        <f t="shared" si="46"/>
        <v>#REF!</v>
      </c>
      <c r="M331" s="178" t="e">
        <f>#REF!*#REF!</f>
        <v>#REF!</v>
      </c>
      <c r="N331" s="178" t="e">
        <f>#REF!+K331+#REF!</f>
        <v>#REF!</v>
      </c>
      <c r="O331" s="181" t="e">
        <f t="shared" si="44"/>
        <v>#REF!</v>
      </c>
    </row>
    <row r="332" spans="1:15" s="193" customFormat="1" outlineLevel="2">
      <c r="A332" s="155"/>
      <c r="B332" s="229"/>
      <c r="C332" s="202"/>
      <c r="D332" s="203"/>
      <c r="E332" s="176"/>
      <c r="F332" s="177"/>
      <c r="G332" s="192"/>
      <c r="H332" s="179"/>
      <c r="I332" s="339" t="e">
        <f>IF(#REF!="",#REF!*#REF!,IF(#REF!=0,#REF!*#REF!,#REF!*#REF!*#REF!))</f>
        <v>#REF!</v>
      </c>
      <c r="J332" s="180" t="e">
        <f>#REF!*#REF!</f>
        <v>#REF!</v>
      </c>
      <c r="K332" s="178" t="e">
        <f>#REF!*mo</f>
        <v>#REF!</v>
      </c>
      <c r="L332" s="178" t="e">
        <f t="shared" si="46"/>
        <v>#REF!</v>
      </c>
      <c r="M332" s="178" t="e">
        <f>#REF!*#REF!</f>
        <v>#REF!</v>
      </c>
      <c r="N332" s="178" t="e">
        <f>#REF!+K332+#REF!</f>
        <v>#REF!</v>
      </c>
      <c r="O332" s="181" t="e">
        <f t="shared" si="44"/>
        <v>#REF!</v>
      </c>
    </row>
    <row r="333" spans="1:15" s="193" customFormat="1" outlineLevel="2">
      <c r="A333" s="155"/>
      <c r="B333" s="205" t="s">
        <v>936</v>
      </c>
      <c r="C333" s="202" t="s">
        <v>937</v>
      </c>
      <c r="D333" s="203"/>
      <c r="E333" s="176"/>
      <c r="F333" s="177"/>
      <c r="G333" s="192"/>
      <c r="H333" s="179"/>
      <c r="I333" s="339" t="e">
        <f>IF(#REF!="",#REF!*#REF!,IF(#REF!=0,#REF!*#REF!,#REF!*#REF!*#REF!))</f>
        <v>#REF!</v>
      </c>
      <c r="J333" s="180" t="e">
        <f>#REF!*#REF!</f>
        <v>#REF!</v>
      </c>
      <c r="K333" s="178" t="e">
        <f>#REF!*mo</f>
        <v>#REF!</v>
      </c>
      <c r="L333" s="178" t="e">
        <f t="shared" si="46"/>
        <v>#REF!</v>
      </c>
      <c r="M333" s="178" t="e">
        <f>#REF!*#REF!</f>
        <v>#REF!</v>
      </c>
      <c r="N333" s="178" t="e">
        <f>#REF!+K333+#REF!</f>
        <v>#REF!</v>
      </c>
      <c r="O333" s="181" t="e">
        <f t="shared" si="44"/>
        <v>#REF!</v>
      </c>
    </row>
    <row r="334" spans="1:15" s="193" customFormat="1" outlineLevel="2">
      <c r="A334" s="155"/>
      <c r="B334" s="205" t="s">
        <v>938</v>
      </c>
      <c r="C334" s="202"/>
      <c r="D334" s="203"/>
      <c r="E334" s="176"/>
      <c r="F334" s="177"/>
      <c r="G334" s="192"/>
      <c r="H334" s="179"/>
      <c r="I334" s="339" t="e">
        <f>IF(#REF!="",#REF!*#REF!,IF(#REF!=0,#REF!*#REF!,#REF!*#REF!*#REF!))</f>
        <v>#REF!</v>
      </c>
      <c r="J334" s="180" t="e">
        <f>#REF!*#REF!</f>
        <v>#REF!</v>
      </c>
      <c r="K334" s="178" t="e">
        <f>#REF!*mo</f>
        <v>#REF!</v>
      </c>
      <c r="L334" s="178" t="e">
        <f t="shared" si="46"/>
        <v>#REF!</v>
      </c>
      <c r="M334" s="178" t="e">
        <f>#REF!*#REF!</f>
        <v>#REF!</v>
      </c>
      <c r="N334" s="178" t="e">
        <f>#REF!+K334+#REF!</f>
        <v>#REF!</v>
      </c>
      <c r="O334" s="181" t="e">
        <f t="shared" si="44"/>
        <v>#REF!</v>
      </c>
    </row>
    <row r="335" spans="1:15" s="193" customFormat="1" outlineLevel="2">
      <c r="A335" s="155"/>
      <c r="B335" s="230" t="s">
        <v>939</v>
      </c>
      <c r="C335" s="202" t="s">
        <v>123</v>
      </c>
      <c r="D335" s="203"/>
      <c r="E335" s="176"/>
      <c r="F335" s="177"/>
      <c r="G335" s="192"/>
      <c r="H335" s="179"/>
      <c r="I335" s="339" t="e">
        <f>IF(#REF!="",#REF!*#REF!,IF(#REF!=0,#REF!*#REF!,#REF!*#REF!*#REF!))</f>
        <v>#REF!</v>
      </c>
      <c r="J335" s="180" t="e">
        <f>#REF!*#REF!</f>
        <v>#REF!</v>
      </c>
      <c r="K335" s="178" t="e">
        <f>#REF!*mo</f>
        <v>#REF!</v>
      </c>
      <c r="L335" s="178" t="e">
        <f t="shared" si="46"/>
        <v>#REF!</v>
      </c>
      <c r="M335" s="178" t="e">
        <f>#REF!*#REF!</f>
        <v>#REF!</v>
      </c>
      <c r="N335" s="178" t="e">
        <f>#REF!+K335+#REF!</f>
        <v>#REF!</v>
      </c>
      <c r="O335" s="181" t="e">
        <f t="shared" si="44"/>
        <v>#REF!</v>
      </c>
    </row>
    <row r="336" spans="1:15" s="193" customFormat="1" outlineLevel="2">
      <c r="A336" s="155"/>
      <c r="B336" s="230" t="s">
        <v>940</v>
      </c>
      <c r="C336" s="202" t="s">
        <v>123</v>
      </c>
      <c r="D336" s="203"/>
      <c r="E336" s="176"/>
      <c r="F336" s="177"/>
      <c r="G336" s="192"/>
      <c r="H336" s="179"/>
      <c r="I336" s="339" t="e">
        <f>IF(#REF!="",#REF!*#REF!,IF(#REF!=0,#REF!*#REF!,#REF!*#REF!*#REF!))</f>
        <v>#REF!</v>
      </c>
      <c r="J336" s="180" t="e">
        <f>#REF!*#REF!</f>
        <v>#REF!</v>
      </c>
      <c r="K336" s="178" t="e">
        <f>#REF!*mo</f>
        <v>#REF!</v>
      </c>
      <c r="L336" s="178" t="e">
        <f t="shared" si="46"/>
        <v>#REF!</v>
      </c>
      <c r="M336" s="178" t="e">
        <f>#REF!*#REF!</f>
        <v>#REF!</v>
      </c>
      <c r="N336" s="178" t="e">
        <f>#REF!+K336+#REF!</f>
        <v>#REF!</v>
      </c>
      <c r="O336" s="181" t="e">
        <f t="shared" si="44"/>
        <v>#REF!</v>
      </c>
    </row>
    <row r="337" spans="1:15" s="193" customFormat="1" outlineLevel="2">
      <c r="A337" s="155"/>
      <c r="B337" s="230" t="s">
        <v>941</v>
      </c>
      <c r="C337" s="202" t="s">
        <v>123</v>
      </c>
      <c r="D337" s="203"/>
      <c r="E337" s="176"/>
      <c r="F337" s="177"/>
      <c r="G337" s="192"/>
      <c r="H337" s="179"/>
      <c r="I337" s="339" t="e">
        <f>IF(#REF!="",#REF!*#REF!,IF(#REF!=0,#REF!*#REF!,#REF!*#REF!*#REF!))</f>
        <v>#REF!</v>
      </c>
      <c r="J337" s="180" t="e">
        <f>#REF!*#REF!</f>
        <v>#REF!</v>
      </c>
      <c r="K337" s="178" t="e">
        <f>#REF!*mo</f>
        <v>#REF!</v>
      </c>
      <c r="L337" s="178" t="e">
        <f t="shared" si="46"/>
        <v>#REF!</v>
      </c>
      <c r="M337" s="178" t="e">
        <f>#REF!*#REF!</f>
        <v>#REF!</v>
      </c>
      <c r="N337" s="178" t="e">
        <f>#REF!+K337+#REF!</f>
        <v>#REF!</v>
      </c>
      <c r="O337" s="181" t="e">
        <f t="shared" si="44"/>
        <v>#REF!</v>
      </c>
    </row>
    <row r="338" spans="1:15" s="193" customFormat="1" outlineLevel="2">
      <c r="A338" s="155"/>
      <c r="B338" s="230" t="s">
        <v>942</v>
      </c>
      <c r="C338" s="202" t="s">
        <v>123</v>
      </c>
      <c r="D338" s="203"/>
      <c r="E338" s="176"/>
      <c r="F338" s="177"/>
      <c r="G338" s="192"/>
      <c r="H338" s="179"/>
      <c r="I338" s="339" t="e">
        <f>IF(#REF!="",#REF!*#REF!,IF(#REF!=0,#REF!*#REF!,#REF!*#REF!*#REF!))</f>
        <v>#REF!</v>
      </c>
      <c r="J338" s="180" t="e">
        <f>#REF!*#REF!</f>
        <v>#REF!</v>
      </c>
      <c r="K338" s="178" t="e">
        <f>#REF!*mo</f>
        <v>#REF!</v>
      </c>
      <c r="L338" s="178" t="e">
        <f t="shared" si="46"/>
        <v>#REF!</v>
      </c>
      <c r="M338" s="178" t="e">
        <f>#REF!*#REF!</f>
        <v>#REF!</v>
      </c>
      <c r="N338" s="178" t="e">
        <f>#REF!+K338+#REF!</f>
        <v>#REF!</v>
      </c>
      <c r="O338" s="181" t="e">
        <f t="shared" si="44"/>
        <v>#REF!</v>
      </c>
    </row>
    <row r="339" spans="1:15" s="193" customFormat="1" outlineLevel="2">
      <c r="A339" s="155"/>
      <c r="B339" s="230" t="s">
        <v>943</v>
      </c>
      <c r="C339" s="202" t="s">
        <v>123</v>
      </c>
      <c r="D339" s="203"/>
      <c r="E339" s="176"/>
      <c r="F339" s="177"/>
      <c r="G339" s="192"/>
      <c r="H339" s="179"/>
      <c r="I339" s="339" t="e">
        <f>IF(#REF!="",#REF!*#REF!,IF(#REF!=0,#REF!*#REF!,#REF!*#REF!*#REF!))</f>
        <v>#REF!</v>
      </c>
      <c r="J339" s="180" t="e">
        <f>#REF!*#REF!</f>
        <v>#REF!</v>
      </c>
      <c r="K339" s="178" t="e">
        <f>#REF!*mo</f>
        <v>#REF!</v>
      </c>
      <c r="L339" s="178" t="e">
        <f t="shared" si="46"/>
        <v>#REF!</v>
      </c>
      <c r="M339" s="178" t="e">
        <f>#REF!*#REF!</f>
        <v>#REF!</v>
      </c>
      <c r="N339" s="178" t="e">
        <f>#REF!+K339+#REF!</f>
        <v>#REF!</v>
      </c>
      <c r="O339" s="181" t="e">
        <f t="shared" si="44"/>
        <v>#REF!</v>
      </c>
    </row>
    <row r="340" spans="1:15" s="193" customFormat="1" outlineLevel="2">
      <c r="A340" s="155"/>
      <c r="B340" s="230" t="s">
        <v>868</v>
      </c>
      <c r="C340" s="202" t="s">
        <v>123</v>
      </c>
      <c r="D340" s="203"/>
      <c r="E340" s="176"/>
      <c r="F340" s="177"/>
      <c r="G340" s="192"/>
      <c r="H340" s="179"/>
      <c r="I340" s="339" t="e">
        <f>IF(#REF!="",#REF!*#REF!,IF(#REF!=0,#REF!*#REF!,#REF!*#REF!*#REF!))</f>
        <v>#REF!</v>
      </c>
      <c r="J340" s="180" t="e">
        <f>#REF!*#REF!</f>
        <v>#REF!</v>
      </c>
      <c r="K340" s="178" t="e">
        <f>#REF!*mo</f>
        <v>#REF!</v>
      </c>
      <c r="L340" s="178" t="e">
        <f t="shared" si="46"/>
        <v>#REF!</v>
      </c>
      <c r="M340" s="178" t="e">
        <f>#REF!*#REF!</f>
        <v>#REF!</v>
      </c>
      <c r="N340" s="178" t="e">
        <f>#REF!+K340+#REF!</f>
        <v>#REF!</v>
      </c>
      <c r="O340" s="181" t="e">
        <f t="shared" si="44"/>
        <v>#REF!</v>
      </c>
    </row>
    <row r="341" spans="1:15" s="193" customFormat="1" outlineLevel="2">
      <c r="A341" s="155"/>
      <c r="B341" s="230" t="s">
        <v>944</v>
      </c>
      <c r="C341" s="202" t="s">
        <v>123</v>
      </c>
      <c r="D341" s="203"/>
      <c r="E341" s="176"/>
      <c r="F341" s="177"/>
      <c r="G341" s="192"/>
      <c r="H341" s="179"/>
      <c r="I341" s="339" t="e">
        <f>IF(#REF!="",#REF!*#REF!,IF(#REF!=0,#REF!*#REF!,#REF!*#REF!*#REF!))</f>
        <v>#REF!</v>
      </c>
      <c r="J341" s="180" t="e">
        <f>#REF!*#REF!</f>
        <v>#REF!</v>
      </c>
      <c r="K341" s="178" t="e">
        <f>#REF!*mo</f>
        <v>#REF!</v>
      </c>
      <c r="L341" s="178" t="e">
        <f t="shared" si="46"/>
        <v>#REF!</v>
      </c>
      <c r="M341" s="178" t="e">
        <f>#REF!*#REF!</f>
        <v>#REF!</v>
      </c>
      <c r="N341" s="178" t="e">
        <f>#REF!+K341+#REF!</f>
        <v>#REF!</v>
      </c>
      <c r="O341" s="181" t="e">
        <f t="shared" si="44"/>
        <v>#REF!</v>
      </c>
    </row>
    <row r="342" spans="1:15" s="193" customFormat="1" outlineLevel="2">
      <c r="A342" s="155"/>
      <c r="B342" s="230" t="s">
        <v>870</v>
      </c>
      <c r="C342" s="202" t="s">
        <v>123</v>
      </c>
      <c r="D342" s="203"/>
      <c r="E342" s="176"/>
      <c r="F342" s="177"/>
      <c r="G342" s="192"/>
      <c r="H342" s="179"/>
      <c r="I342" s="339" t="e">
        <f>IF(#REF!="",#REF!*#REF!,IF(#REF!=0,#REF!*#REF!,#REF!*#REF!*#REF!))</f>
        <v>#REF!</v>
      </c>
      <c r="J342" s="180" t="e">
        <f>#REF!*#REF!</f>
        <v>#REF!</v>
      </c>
      <c r="K342" s="178" t="e">
        <f>#REF!*mo</f>
        <v>#REF!</v>
      </c>
      <c r="L342" s="178" t="e">
        <f t="shared" si="46"/>
        <v>#REF!</v>
      </c>
      <c r="M342" s="178" t="e">
        <f>#REF!*#REF!</f>
        <v>#REF!</v>
      </c>
      <c r="N342" s="178" t="e">
        <f>#REF!+K342+#REF!</f>
        <v>#REF!</v>
      </c>
      <c r="O342" s="181" t="e">
        <f t="shared" si="44"/>
        <v>#REF!</v>
      </c>
    </row>
    <row r="343" spans="1:15" s="193" customFormat="1" outlineLevel="2">
      <c r="A343" s="155"/>
      <c r="B343" s="230" t="s">
        <v>871</v>
      </c>
      <c r="C343" s="202" t="s">
        <v>123</v>
      </c>
      <c r="D343" s="203"/>
      <c r="E343" s="176"/>
      <c r="F343" s="177"/>
      <c r="G343" s="192"/>
      <c r="H343" s="179"/>
      <c r="I343" s="339" t="e">
        <f>IF(#REF!="",#REF!*#REF!,IF(#REF!=0,#REF!*#REF!,#REF!*#REF!*#REF!))</f>
        <v>#REF!</v>
      </c>
      <c r="J343" s="180" t="e">
        <f>#REF!*#REF!</f>
        <v>#REF!</v>
      </c>
      <c r="K343" s="178" t="e">
        <f>#REF!*mo</f>
        <v>#REF!</v>
      </c>
      <c r="L343" s="178" t="e">
        <f t="shared" si="46"/>
        <v>#REF!</v>
      </c>
      <c r="M343" s="178" t="e">
        <f>#REF!*#REF!</f>
        <v>#REF!</v>
      </c>
      <c r="N343" s="178" t="e">
        <f>#REF!+K343+#REF!</f>
        <v>#REF!</v>
      </c>
      <c r="O343" s="181" t="e">
        <f t="shared" si="44"/>
        <v>#REF!</v>
      </c>
    </row>
    <row r="344" spans="1:15" s="193" customFormat="1" outlineLevel="2">
      <c r="A344" s="155"/>
      <c r="B344" s="231"/>
      <c r="C344" s="202"/>
      <c r="D344" s="203"/>
      <c r="E344" s="176"/>
      <c r="F344" s="177"/>
      <c r="G344" s="192"/>
      <c r="H344" s="179"/>
      <c r="I344" s="339" t="e">
        <f>IF(#REF!="",#REF!*#REF!,IF(#REF!=0,#REF!*#REF!,#REF!*#REF!*#REF!))</f>
        <v>#REF!</v>
      </c>
      <c r="J344" s="180" t="e">
        <f>#REF!*#REF!</f>
        <v>#REF!</v>
      </c>
      <c r="K344" s="178" t="e">
        <f>#REF!*mo</f>
        <v>#REF!</v>
      </c>
      <c r="L344" s="178" t="e">
        <f t="shared" si="46"/>
        <v>#REF!</v>
      </c>
      <c r="M344" s="178" t="e">
        <f>#REF!*#REF!</f>
        <v>#REF!</v>
      </c>
      <c r="N344" s="178" t="e">
        <f>#REF!+K344+#REF!</f>
        <v>#REF!</v>
      </c>
      <c r="O344" s="181" t="e">
        <f t="shared" si="44"/>
        <v>#REF!</v>
      </c>
    </row>
    <row r="345" spans="1:15" s="193" customFormat="1" outlineLevel="2">
      <c r="A345" s="155"/>
      <c r="B345" s="230" t="s">
        <v>949</v>
      </c>
      <c r="C345" s="202" t="s">
        <v>801</v>
      </c>
      <c r="D345" s="203"/>
      <c r="E345" s="176"/>
      <c r="F345" s="177"/>
      <c r="G345" s="192"/>
      <c r="H345" s="179"/>
      <c r="I345" s="339" t="e">
        <f>IF(#REF!="",#REF!*#REF!,IF(#REF!=0,#REF!*#REF!,#REF!*#REF!*#REF!))</f>
        <v>#REF!</v>
      </c>
      <c r="J345" s="180" t="e">
        <f>#REF!*#REF!</f>
        <v>#REF!</v>
      </c>
      <c r="K345" s="178" t="e">
        <f>#REF!*mo</f>
        <v>#REF!</v>
      </c>
      <c r="L345" s="178" t="e">
        <f t="shared" si="46"/>
        <v>#REF!</v>
      </c>
      <c r="M345" s="178" t="e">
        <f>#REF!*#REF!</f>
        <v>#REF!</v>
      </c>
      <c r="N345" s="178" t="e">
        <f>#REF!+K345+#REF!</f>
        <v>#REF!</v>
      </c>
      <c r="O345" s="181" t="e">
        <f t="shared" si="44"/>
        <v>#REF!</v>
      </c>
    </row>
    <row r="346" spans="1:15" s="193" customFormat="1" outlineLevel="2">
      <c r="A346" s="155"/>
      <c r="B346" s="205"/>
      <c r="C346" s="202"/>
      <c r="D346" s="203"/>
      <c r="E346" s="176"/>
      <c r="F346" s="177"/>
      <c r="G346" s="192"/>
      <c r="H346" s="179"/>
      <c r="I346" s="339" t="e">
        <f>IF(#REF!="",#REF!*#REF!,IF(#REF!=0,#REF!*#REF!,#REF!*#REF!*#REF!))</f>
        <v>#REF!</v>
      </c>
      <c r="J346" s="180" t="e">
        <f>#REF!*#REF!</f>
        <v>#REF!</v>
      </c>
      <c r="K346" s="178" t="e">
        <f>#REF!*mo</f>
        <v>#REF!</v>
      </c>
      <c r="L346" s="178" t="e">
        <f t="shared" si="46"/>
        <v>#REF!</v>
      </c>
      <c r="M346" s="178" t="e">
        <f>#REF!*#REF!</f>
        <v>#REF!</v>
      </c>
      <c r="N346" s="178" t="e">
        <f>#REF!+K346+#REF!</f>
        <v>#REF!</v>
      </c>
      <c r="O346" s="181" t="e">
        <f t="shared" si="44"/>
        <v>#REF!</v>
      </c>
    </row>
    <row r="347" spans="1:15" s="193" customFormat="1" outlineLevel="2">
      <c r="A347" s="155"/>
      <c r="B347" s="230" t="s">
        <v>951</v>
      </c>
      <c r="C347" s="202" t="s">
        <v>795</v>
      </c>
      <c r="D347" s="203"/>
      <c r="E347" s="176"/>
      <c r="F347" s="177"/>
      <c r="G347" s="192"/>
      <c r="H347" s="179"/>
      <c r="I347" s="339" t="e">
        <f>IF(#REF!="",#REF!*#REF!,IF(#REF!=0,#REF!*#REF!,#REF!*#REF!*#REF!))</f>
        <v>#REF!</v>
      </c>
      <c r="J347" s="180" t="e">
        <f>#REF!*#REF!</f>
        <v>#REF!</v>
      </c>
      <c r="K347" s="178" t="e">
        <f>#REF!*mo</f>
        <v>#REF!</v>
      </c>
      <c r="L347" s="178" t="e">
        <f t="shared" si="46"/>
        <v>#REF!</v>
      </c>
      <c r="M347" s="178" t="e">
        <f>#REF!*#REF!</f>
        <v>#REF!</v>
      </c>
      <c r="N347" s="178" t="e">
        <f>#REF!+K347+#REF!</f>
        <v>#REF!</v>
      </c>
      <c r="O347" s="181" t="e">
        <f t="shared" si="44"/>
        <v>#REF!</v>
      </c>
    </row>
    <row r="348" spans="1:15" s="193" customFormat="1" outlineLevel="2">
      <c r="A348" s="155"/>
      <c r="B348" s="230" t="s">
        <v>954</v>
      </c>
      <c r="C348" s="202" t="s">
        <v>795</v>
      </c>
      <c r="D348" s="203"/>
      <c r="E348" s="176"/>
      <c r="F348" s="177"/>
      <c r="G348" s="192"/>
      <c r="H348" s="179"/>
      <c r="I348" s="339" t="e">
        <f>IF(#REF!="",#REF!*#REF!,IF(#REF!=0,#REF!*#REF!,#REF!*#REF!*#REF!))</f>
        <v>#REF!</v>
      </c>
      <c r="J348" s="180" t="e">
        <f>#REF!*#REF!</f>
        <v>#REF!</v>
      </c>
      <c r="K348" s="178" t="e">
        <f>#REF!*mo</f>
        <v>#REF!</v>
      </c>
      <c r="L348" s="178" t="e">
        <f t="shared" si="46"/>
        <v>#REF!</v>
      </c>
      <c r="M348" s="178" t="e">
        <f>#REF!*#REF!</f>
        <v>#REF!</v>
      </c>
      <c r="N348" s="178" t="e">
        <f>#REF!+K348+#REF!</f>
        <v>#REF!</v>
      </c>
      <c r="O348" s="181" t="e">
        <f t="shared" si="44"/>
        <v>#REF!</v>
      </c>
    </row>
    <row r="349" spans="1:15" s="193" customFormat="1" outlineLevel="2">
      <c r="A349" s="155"/>
      <c r="B349" s="230"/>
      <c r="C349" s="202"/>
      <c r="D349" s="203"/>
      <c r="E349" s="176"/>
      <c r="F349" s="177"/>
      <c r="G349" s="192"/>
      <c r="H349" s="179"/>
      <c r="I349" s="339" t="e">
        <f>IF(#REF!="",#REF!*#REF!,IF(#REF!=0,#REF!*#REF!,#REF!*#REF!*#REF!))</f>
        <v>#REF!</v>
      </c>
      <c r="J349" s="180" t="e">
        <f>#REF!*#REF!</f>
        <v>#REF!</v>
      </c>
      <c r="K349" s="178" t="e">
        <f>#REF!*mo</f>
        <v>#REF!</v>
      </c>
      <c r="L349" s="178" t="e">
        <f t="shared" si="46"/>
        <v>#REF!</v>
      </c>
      <c r="M349" s="178" t="e">
        <f>#REF!*#REF!</f>
        <v>#REF!</v>
      </c>
      <c r="N349" s="178" t="e">
        <f>#REF!+K349+#REF!</f>
        <v>#REF!</v>
      </c>
      <c r="O349" s="181" t="e">
        <f t="shared" si="44"/>
        <v>#REF!</v>
      </c>
    </row>
    <row r="350" spans="1:15" s="193" customFormat="1" outlineLevel="2">
      <c r="A350" s="155"/>
      <c r="B350" s="230" t="s">
        <v>955</v>
      </c>
      <c r="C350" s="202" t="s">
        <v>795</v>
      </c>
      <c r="D350" s="203"/>
      <c r="E350" s="176"/>
      <c r="F350" s="177"/>
      <c r="G350" s="192"/>
      <c r="H350" s="179"/>
      <c r="I350" s="339" t="e">
        <f>IF(#REF!="",#REF!*#REF!,IF(#REF!=0,#REF!*#REF!,#REF!*#REF!*#REF!))</f>
        <v>#REF!</v>
      </c>
      <c r="J350" s="180" t="e">
        <f>#REF!*#REF!</f>
        <v>#REF!</v>
      </c>
      <c r="K350" s="178" t="e">
        <f>#REF!*mo</f>
        <v>#REF!</v>
      </c>
      <c r="L350" s="178" t="e">
        <f t="shared" ref="L350" si="47">J350*mo</f>
        <v>#REF!</v>
      </c>
      <c r="M350" s="178" t="e">
        <f>#REF!*#REF!</f>
        <v>#REF!</v>
      </c>
      <c r="N350" s="178" t="e">
        <f>#REF!+K350+#REF!</f>
        <v>#REF!</v>
      </c>
      <c r="O350" s="181" t="e">
        <f t="shared" si="44"/>
        <v>#REF!</v>
      </c>
    </row>
    <row r="351" spans="1:15" s="193" customFormat="1" outlineLevel="2">
      <c r="A351" s="155"/>
      <c r="B351" s="230"/>
      <c r="C351" s="202"/>
      <c r="D351" s="203"/>
      <c r="E351" s="176"/>
      <c r="F351" s="177"/>
      <c r="G351" s="192"/>
      <c r="H351" s="179"/>
      <c r="I351" s="339" t="e">
        <f>IF(#REF!="",#REF!*#REF!,IF(#REF!=0,#REF!*#REF!,#REF!*#REF!*#REF!))</f>
        <v>#REF!</v>
      </c>
      <c r="J351" s="180" t="e">
        <f>#REF!*#REF!</f>
        <v>#REF!</v>
      </c>
      <c r="K351" s="178" t="e">
        <f>#REF!*mo</f>
        <v>#REF!</v>
      </c>
      <c r="L351" s="178" t="e">
        <f t="shared" si="46"/>
        <v>#REF!</v>
      </c>
      <c r="M351" s="178" t="e">
        <f>#REF!*#REF!</f>
        <v>#REF!</v>
      </c>
      <c r="N351" s="178" t="e">
        <f>#REF!+K351+#REF!</f>
        <v>#REF!</v>
      </c>
      <c r="O351" s="181" t="e">
        <f t="shared" ref="O351:O356" si="48">M351+L351+I351</f>
        <v>#REF!</v>
      </c>
    </row>
    <row r="352" spans="1:15" s="193" customFormat="1" outlineLevel="2">
      <c r="A352" s="155"/>
      <c r="B352" s="156"/>
      <c r="C352" s="190"/>
      <c r="D352" s="191"/>
      <c r="E352" s="176"/>
      <c r="F352" s="177"/>
      <c r="G352" s="192"/>
      <c r="H352" s="179"/>
      <c r="I352" s="339" t="e">
        <f>IF(#REF!="",#REF!*#REF!,IF(#REF!=0,#REF!*#REF!,#REF!*#REF!*#REF!))</f>
        <v>#REF!</v>
      </c>
      <c r="J352" s="180" t="e">
        <f>#REF!*#REF!</f>
        <v>#REF!</v>
      </c>
      <c r="K352" s="178" t="e">
        <f>#REF!*mo</f>
        <v>#REF!</v>
      </c>
      <c r="L352" s="178" t="e">
        <f t="shared" si="46"/>
        <v>#REF!</v>
      </c>
      <c r="M352" s="178" t="e">
        <f>#REF!*#REF!</f>
        <v>#REF!</v>
      </c>
      <c r="N352" s="178" t="e">
        <f>#REF!+K352+#REF!</f>
        <v>#REF!</v>
      </c>
      <c r="O352" s="181" t="e">
        <f t="shared" si="48"/>
        <v>#REF!</v>
      </c>
    </row>
    <row r="353" spans="1:15" s="209" customFormat="1" outlineLevel="1">
      <c r="A353" s="157" t="str">
        <f>$A$288&amp;".3"</f>
        <v>4.2.3</v>
      </c>
      <c r="B353" s="232" t="s">
        <v>956</v>
      </c>
      <c r="C353" s="195"/>
      <c r="D353" s="170"/>
      <c r="E353" s="176"/>
      <c r="F353" s="177"/>
      <c r="G353" s="192">
        <f>SUM(F354:F369)</f>
        <v>0</v>
      </c>
      <c r="H353" s="179"/>
      <c r="I353" s="339" t="e">
        <f>IF(#REF!="",#REF!*#REF!,IF(#REF!=0,#REF!*#REF!,#REF!*#REF!*#REF!))</f>
        <v>#REF!</v>
      </c>
      <c r="J353" s="180" t="e">
        <f>#REF!*#REF!</f>
        <v>#REF!</v>
      </c>
      <c r="K353" s="178" t="e">
        <f>#REF!*mo</f>
        <v>#REF!</v>
      </c>
      <c r="L353" s="178" t="e">
        <f t="shared" si="46"/>
        <v>#REF!</v>
      </c>
      <c r="M353" s="178" t="e">
        <f>#REF!*#REF!</f>
        <v>#REF!</v>
      </c>
      <c r="N353" s="178" t="e">
        <f>#REF!+K353+#REF!</f>
        <v>#REF!</v>
      </c>
      <c r="O353" s="181" t="e">
        <f t="shared" si="48"/>
        <v>#REF!</v>
      </c>
    </row>
    <row r="354" spans="1:15" s="193" customFormat="1" outlineLevel="2">
      <c r="A354" s="155"/>
      <c r="B354" s="230"/>
      <c r="C354" s="202"/>
      <c r="D354" s="203"/>
      <c r="E354" s="176"/>
      <c r="F354" s="177"/>
      <c r="G354" s="192"/>
      <c r="H354" s="179"/>
      <c r="I354" s="339" t="e">
        <f>IF(#REF!="",#REF!*#REF!,IF(#REF!=0,#REF!*#REF!,#REF!*#REF!*#REF!))</f>
        <v>#REF!</v>
      </c>
      <c r="J354" s="180" t="e">
        <f>#REF!*#REF!</f>
        <v>#REF!</v>
      </c>
      <c r="K354" s="178" t="e">
        <f>#REF!*mo</f>
        <v>#REF!</v>
      </c>
      <c r="L354" s="178" t="e">
        <f t="shared" si="46"/>
        <v>#REF!</v>
      </c>
      <c r="M354" s="178" t="e">
        <f>#REF!*#REF!</f>
        <v>#REF!</v>
      </c>
      <c r="N354" s="178" t="e">
        <f>#REF!+K354+#REF!</f>
        <v>#REF!</v>
      </c>
      <c r="O354" s="181" t="e">
        <f t="shared" si="48"/>
        <v>#REF!</v>
      </c>
    </row>
    <row r="355" spans="1:15" s="193" customFormat="1" outlineLevel="2">
      <c r="A355" s="155"/>
      <c r="B355" s="230" t="s">
        <v>957</v>
      </c>
      <c r="C355" s="202" t="s">
        <v>93</v>
      </c>
      <c r="D355" s="203"/>
      <c r="E355" s="176"/>
      <c r="F355" s="177"/>
      <c r="G355" s="192"/>
      <c r="H355" s="179"/>
      <c r="I355" s="339" t="e">
        <f>IF(#REF!="",#REF!*#REF!,IF(#REF!=0,#REF!*#REF!,#REF!*#REF!*#REF!))</f>
        <v>#REF!</v>
      </c>
      <c r="J355" s="180" t="e">
        <f>#REF!*#REF!</f>
        <v>#REF!</v>
      </c>
      <c r="K355" s="178" t="e">
        <f>#REF!*mo</f>
        <v>#REF!</v>
      </c>
      <c r="L355" s="178" t="e">
        <f t="shared" si="46"/>
        <v>#REF!</v>
      </c>
      <c r="M355" s="178" t="e">
        <f>#REF!*#REF!</f>
        <v>#REF!</v>
      </c>
      <c r="N355" s="178" t="e">
        <f>#REF!+K355+#REF!</f>
        <v>#REF!</v>
      </c>
      <c r="O355" s="181" t="e">
        <f t="shared" si="48"/>
        <v>#REF!</v>
      </c>
    </row>
    <row r="356" spans="1:15" s="193" customFormat="1" outlineLevel="2">
      <c r="A356" s="155"/>
      <c r="B356" s="230" t="s">
        <v>958</v>
      </c>
      <c r="C356" s="202" t="s">
        <v>93</v>
      </c>
      <c r="D356" s="203"/>
      <c r="E356" s="176"/>
      <c r="F356" s="177"/>
      <c r="G356" s="192"/>
      <c r="H356" s="179"/>
      <c r="I356" s="339" t="e">
        <f>IF(#REF!="",#REF!*#REF!,IF(#REF!=0,#REF!*#REF!,#REF!*#REF!*#REF!))</f>
        <v>#REF!</v>
      </c>
      <c r="J356" s="180" t="e">
        <f>#REF!*#REF!</f>
        <v>#REF!</v>
      </c>
      <c r="K356" s="178" t="e">
        <f>#REF!*mo</f>
        <v>#REF!</v>
      </c>
      <c r="L356" s="178" t="e">
        <f t="shared" si="46"/>
        <v>#REF!</v>
      </c>
      <c r="M356" s="178" t="e">
        <f>#REF!*#REF!</f>
        <v>#REF!</v>
      </c>
      <c r="N356" s="178" t="e">
        <f>#REF!+K356+#REF!</f>
        <v>#REF!</v>
      </c>
      <c r="O356" s="181" t="e">
        <f t="shared" si="48"/>
        <v>#REF!</v>
      </c>
    </row>
    <row r="357" spans="1:15" s="193" customFormat="1" outlineLevel="2">
      <c r="A357" s="155"/>
      <c r="B357" s="230" t="s">
        <v>959</v>
      </c>
      <c r="C357" s="202" t="s">
        <v>801</v>
      </c>
      <c r="D357" s="203"/>
      <c r="E357" s="176"/>
      <c r="F357" s="177"/>
      <c r="G357" s="192"/>
      <c r="H357" s="179"/>
      <c r="I357" s="339" t="e">
        <f>IF(#REF!="",#REF!*#REF!,IF(#REF!=0,#REF!*#REF!,#REF!*#REF!*#REF!))</f>
        <v>#REF!</v>
      </c>
      <c r="J357" s="180" t="e">
        <f>#REF!*#REF!</f>
        <v>#REF!</v>
      </c>
      <c r="K357" s="178" t="e">
        <f>#REF!*mo</f>
        <v>#REF!</v>
      </c>
      <c r="L357" s="178" t="e">
        <f>J357*mo</f>
        <v>#REF!</v>
      </c>
      <c r="M357" s="178" t="e">
        <f>#REF!*#REF!</f>
        <v>#REF!</v>
      </c>
      <c r="N357" s="178" t="e">
        <f>#REF!+K357+#REF!</f>
        <v>#REF!</v>
      </c>
      <c r="O357" s="181" t="e">
        <f>M357+L357+I357</f>
        <v>#REF!</v>
      </c>
    </row>
    <row r="358" spans="1:15" s="193" customFormat="1" outlineLevel="2">
      <c r="A358" s="155"/>
      <c r="B358" s="230"/>
      <c r="C358" s="202"/>
      <c r="D358" s="203"/>
      <c r="E358" s="176"/>
      <c r="F358" s="177"/>
      <c r="G358" s="192"/>
      <c r="H358" s="179"/>
      <c r="I358" s="339"/>
      <c r="J358" s="180"/>
      <c r="K358" s="178"/>
      <c r="L358" s="178"/>
      <c r="M358" s="178"/>
      <c r="N358" s="178"/>
      <c r="O358" s="181"/>
    </row>
    <row r="359" spans="1:15" s="193" customFormat="1" outlineLevel="2">
      <c r="A359" s="155"/>
      <c r="B359" s="230" t="s">
        <v>960</v>
      </c>
      <c r="C359" s="202"/>
      <c r="D359" s="203"/>
      <c r="E359" s="176"/>
      <c r="F359" s="177"/>
      <c r="G359" s="192"/>
      <c r="H359" s="179"/>
      <c r="I359" s="339" t="e">
        <f>IF(#REF!="",#REF!*#REF!,IF(#REF!=0,#REF!*#REF!,#REF!*#REF!*#REF!))</f>
        <v>#REF!</v>
      </c>
      <c r="J359" s="180" t="e">
        <f>#REF!*#REF!</f>
        <v>#REF!</v>
      </c>
      <c r="K359" s="178" t="e">
        <f>#REF!*mo</f>
        <v>#REF!</v>
      </c>
      <c r="L359" s="178" t="e">
        <f t="shared" ref="L359:L367" si="49">J359*mo</f>
        <v>#REF!</v>
      </c>
      <c r="M359" s="178" t="e">
        <f>#REF!*#REF!</f>
        <v>#REF!</v>
      </c>
      <c r="N359" s="178" t="e">
        <f>#REF!+K359+#REF!</f>
        <v>#REF!</v>
      </c>
      <c r="O359" s="181" t="e">
        <f t="shared" ref="O359:O367" si="50">M359+L359+I359</f>
        <v>#REF!</v>
      </c>
    </row>
    <row r="360" spans="1:15" s="193" customFormat="1" outlineLevel="2">
      <c r="A360" s="155"/>
      <c r="B360" s="230" t="s">
        <v>961</v>
      </c>
      <c r="C360" s="202" t="s">
        <v>93</v>
      </c>
      <c r="D360" s="203"/>
      <c r="E360" s="176"/>
      <c r="F360" s="177"/>
      <c r="G360" s="192"/>
      <c r="H360" s="179"/>
      <c r="I360" s="339" t="e">
        <f>IF(#REF!="",#REF!*#REF!,IF(#REF!=0,#REF!*#REF!,#REF!*#REF!*#REF!))</f>
        <v>#REF!</v>
      </c>
      <c r="J360" s="180" t="e">
        <f>#REF!*#REF!</f>
        <v>#REF!</v>
      </c>
      <c r="K360" s="178" t="e">
        <f>#REF!*mo</f>
        <v>#REF!</v>
      </c>
      <c r="L360" s="178" t="e">
        <f t="shared" si="49"/>
        <v>#REF!</v>
      </c>
      <c r="M360" s="178" t="e">
        <f>#REF!*#REF!</f>
        <v>#REF!</v>
      </c>
      <c r="N360" s="178" t="e">
        <f>#REF!+K360+#REF!</f>
        <v>#REF!</v>
      </c>
      <c r="O360" s="181" t="e">
        <f t="shared" si="50"/>
        <v>#REF!</v>
      </c>
    </row>
    <row r="361" spans="1:15" s="193" customFormat="1" outlineLevel="2">
      <c r="A361" s="155"/>
      <c r="B361" s="230" t="s">
        <v>962</v>
      </c>
      <c r="C361" s="202" t="s">
        <v>93</v>
      </c>
      <c r="D361" s="203"/>
      <c r="E361" s="176"/>
      <c r="F361" s="177"/>
      <c r="G361" s="192"/>
      <c r="H361" s="179"/>
      <c r="I361" s="339" t="e">
        <f>IF(#REF!="",#REF!*#REF!,IF(#REF!=0,#REF!*#REF!,#REF!*#REF!*#REF!))</f>
        <v>#REF!</v>
      </c>
      <c r="J361" s="180" t="e">
        <f>#REF!*#REF!</f>
        <v>#REF!</v>
      </c>
      <c r="K361" s="178" t="e">
        <f>#REF!*mo</f>
        <v>#REF!</v>
      </c>
      <c r="L361" s="178" t="e">
        <f t="shared" si="49"/>
        <v>#REF!</v>
      </c>
      <c r="M361" s="178" t="e">
        <f>#REF!*#REF!</f>
        <v>#REF!</v>
      </c>
      <c r="N361" s="178" t="e">
        <f>#REF!+K361+#REF!</f>
        <v>#REF!</v>
      </c>
      <c r="O361" s="181" t="e">
        <f t="shared" si="50"/>
        <v>#REF!</v>
      </c>
    </row>
    <row r="362" spans="1:15" s="193" customFormat="1" outlineLevel="2">
      <c r="A362" s="155"/>
      <c r="B362" s="230" t="s">
        <v>963</v>
      </c>
      <c r="C362" s="202" t="s">
        <v>93</v>
      </c>
      <c r="D362" s="203"/>
      <c r="E362" s="176"/>
      <c r="F362" s="177"/>
      <c r="G362" s="192"/>
      <c r="H362" s="179"/>
      <c r="I362" s="339" t="e">
        <f>IF(#REF!="",#REF!*#REF!,IF(#REF!=0,#REF!*#REF!,#REF!*#REF!*#REF!))</f>
        <v>#REF!</v>
      </c>
      <c r="J362" s="180" t="e">
        <f>#REF!*#REF!</f>
        <v>#REF!</v>
      </c>
      <c r="K362" s="178" t="e">
        <f>#REF!*mo</f>
        <v>#REF!</v>
      </c>
      <c r="L362" s="178" t="e">
        <f t="shared" si="49"/>
        <v>#REF!</v>
      </c>
      <c r="M362" s="178" t="e">
        <f>#REF!*#REF!</f>
        <v>#REF!</v>
      </c>
      <c r="N362" s="178" t="e">
        <f>#REF!+K362+#REF!</f>
        <v>#REF!</v>
      </c>
      <c r="O362" s="181" t="e">
        <f t="shared" si="50"/>
        <v>#REF!</v>
      </c>
    </row>
    <row r="363" spans="1:15" s="193" customFormat="1" outlineLevel="2">
      <c r="A363" s="155"/>
      <c r="B363" s="230" t="s">
        <v>964</v>
      </c>
      <c r="C363" s="202" t="s">
        <v>93</v>
      </c>
      <c r="D363" s="203"/>
      <c r="E363" s="176"/>
      <c r="F363" s="177"/>
      <c r="G363" s="192"/>
      <c r="H363" s="179"/>
      <c r="I363" s="339" t="e">
        <f>IF(#REF!="",#REF!*#REF!,IF(#REF!=0,#REF!*#REF!,#REF!*#REF!*#REF!))</f>
        <v>#REF!</v>
      </c>
      <c r="J363" s="180" t="e">
        <f>#REF!*#REF!</f>
        <v>#REF!</v>
      </c>
      <c r="K363" s="178" t="e">
        <f>#REF!*mo</f>
        <v>#REF!</v>
      </c>
      <c r="L363" s="178" t="e">
        <f t="shared" si="49"/>
        <v>#REF!</v>
      </c>
      <c r="M363" s="178" t="e">
        <f>#REF!*#REF!</f>
        <v>#REF!</v>
      </c>
      <c r="N363" s="178" t="e">
        <f>#REF!+K363+#REF!</f>
        <v>#REF!</v>
      </c>
      <c r="O363" s="181" t="e">
        <f t="shared" si="50"/>
        <v>#REF!</v>
      </c>
    </row>
    <row r="364" spans="1:15" s="193" customFormat="1" outlineLevel="2">
      <c r="A364" s="155"/>
      <c r="B364" s="230" t="s">
        <v>965</v>
      </c>
      <c r="C364" s="202" t="s">
        <v>93</v>
      </c>
      <c r="D364" s="203"/>
      <c r="E364" s="176"/>
      <c r="F364" s="177"/>
      <c r="G364" s="192"/>
      <c r="H364" s="179"/>
      <c r="I364" s="339" t="e">
        <f>IF(#REF!="",#REF!*#REF!,IF(#REF!=0,#REF!*#REF!,#REF!*#REF!*#REF!))</f>
        <v>#REF!</v>
      </c>
      <c r="J364" s="180" t="e">
        <f>#REF!*#REF!</f>
        <v>#REF!</v>
      </c>
      <c r="K364" s="178" t="e">
        <f>#REF!*mo</f>
        <v>#REF!</v>
      </c>
      <c r="L364" s="178" t="e">
        <f t="shared" si="49"/>
        <v>#REF!</v>
      </c>
      <c r="M364" s="178" t="e">
        <f>#REF!*#REF!</f>
        <v>#REF!</v>
      </c>
      <c r="N364" s="178" t="e">
        <f>#REF!+K364+#REF!</f>
        <v>#REF!</v>
      </c>
      <c r="O364" s="181" t="e">
        <f t="shared" si="50"/>
        <v>#REF!</v>
      </c>
    </row>
    <row r="365" spans="1:15" s="193" customFormat="1" outlineLevel="2">
      <c r="A365" s="155"/>
      <c r="B365" s="230" t="s">
        <v>966</v>
      </c>
      <c r="C365" s="202" t="s">
        <v>93</v>
      </c>
      <c r="D365" s="203"/>
      <c r="E365" s="176"/>
      <c r="F365" s="177"/>
      <c r="G365" s="192"/>
      <c r="H365" s="179"/>
      <c r="I365" s="339" t="e">
        <f>IF(#REF!="",#REF!*#REF!,IF(#REF!=0,#REF!*#REF!,#REF!*#REF!*#REF!))</f>
        <v>#REF!</v>
      </c>
      <c r="J365" s="180" t="e">
        <f>#REF!*#REF!</f>
        <v>#REF!</v>
      </c>
      <c r="K365" s="178" t="e">
        <f>#REF!*mo</f>
        <v>#REF!</v>
      </c>
      <c r="L365" s="178" t="e">
        <f t="shared" si="49"/>
        <v>#REF!</v>
      </c>
      <c r="M365" s="178" t="e">
        <f>#REF!*#REF!</f>
        <v>#REF!</v>
      </c>
      <c r="N365" s="178" t="e">
        <f>#REF!+K365+#REF!</f>
        <v>#REF!</v>
      </c>
      <c r="O365" s="181" t="e">
        <f t="shared" si="50"/>
        <v>#REF!</v>
      </c>
    </row>
    <row r="366" spans="1:15" s="193" customFormat="1" outlineLevel="2">
      <c r="A366" s="155"/>
      <c r="B366" s="230" t="s">
        <v>967</v>
      </c>
      <c r="C366" s="202" t="s">
        <v>93</v>
      </c>
      <c r="D366" s="203"/>
      <c r="E366" s="176"/>
      <c r="F366" s="177"/>
      <c r="G366" s="192"/>
      <c r="H366" s="179"/>
      <c r="I366" s="339" t="e">
        <f>IF(#REF!="",#REF!*#REF!,IF(#REF!=0,#REF!*#REF!,#REF!*#REF!*#REF!))</f>
        <v>#REF!</v>
      </c>
      <c r="J366" s="180" t="e">
        <f>#REF!*#REF!</f>
        <v>#REF!</v>
      </c>
      <c r="K366" s="178" t="e">
        <f>#REF!*mo</f>
        <v>#REF!</v>
      </c>
      <c r="L366" s="178" t="e">
        <f t="shared" si="49"/>
        <v>#REF!</v>
      </c>
      <c r="M366" s="178" t="e">
        <f>#REF!*#REF!</f>
        <v>#REF!</v>
      </c>
      <c r="N366" s="178" t="e">
        <f>#REF!+K366+#REF!</f>
        <v>#REF!</v>
      </c>
      <c r="O366" s="181" t="e">
        <f t="shared" si="50"/>
        <v>#REF!</v>
      </c>
    </row>
    <row r="367" spans="1:15" s="193" customFormat="1" outlineLevel="2">
      <c r="A367" s="155"/>
      <c r="B367" s="230" t="s">
        <v>968</v>
      </c>
      <c r="C367" s="202" t="s">
        <v>801</v>
      </c>
      <c r="D367" s="203"/>
      <c r="E367" s="176"/>
      <c r="F367" s="177"/>
      <c r="G367" s="192"/>
      <c r="H367" s="179"/>
      <c r="I367" s="339" t="e">
        <f>IF(#REF!="",#REF!*#REF!,IF(#REF!=0,#REF!*#REF!,#REF!*#REF!*#REF!))</f>
        <v>#REF!</v>
      </c>
      <c r="J367" s="180" t="e">
        <f>#REF!*#REF!</f>
        <v>#REF!</v>
      </c>
      <c r="K367" s="178" t="e">
        <f>#REF!*mo</f>
        <v>#REF!</v>
      </c>
      <c r="L367" s="178" t="e">
        <f t="shared" si="49"/>
        <v>#REF!</v>
      </c>
      <c r="M367" s="178" t="e">
        <f>#REF!*#REF!</f>
        <v>#REF!</v>
      </c>
      <c r="N367" s="178" t="e">
        <f>#REF!+K367+#REF!</f>
        <v>#REF!</v>
      </c>
      <c r="O367" s="181" t="e">
        <f t="shared" si="50"/>
        <v>#REF!</v>
      </c>
    </row>
    <row r="368" spans="1:15" s="193" customFormat="1" outlineLevel="2">
      <c r="A368" s="155"/>
      <c r="B368" s="230"/>
      <c r="C368" s="202"/>
      <c r="D368" s="203"/>
      <c r="E368" s="176"/>
      <c r="F368" s="177"/>
      <c r="G368" s="192"/>
      <c r="H368" s="179"/>
      <c r="I368" s="339"/>
      <c r="J368" s="180"/>
      <c r="K368" s="178"/>
      <c r="L368" s="178"/>
      <c r="M368" s="178"/>
      <c r="N368" s="178"/>
      <c r="O368" s="181"/>
    </row>
    <row r="369" spans="1:15" s="193" customFormat="1" outlineLevel="2">
      <c r="A369" s="155"/>
      <c r="B369" s="230"/>
      <c r="C369" s="202"/>
      <c r="D369" s="203"/>
      <c r="E369" s="176"/>
      <c r="F369" s="177"/>
      <c r="G369" s="192"/>
      <c r="H369" s="179"/>
      <c r="I369" s="339"/>
      <c r="J369" s="180"/>
      <c r="K369" s="178"/>
      <c r="L369" s="178"/>
      <c r="M369" s="178"/>
      <c r="N369" s="178"/>
      <c r="O369" s="181"/>
    </row>
    <row r="370" spans="1:15" s="209" customFormat="1" outlineLevel="1">
      <c r="A370" s="157" t="str">
        <f>$A$288&amp;".4"</f>
        <v>4.2.4</v>
      </c>
      <c r="B370" s="232" t="s">
        <v>969</v>
      </c>
      <c r="C370" s="195"/>
      <c r="D370" s="170"/>
      <c r="E370" s="176"/>
      <c r="F370" s="177"/>
      <c r="G370" s="192">
        <f>SUM(F370:F381)</f>
        <v>0</v>
      </c>
      <c r="H370" s="179"/>
      <c r="I370" s="339" t="e">
        <f>IF(#REF!="",#REF!*#REF!,IF(#REF!=0,#REF!*#REF!,#REF!*#REF!*#REF!))</f>
        <v>#REF!</v>
      </c>
      <c r="J370" s="180" t="e">
        <f>#REF!*#REF!</f>
        <v>#REF!</v>
      </c>
      <c r="K370" s="178" t="e">
        <f>#REF!*mo</f>
        <v>#REF!</v>
      </c>
      <c r="L370" s="178" t="e">
        <f t="shared" ref="L370:L377" si="51">J370*mo</f>
        <v>#REF!</v>
      </c>
      <c r="M370" s="178" t="e">
        <f>#REF!*#REF!</f>
        <v>#REF!</v>
      </c>
      <c r="N370" s="178" t="e">
        <f>#REF!+K370+#REF!</f>
        <v>#REF!</v>
      </c>
      <c r="O370" s="181" t="e">
        <f t="shared" ref="O370:O381" si="52">M370+L370+I370</f>
        <v>#REF!</v>
      </c>
    </row>
    <row r="371" spans="1:15" s="193" customFormat="1" outlineLevel="2">
      <c r="A371" s="155"/>
      <c r="B371" s="230"/>
      <c r="C371" s="202"/>
      <c r="D371" s="203"/>
      <c r="E371" s="176"/>
      <c r="F371" s="177"/>
      <c r="G371" s="192"/>
      <c r="H371" s="179"/>
      <c r="I371" s="339" t="e">
        <f>IF(#REF!="",#REF!*#REF!,IF(#REF!=0,#REF!*#REF!,#REF!*#REF!*#REF!))</f>
        <v>#REF!</v>
      </c>
      <c r="J371" s="180" t="e">
        <f>#REF!*#REF!</f>
        <v>#REF!</v>
      </c>
      <c r="K371" s="178" t="e">
        <f>#REF!*mo</f>
        <v>#REF!</v>
      </c>
      <c r="L371" s="178" t="e">
        <f t="shared" si="51"/>
        <v>#REF!</v>
      </c>
      <c r="M371" s="178" t="e">
        <f>#REF!*#REF!</f>
        <v>#REF!</v>
      </c>
      <c r="N371" s="178" t="e">
        <f>#REF!+K371+#REF!</f>
        <v>#REF!</v>
      </c>
      <c r="O371" s="181" t="e">
        <f t="shared" si="52"/>
        <v>#REF!</v>
      </c>
    </row>
    <row r="372" spans="1:15" s="193" customFormat="1" outlineLevel="2">
      <c r="A372" s="155"/>
      <c r="B372" s="230" t="s">
        <v>970</v>
      </c>
      <c r="C372" s="202"/>
      <c r="D372" s="203"/>
      <c r="E372" s="176"/>
      <c r="F372" s="177"/>
      <c r="G372" s="192"/>
      <c r="H372" s="179"/>
      <c r="I372" s="339" t="e">
        <f>IF(#REF!="",#REF!*#REF!,IF(#REF!=0,#REF!*#REF!,#REF!*#REF!*#REF!))</f>
        <v>#REF!</v>
      </c>
      <c r="J372" s="180" t="e">
        <f>#REF!*#REF!</f>
        <v>#REF!</v>
      </c>
      <c r="K372" s="178" t="e">
        <f>#REF!*mo</f>
        <v>#REF!</v>
      </c>
      <c r="L372" s="178" t="e">
        <f t="shared" ref="L372" si="53">J372*mo</f>
        <v>#REF!</v>
      </c>
      <c r="M372" s="178" t="e">
        <f>#REF!*#REF!</f>
        <v>#REF!</v>
      </c>
      <c r="N372" s="178" t="e">
        <f>#REF!+K372+#REF!</f>
        <v>#REF!</v>
      </c>
      <c r="O372" s="181" t="e">
        <f t="shared" si="52"/>
        <v>#REF!</v>
      </c>
    </row>
    <row r="373" spans="1:15" s="193" customFormat="1" outlineLevel="2">
      <c r="A373" s="155"/>
      <c r="B373" s="230" t="s">
        <v>971</v>
      </c>
      <c r="C373" s="202" t="s">
        <v>93</v>
      </c>
      <c r="D373" s="203"/>
      <c r="E373" s="176"/>
      <c r="F373" s="177"/>
      <c r="G373" s="192"/>
      <c r="H373" s="179"/>
      <c r="I373" s="339" t="e">
        <f>IF(#REF!="",#REF!*#REF!,IF(#REF!=0,#REF!*#REF!,#REF!*#REF!*#REF!))</f>
        <v>#REF!</v>
      </c>
      <c r="J373" s="180" t="e">
        <f>#REF!*#REF!</f>
        <v>#REF!</v>
      </c>
      <c r="K373" s="178" t="e">
        <f>#REF!*mo</f>
        <v>#REF!</v>
      </c>
      <c r="L373" s="178" t="e">
        <f t="shared" si="51"/>
        <v>#REF!</v>
      </c>
      <c r="M373" s="178" t="e">
        <f>#REF!*#REF!</f>
        <v>#REF!</v>
      </c>
      <c r="N373" s="178" t="e">
        <f>#REF!+K373+#REF!</f>
        <v>#REF!</v>
      </c>
      <c r="O373" s="181" t="e">
        <f t="shared" si="52"/>
        <v>#REF!</v>
      </c>
    </row>
    <row r="374" spans="1:15" s="193" customFormat="1" outlineLevel="2">
      <c r="A374" s="155"/>
      <c r="B374" s="230" t="s">
        <v>972</v>
      </c>
      <c r="C374" s="202" t="s">
        <v>93</v>
      </c>
      <c r="D374" s="203"/>
      <c r="E374" s="176"/>
      <c r="F374" s="177"/>
      <c r="G374" s="192"/>
      <c r="H374" s="179"/>
      <c r="I374" s="339" t="e">
        <f>IF(#REF!="",#REF!*#REF!,IF(#REF!=0,#REF!*#REF!,#REF!*#REF!*#REF!))</f>
        <v>#REF!</v>
      </c>
      <c r="J374" s="180" t="e">
        <f>#REF!*#REF!</f>
        <v>#REF!</v>
      </c>
      <c r="K374" s="178" t="e">
        <f>#REF!*mo</f>
        <v>#REF!</v>
      </c>
      <c r="L374" s="178" t="e">
        <f t="shared" si="51"/>
        <v>#REF!</v>
      </c>
      <c r="M374" s="178" t="e">
        <f>#REF!*#REF!</f>
        <v>#REF!</v>
      </c>
      <c r="N374" s="178" t="e">
        <f>#REF!+K374+#REF!</f>
        <v>#REF!</v>
      </c>
      <c r="O374" s="181" t="e">
        <f t="shared" si="52"/>
        <v>#REF!</v>
      </c>
    </row>
    <row r="375" spans="1:15" s="193" customFormat="1" outlineLevel="2">
      <c r="A375" s="155"/>
      <c r="B375" s="230" t="s">
        <v>973</v>
      </c>
      <c r="C375" s="202" t="s">
        <v>801</v>
      </c>
      <c r="D375" s="203"/>
      <c r="E375" s="176"/>
      <c r="F375" s="177"/>
      <c r="G375" s="192"/>
      <c r="H375" s="179"/>
      <c r="I375" s="339" t="e">
        <f>IF(#REF!="",#REF!*#REF!,IF(#REF!=0,#REF!*#REF!,#REF!*#REF!*#REF!))</f>
        <v>#REF!</v>
      </c>
      <c r="J375" s="180" t="e">
        <f>#REF!*#REF!</f>
        <v>#REF!</v>
      </c>
      <c r="K375" s="178" t="e">
        <f>#REF!*mo</f>
        <v>#REF!</v>
      </c>
      <c r="L375" s="178" t="e">
        <f t="shared" si="51"/>
        <v>#REF!</v>
      </c>
      <c r="M375" s="178" t="e">
        <f>#REF!*#REF!</f>
        <v>#REF!</v>
      </c>
      <c r="N375" s="178" t="e">
        <f>#REF!+K375+#REF!</f>
        <v>#REF!</v>
      </c>
      <c r="O375" s="181" t="e">
        <f t="shared" si="52"/>
        <v>#REF!</v>
      </c>
    </row>
    <row r="376" spans="1:15" s="193" customFormat="1" outlineLevel="2">
      <c r="A376" s="155"/>
      <c r="B376" s="230"/>
      <c r="C376" s="202"/>
      <c r="D376" s="203"/>
      <c r="E376" s="176"/>
      <c r="F376" s="177"/>
      <c r="G376" s="192"/>
      <c r="H376" s="179"/>
      <c r="I376" s="339" t="e">
        <f>IF(#REF!="",#REF!*#REF!,IF(#REF!=0,#REF!*#REF!,#REF!*#REF!*#REF!))</f>
        <v>#REF!</v>
      </c>
      <c r="J376" s="180" t="e">
        <f>#REF!*#REF!</f>
        <v>#REF!</v>
      </c>
      <c r="K376" s="178" t="e">
        <f>#REF!*mo</f>
        <v>#REF!</v>
      </c>
      <c r="L376" s="178" t="e">
        <f t="shared" si="51"/>
        <v>#REF!</v>
      </c>
      <c r="M376" s="178" t="e">
        <f>#REF!*#REF!</f>
        <v>#REF!</v>
      </c>
      <c r="N376" s="178" t="e">
        <f>#REF!+K376+#REF!</f>
        <v>#REF!</v>
      </c>
      <c r="O376" s="181" t="e">
        <f t="shared" si="52"/>
        <v>#REF!</v>
      </c>
    </row>
    <row r="377" spans="1:15" s="193" customFormat="1" outlineLevel="2">
      <c r="A377" s="155"/>
      <c r="B377" s="230" t="s">
        <v>974</v>
      </c>
      <c r="C377" s="202"/>
      <c r="D377" s="203"/>
      <c r="E377" s="176"/>
      <c r="F377" s="177"/>
      <c r="G377" s="192"/>
      <c r="H377" s="179"/>
      <c r="I377" s="339" t="e">
        <f>IF(#REF!="",#REF!*#REF!,IF(#REF!=0,#REF!*#REF!,#REF!*#REF!*#REF!))</f>
        <v>#REF!</v>
      </c>
      <c r="J377" s="180" t="e">
        <f>#REF!*#REF!</f>
        <v>#REF!</v>
      </c>
      <c r="K377" s="178" t="e">
        <f>#REF!*mo</f>
        <v>#REF!</v>
      </c>
      <c r="L377" s="178" t="e">
        <f t="shared" si="51"/>
        <v>#REF!</v>
      </c>
      <c r="M377" s="178" t="e">
        <f>#REF!*#REF!</f>
        <v>#REF!</v>
      </c>
      <c r="N377" s="178" t="e">
        <f>#REF!+K377+#REF!</f>
        <v>#REF!</v>
      </c>
      <c r="O377" s="181" t="e">
        <f t="shared" si="52"/>
        <v>#REF!</v>
      </c>
    </row>
    <row r="378" spans="1:15" s="193" customFormat="1" outlineLevel="2">
      <c r="A378" s="155"/>
      <c r="B378" s="230" t="s">
        <v>971</v>
      </c>
      <c r="C378" s="202" t="s">
        <v>93</v>
      </c>
      <c r="D378" s="203"/>
      <c r="E378" s="176"/>
      <c r="F378" s="177"/>
      <c r="G378" s="192"/>
      <c r="H378" s="179"/>
      <c r="I378" s="339" t="e">
        <f>IF(#REF!="",#REF!*#REF!,IF(#REF!=0,#REF!*#REF!,#REF!*#REF!*#REF!))</f>
        <v>#REF!</v>
      </c>
      <c r="J378" s="180" t="e">
        <f>#REF!*#REF!</f>
        <v>#REF!</v>
      </c>
      <c r="K378" s="178" t="e">
        <f>#REF!*mo</f>
        <v>#REF!</v>
      </c>
      <c r="L378" s="178" t="e">
        <f t="shared" ref="L378:L381" si="54">J378*mo</f>
        <v>#REF!</v>
      </c>
      <c r="M378" s="178" t="e">
        <f>#REF!*#REF!</f>
        <v>#REF!</v>
      </c>
      <c r="N378" s="178" t="e">
        <f>#REF!+K378+#REF!</f>
        <v>#REF!</v>
      </c>
      <c r="O378" s="181" t="e">
        <f t="shared" si="52"/>
        <v>#REF!</v>
      </c>
    </row>
    <row r="379" spans="1:15" s="193" customFormat="1" outlineLevel="2">
      <c r="A379" s="155"/>
      <c r="B379" s="230" t="s">
        <v>972</v>
      </c>
      <c r="C379" s="202" t="s">
        <v>93</v>
      </c>
      <c r="D379" s="203"/>
      <c r="E379" s="176"/>
      <c r="F379" s="177"/>
      <c r="G379" s="192"/>
      <c r="H379" s="179"/>
      <c r="I379" s="339" t="e">
        <f>IF(#REF!="",#REF!*#REF!,IF(#REF!=0,#REF!*#REF!,#REF!*#REF!*#REF!))</f>
        <v>#REF!</v>
      </c>
      <c r="J379" s="180" t="e">
        <f>#REF!*#REF!</f>
        <v>#REF!</v>
      </c>
      <c r="K379" s="178" t="e">
        <f>#REF!*mo</f>
        <v>#REF!</v>
      </c>
      <c r="L379" s="178" t="e">
        <f t="shared" si="54"/>
        <v>#REF!</v>
      </c>
      <c r="M379" s="178" t="e">
        <f>#REF!*#REF!</f>
        <v>#REF!</v>
      </c>
      <c r="N379" s="178" t="e">
        <f>#REF!+K379+#REF!</f>
        <v>#REF!</v>
      </c>
      <c r="O379" s="181" t="e">
        <f t="shared" si="52"/>
        <v>#REF!</v>
      </c>
    </row>
    <row r="380" spans="1:15" s="193" customFormat="1" outlineLevel="2">
      <c r="A380" s="155"/>
      <c r="B380" s="230" t="s">
        <v>973</v>
      </c>
      <c r="C380" s="202" t="s">
        <v>801</v>
      </c>
      <c r="D380" s="203"/>
      <c r="E380" s="176"/>
      <c r="F380" s="177"/>
      <c r="G380" s="192"/>
      <c r="H380" s="179"/>
      <c r="I380" s="339" t="e">
        <f>IF(#REF!="",#REF!*#REF!,IF(#REF!=0,#REF!*#REF!,#REF!*#REF!*#REF!))</f>
        <v>#REF!</v>
      </c>
      <c r="J380" s="180" t="e">
        <f>#REF!*#REF!</f>
        <v>#REF!</v>
      </c>
      <c r="K380" s="178" t="e">
        <f>#REF!*mo</f>
        <v>#REF!</v>
      </c>
      <c r="L380" s="178" t="e">
        <f t="shared" si="54"/>
        <v>#REF!</v>
      </c>
      <c r="M380" s="178" t="e">
        <f>#REF!*#REF!</f>
        <v>#REF!</v>
      </c>
      <c r="N380" s="178" t="e">
        <f>#REF!+K380+#REF!</f>
        <v>#REF!</v>
      </c>
      <c r="O380" s="181" t="e">
        <f t="shared" si="52"/>
        <v>#REF!</v>
      </c>
    </row>
    <row r="381" spans="1:15" s="193" customFormat="1" outlineLevel="2">
      <c r="A381" s="155"/>
      <c r="B381" s="230"/>
      <c r="C381" s="202"/>
      <c r="D381" s="203"/>
      <c r="E381" s="176"/>
      <c r="F381" s="177"/>
      <c r="G381" s="192"/>
      <c r="H381" s="179"/>
      <c r="I381" s="339" t="e">
        <f>IF(#REF!="",#REF!*#REF!,IF(#REF!=0,#REF!*#REF!,#REF!*#REF!*#REF!))</f>
        <v>#REF!</v>
      </c>
      <c r="J381" s="180" t="e">
        <f>#REF!*#REF!</f>
        <v>#REF!</v>
      </c>
      <c r="K381" s="178" t="e">
        <f>#REF!*mo</f>
        <v>#REF!</v>
      </c>
      <c r="L381" s="178" t="e">
        <f t="shared" si="54"/>
        <v>#REF!</v>
      </c>
      <c r="M381" s="178" t="e">
        <f>#REF!*#REF!</f>
        <v>#REF!</v>
      </c>
      <c r="N381" s="178" t="e">
        <f>#REF!+K381+#REF!</f>
        <v>#REF!</v>
      </c>
      <c r="O381" s="181" t="e">
        <f t="shared" si="52"/>
        <v>#REF!</v>
      </c>
    </row>
    <row r="382" spans="1:15" s="193" customFormat="1" outlineLevel="1">
      <c r="A382" s="155"/>
      <c r="B382" s="198" t="str">
        <f>"Total "&amp;B288</f>
        <v>Total VMC</v>
      </c>
      <c r="C382" s="202"/>
      <c r="D382" s="203"/>
      <c r="E382" s="176"/>
      <c r="F382" s="177"/>
      <c r="G382" s="192"/>
      <c r="H382" s="179">
        <f>SUM(G289:G382)</f>
        <v>0</v>
      </c>
      <c r="I382" s="339"/>
      <c r="J382" s="180"/>
      <c r="K382" s="178"/>
      <c r="L382" s="178"/>
      <c r="M382" s="178"/>
      <c r="N382" s="178"/>
      <c r="O382" s="181"/>
    </row>
    <row r="383" spans="1:15" s="193" customFormat="1" outlineLevel="1">
      <c r="A383" s="155"/>
      <c r="B383" s="156"/>
      <c r="C383" s="190"/>
      <c r="D383" s="191"/>
      <c r="E383" s="176"/>
      <c r="F383" s="177"/>
      <c r="G383" s="192"/>
      <c r="H383" s="179"/>
      <c r="I383" s="339" t="e">
        <f>IF(#REF!="",#REF!*#REF!,IF(#REF!=0,#REF!*#REF!,#REF!*#REF!*#REF!))</f>
        <v>#REF!</v>
      </c>
      <c r="J383" s="180" t="e">
        <f>#REF!*#REF!</f>
        <v>#REF!</v>
      </c>
      <c r="K383" s="178" t="e">
        <f>#REF!*mo</f>
        <v>#REF!</v>
      </c>
      <c r="L383" s="178" t="e">
        <f>J383*mo</f>
        <v>#REF!</v>
      </c>
      <c r="M383" s="178" t="e">
        <f>#REF!*#REF!</f>
        <v>#REF!</v>
      </c>
      <c r="N383" s="178" t="e">
        <f>#REF!+K383+#REF!</f>
        <v>#REF!</v>
      </c>
      <c r="O383" s="181" t="e">
        <f>M383+L383+I383</f>
        <v>#REF!</v>
      </c>
    </row>
    <row r="384" spans="1:15" s="194" customFormat="1" ht="12.6">
      <c r="A384" s="153">
        <v>5</v>
      </c>
      <c r="B384" s="154" t="s">
        <v>975</v>
      </c>
      <c r="C384" s="182"/>
      <c r="D384" s="183"/>
      <c r="E384" s="184"/>
      <c r="F384" s="185"/>
      <c r="G384" s="186"/>
      <c r="H384" s="187">
        <f>SUM(H385:H502)</f>
        <v>0</v>
      </c>
      <c r="I384" s="344" t="e">
        <f>IF(#REF!="",#REF!*#REF!,IF(#REF!=0,#REF!*#REF!,#REF!*#REF!*#REF!))</f>
        <v>#REF!</v>
      </c>
      <c r="J384" s="188"/>
      <c r="K384" s="186"/>
      <c r="L384" s="186"/>
      <c r="M384" s="186"/>
      <c r="N384" s="186"/>
      <c r="O384" s="187"/>
    </row>
    <row r="385" spans="1:15" s="193" customFormat="1" outlineLevel="1">
      <c r="A385" s="155"/>
      <c r="B385" s="156"/>
      <c r="C385" s="190"/>
      <c r="D385" s="191"/>
      <c r="E385" s="176"/>
      <c r="F385" s="177"/>
      <c r="G385" s="192"/>
      <c r="H385" s="179"/>
      <c r="I385" s="339" t="e">
        <f>IF(#REF!="",#REF!*#REF!,IF(#REF!=0,#REF!*#REF!,#REF!*#REF!*#REF!))</f>
        <v>#REF!</v>
      </c>
      <c r="J385" s="180" t="e">
        <f>#REF!*#REF!</f>
        <v>#REF!</v>
      </c>
      <c r="K385" s="178" t="e">
        <f>#REF!*mo</f>
        <v>#REF!</v>
      </c>
      <c r="L385" s="178" t="e">
        <f>J385*mo</f>
        <v>#REF!</v>
      </c>
      <c r="M385" s="178" t="e">
        <f>#REF!*#REF!</f>
        <v>#REF!</v>
      </c>
      <c r="N385" s="178" t="e">
        <f>#REF!+K385+#REF!</f>
        <v>#REF!</v>
      </c>
      <c r="O385" s="181" t="e">
        <f>M385+L385+I385</f>
        <v>#REF!</v>
      </c>
    </row>
    <row r="386" spans="1:15" s="209" customFormat="1" outlineLevel="1">
      <c r="A386" s="157" t="str">
        <f>$A$384&amp;".1"</f>
        <v>5.1</v>
      </c>
      <c r="B386" s="158" t="s">
        <v>976</v>
      </c>
      <c r="C386" s="195"/>
      <c r="D386" s="170"/>
      <c r="E386" s="176"/>
      <c r="F386" s="177"/>
      <c r="G386" s="192">
        <f>SUM(F387:F411)</f>
        <v>0</v>
      </c>
      <c r="H386" s="196"/>
      <c r="I386" s="339" t="e">
        <f>IF(#REF!="",#REF!*#REF!,IF(#REF!=0,#REF!*#REF!,#REF!*#REF!*#REF!))</f>
        <v>#REF!</v>
      </c>
      <c r="J386" s="180" t="e">
        <f>#REF!*#REF!</f>
        <v>#REF!</v>
      </c>
      <c r="K386" s="178" t="e">
        <f>#REF!*mo</f>
        <v>#REF!</v>
      </c>
      <c r="L386" s="178" t="e">
        <f>J386*mo</f>
        <v>#REF!</v>
      </c>
      <c r="M386" s="178" t="e">
        <f>#REF!*#REF!</f>
        <v>#REF!</v>
      </c>
      <c r="N386" s="178" t="e">
        <f>#REF!+K386+#REF!</f>
        <v>#REF!</v>
      </c>
      <c r="O386" s="181" t="e">
        <f>M386+L386+I386</f>
        <v>#REF!</v>
      </c>
    </row>
    <row r="387" spans="1:15" s="193" customFormat="1" outlineLevel="2">
      <c r="A387" s="155"/>
      <c r="B387" s="156"/>
      <c r="C387" s="190"/>
      <c r="D387" s="191"/>
      <c r="E387" s="176"/>
      <c r="F387" s="177"/>
      <c r="G387" s="192"/>
      <c r="H387" s="179"/>
      <c r="I387" s="339" t="e">
        <f>IF(#REF!="",#REF!*#REF!,IF(#REF!=0,#REF!*#REF!,#REF!*#REF!*#REF!))</f>
        <v>#REF!</v>
      </c>
      <c r="J387" s="180" t="e">
        <f>#REF!*#REF!</f>
        <v>#REF!</v>
      </c>
      <c r="K387" s="178" t="e">
        <f>#REF!*mo</f>
        <v>#REF!</v>
      </c>
      <c r="L387" s="178" t="e">
        <f>J387*mo</f>
        <v>#REF!</v>
      </c>
      <c r="M387" s="178" t="e">
        <f>#REF!*#REF!</f>
        <v>#REF!</v>
      </c>
      <c r="N387" s="178" t="e">
        <f>#REF!+K387+#REF!</f>
        <v>#REF!</v>
      </c>
      <c r="O387" s="181" t="e">
        <f>M387+L387+I387</f>
        <v>#REF!</v>
      </c>
    </row>
    <row r="388" spans="1:15" s="193" customFormat="1" outlineLevel="2">
      <c r="A388" s="155"/>
      <c r="B388" s="233" t="s">
        <v>977</v>
      </c>
      <c r="C388" s="190"/>
      <c r="D388" s="191"/>
      <c r="E388" s="176"/>
      <c r="F388" s="177"/>
      <c r="G388" s="192"/>
      <c r="H388" s="179"/>
      <c r="I388" s="339" t="e">
        <f>IF(#REF!="",#REF!*#REF!,IF(#REF!=0,#REF!*#REF!,#REF!*#REF!*#REF!))</f>
        <v>#REF!</v>
      </c>
      <c r="J388" s="180" t="e">
        <f>#REF!*#REF!</f>
        <v>#REF!</v>
      </c>
      <c r="K388" s="178" t="e">
        <f>#REF!*mo</f>
        <v>#REF!</v>
      </c>
      <c r="L388" s="178" t="e">
        <f>J388*mo</f>
        <v>#REF!</v>
      </c>
      <c r="M388" s="178" t="e">
        <f>#REF!*#REF!</f>
        <v>#REF!</v>
      </c>
      <c r="N388" s="178" t="e">
        <f>#REF!+K388+#REF!</f>
        <v>#REF!</v>
      </c>
      <c r="O388" s="181" t="e">
        <f>M388+L388+I388</f>
        <v>#REF!</v>
      </c>
    </row>
    <row r="389" spans="1:15" s="193" customFormat="1" outlineLevel="2">
      <c r="A389" s="155"/>
      <c r="B389" s="212" t="s">
        <v>978</v>
      </c>
      <c r="C389" s="190" t="s">
        <v>123</v>
      </c>
      <c r="D389" s="191"/>
      <c r="E389" s="176"/>
      <c r="F389" s="177"/>
      <c r="G389" s="192"/>
      <c r="H389" s="179"/>
      <c r="I389" s="339" t="e">
        <f>IF(#REF!="",#REF!*#REF!,IF(#REF!=0,#REF!*#REF!,#REF!*#REF!*#REF!))</f>
        <v>#REF!</v>
      </c>
      <c r="J389" s="180" t="e">
        <f>#REF!*#REF!</f>
        <v>#REF!</v>
      </c>
      <c r="K389" s="178" t="e">
        <f>#REF!*mo</f>
        <v>#REF!</v>
      </c>
      <c r="L389" s="178" t="e">
        <f>J389*mo</f>
        <v>#REF!</v>
      </c>
      <c r="M389" s="178" t="e">
        <f>#REF!*#REF!</f>
        <v>#REF!</v>
      </c>
      <c r="N389" s="178" t="e">
        <f>#REF!+K389+#REF!</f>
        <v>#REF!</v>
      </c>
      <c r="O389" s="181" t="e">
        <f>M389+L389+I389</f>
        <v>#REF!</v>
      </c>
    </row>
    <row r="390" spans="1:15" s="193" customFormat="1" outlineLevel="2">
      <c r="A390" s="155"/>
      <c r="B390" s="234" t="s">
        <v>979</v>
      </c>
      <c r="C390" s="190" t="s">
        <v>93</v>
      </c>
      <c r="D390" s="191"/>
      <c r="E390" s="176"/>
      <c r="F390" s="177"/>
      <c r="G390" s="192"/>
      <c r="H390" s="179"/>
      <c r="I390" s="339" t="e">
        <f>IF(#REF!="",#REF!*#REF!,IF(#REF!=0,#REF!*#REF!,#REF!*#REF!*#REF!))</f>
        <v>#REF!</v>
      </c>
      <c r="J390" s="180" t="e">
        <f>#REF!*#REF!</f>
        <v>#REF!</v>
      </c>
      <c r="K390" s="178" t="e">
        <f>#REF!*mo</f>
        <v>#REF!</v>
      </c>
      <c r="L390" s="178" t="e">
        <f t="shared" ref="L390:L492" si="55">J390*mo</f>
        <v>#REF!</v>
      </c>
      <c r="M390" s="178" t="e">
        <f>#REF!*#REF!</f>
        <v>#REF!</v>
      </c>
      <c r="N390" s="178" t="e">
        <f>#REF!+K390+#REF!</f>
        <v>#REF!</v>
      </c>
      <c r="O390" s="181" t="e">
        <f t="shared" ref="O390:O492" si="56">M390+L390+I390</f>
        <v>#REF!</v>
      </c>
    </row>
    <row r="391" spans="1:15" s="193" customFormat="1" outlineLevel="2">
      <c r="A391" s="155"/>
      <c r="B391" s="234" t="s">
        <v>980</v>
      </c>
      <c r="C391" s="190" t="s">
        <v>93</v>
      </c>
      <c r="D391" s="191"/>
      <c r="E391" s="176"/>
      <c r="F391" s="177"/>
      <c r="G391" s="192"/>
      <c r="H391" s="179"/>
      <c r="I391" s="339" t="e">
        <f>IF(#REF!="",#REF!*#REF!,IF(#REF!=0,#REF!*#REF!,#REF!*#REF!*#REF!))</f>
        <v>#REF!</v>
      </c>
      <c r="J391" s="180" t="e">
        <f>#REF!*#REF!</f>
        <v>#REF!</v>
      </c>
      <c r="K391" s="178" t="e">
        <f>#REF!*mo</f>
        <v>#REF!</v>
      </c>
      <c r="L391" s="178" t="e">
        <f t="shared" si="55"/>
        <v>#REF!</v>
      </c>
      <c r="M391" s="178" t="e">
        <f>#REF!*#REF!</f>
        <v>#REF!</v>
      </c>
      <c r="N391" s="178" t="e">
        <f>#REF!+K391+#REF!</f>
        <v>#REF!</v>
      </c>
      <c r="O391" s="181" t="e">
        <f t="shared" si="56"/>
        <v>#REF!</v>
      </c>
    </row>
    <row r="392" spans="1:15" s="193" customFormat="1" outlineLevel="2">
      <c r="A392" s="155"/>
      <c r="B392" s="234" t="s">
        <v>981</v>
      </c>
      <c r="C392" s="190" t="s">
        <v>93</v>
      </c>
      <c r="D392" s="191"/>
      <c r="E392" s="176"/>
      <c r="F392" s="177"/>
      <c r="G392" s="192"/>
      <c r="H392" s="179"/>
      <c r="I392" s="339" t="e">
        <f>IF(#REF!="",#REF!*#REF!,IF(#REF!=0,#REF!*#REF!,#REF!*#REF!*#REF!))</f>
        <v>#REF!</v>
      </c>
      <c r="J392" s="180" t="e">
        <f>#REF!*#REF!</f>
        <v>#REF!</v>
      </c>
      <c r="K392" s="178" t="e">
        <f>#REF!*mo</f>
        <v>#REF!</v>
      </c>
      <c r="L392" s="178" t="e">
        <f t="shared" si="55"/>
        <v>#REF!</v>
      </c>
      <c r="M392" s="178" t="e">
        <f>#REF!*#REF!</f>
        <v>#REF!</v>
      </c>
      <c r="N392" s="178" t="e">
        <f>#REF!+K392+#REF!</f>
        <v>#REF!</v>
      </c>
      <c r="O392" s="181" t="e">
        <f t="shared" si="56"/>
        <v>#REF!</v>
      </c>
    </row>
    <row r="393" spans="1:15" s="193" customFormat="1" outlineLevel="2">
      <c r="A393" s="155"/>
      <c r="B393" s="234" t="s">
        <v>982</v>
      </c>
      <c r="C393" s="190" t="s">
        <v>93</v>
      </c>
      <c r="D393" s="191"/>
      <c r="E393" s="176"/>
      <c r="F393" s="177"/>
      <c r="G393" s="192"/>
      <c r="H393" s="179"/>
      <c r="I393" s="339" t="e">
        <f>IF(#REF!="",#REF!*#REF!,IF(#REF!=0,#REF!*#REF!,#REF!*#REF!*#REF!))</f>
        <v>#REF!</v>
      </c>
      <c r="J393" s="180" t="e">
        <f>#REF!*#REF!</f>
        <v>#REF!</v>
      </c>
      <c r="K393" s="178" t="e">
        <f>#REF!*mo</f>
        <v>#REF!</v>
      </c>
      <c r="L393" s="178" t="e">
        <f t="shared" si="55"/>
        <v>#REF!</v>
      </c>
      <c r="M393" s="178" t="e">
        <f>#REF!*#REF!</f>
        <v>#REF!</v>
      </c>
      <c r="N393" s="178" t="e">
        <f>#REF!+K393+#REF!</f>
        <v>#REF!</v>
      </c>
      <c r="O393" s="181" t="e">
        <f t="shared" si="56"/>
        <v>#REF!</v>
      </c>
    </row>
    <row r="394" spans="1:15" s="193" customFormat="1" outlineLevel="2">
      <c r="A394" s="155"/>
      <c r="B394" s="234" t="s">
        <v>983</v>
      </c>
      <c r="C394" s="190" t="s">
        <v>93</v>
      </c>
      <c r="D394" s="191"/>
      <c r="E394" s="176"/>
      <c r="F394" s="177"/>
      <c r="G394" s="192"/>
      <c r="H394" s="179"/>
      <c r="I394" s="339" t="e">
        <f>IF(#REF!="",#REF!*#REF!,IF(#REF!=0,#REF!*#REF!,#REF!*#REF!*#REF!))</f>
        <v>#REF!</v>
      </c>
      <c r="J394" s="180" t="e">
        <f>#REF!*#REF!</f>
        <v>#REF!</v>
      </c>
      <c r="K394" s="178" t="e">
        <f>#REF!*mo</f>
        <v>#REF!</v>
      </c>
      <c r="L394" s="178" t="e">
        <f t="shared" si="55"/>
        <v>#REF!</v>
      </c>
      <c r="M394" s="178" t="e">
        <f>#REF!*#REF!</f>
        <v>#REF!</v>
      </c>
      <c r="N394" s="178" t="e">
        <f>#REF!+K394+#REF!</f>
        <v>#REF!</v>
      </c>
      <c r="O394" s="181" t="e">
        <f t="shared" si="56"/>
        <v>#REF!</v>
      </c>
    </row>
    <row r="395" spans="1:15" s="193" customFormat="1" outlineLevel="2">
      <c r="A395" s="155"/>
      <c r="B395" s="234" t="s">
        <v>984</v>
      </c>
      <c r="C395" s="190" t="s">
        <v>795</v>
      </c>
      <c r="D395" s="191"/>
      <c r="E395" s="176"/>
      <c r="F395" s="177"/>
      <c r="G395" s="192"/>
      <c r="H395" s="179"/>
      <c r="I395" s="339" t="e">
        <f>IF(#REF!="",#REF!*#REF!,IF(#REF!=0,#REF!*#REF!,#REF!*#REF!*#REF!))</f>
        <v>#REF!</v>
      </c>
      <c r="J395" s="180" t="e">
        <f>#REF!*#REF!</f>
        <v>#REF!</v>
      </c>
      <c r="K395" s="178" t="e">
        <f>#REF!*mo</f>
        <v>#REF!</v>
      </c>
      <c r="L395" s="178" t="e">
        <f t="shared" si="55"/>
        <v>#REF!</v>
      </c>
      <c r="M395" s="178" t="e">
        <f>#REF!*#REF!</f>
        <v>#REF!</v>
      </c>
      <c r="N395" s="178" t="e">
        <f>#REF!+K395+#REF!</f>
        <v>#REF!</v>
      </c>
      <c r="O395" s="181" t="e">
        <f t="shared" si="56"/>
        <v>#REF!</v>
      </c>
    </row>
    <row r="396" spans="1:15" s="193" customFormat="1" outlineLevel="2">
      <c r="A396" s="155"/>
      <c r="B396" s="234" t="s">
        <v>985</v>
      </c>
      <c r="C396" s="190" t="s">
        <v>93</v>
      </c>
      <c r="D396" s="191"/>
      <c r="E396" s="176"/>
      <c r="F396" s="177"/>
      <c r="G396" s="192"/>
      <c r="H396" s="179"/>
      <c r="I396" s="339" t="e">
        <f>IF(#REF!="",#REF!*#REF!,IF(#REF!=0,#REF!*#REF!,#REF!*#REF!*#REF!))</f>
        <v>#REF!</v>
      </c>
      <c r="J396" s="180" t="e">
        <f>#REF!*#REF!</f>
        <v>#REF!</v>
      </c>
      <c r="K396" s="178" t="e">
        <f>#REF!*mo</f>
        <v>#REF!</v>
      </c>
      <c r="L396" s="178" t="e">
        <f t="shared" si="55"/>
        <v>#REF!</v>
      </c>
      <c r="M396" s="178" t="e">
        <f>#REF!*#REF!</f>
        <v>#REF!</v>
      </c>
      <c r="N396" s="178" t="e">
        <f>#REF!+K396+#REF!</f>
        <v>#REF!</v>
      </c>
      <c r="O396" s="181" t="e">
        <f t="shared" si="56"/>
        <v>#REF!</v>
      </c>
    </row>
    <row r="397" spans="1:15" s="193" customFormat="1" outlineLevel="2">
      <c r="A397" s="155"/>
      <c r="B397" s="234" t="s">
        <v>905</v>
      </c>
      <c r="C397" s="190" t="s">
        <v>93</v>
      </c>
      <c r="D397" s="191"/>
      <c r="E397" s="176"/>
      <c r="F397" s="177"/>
      <c r="G397" s="192"/>
      <c r="H397" s="179"/>
      <c r="I397" s="339" t="e">
        <f>IF(#REF!="",#REF!*#REF!,IF(#REF!=0,#REF!*#REF!,#REF!*#REF!*#REF!))</f>
        <v>#REF!</v>
      </c>
      <c r="J397" s="180" t="e">
        <f>#REF!*#REF!</f>
        <v>#REF!</v>
      </c>
      <c r="K397" s="178" t="e">
        <f>#REF!*mo</f>
        <v>#REF!</v>
      </c>
      <c r="L397" s="178" t="e">
        <f t="shared" si="55"/>
        <v>#REF!</v>
      </c>
      <c r="M397" s="178" t="e">
        <f>#REF!*#REF!</f>
        <v>#REF!</v>
      </c>
      <c r="N397" s="178" t="e">
        <f>#REF!+K397+#REF!</f>
        <v>#REF!</v>
      </c>
      <c r="O397" s="181" t="e">
        <f t="shared" si="56"/>
        <v>#REF!</v>
      </c>
    </row>
    <row r="398" spans="1:15" s="193" customFormat="1" outlineLevel="2">
      <c r="A398" s="155"/>
      <c r="B398" s="234"/>
      <c r="C398" s="190"/>
      <c r="D398" s="191"/>
      <c r="E398" s="176"/>
      <c r="F398" s="177"/>
      <c r="G398" s="192"/>
      <c r="H398" s="179"/>
      <c r="I398" s="339" t="e">
        <f>IF(#REF!="",#REF!*#REF!,IF(#REF!=0,#REF!*#REF!,#REF!*#REF!*#REF!))</f>
        <v>#REF!</v>
      </c>
      <c r="J398" s="180" t="e">
        <f>#REF!*#REF!</f>
        <v>#REF!</v>
      </c>
      <c r="K398" s="178" t="e">
        <f>#REF!*mo</f>
        <v>#REF!</v>
      </c>
      <c r="L398" s="178" t="e">
        <f t="shared" si="55"/>
        <v>#REF!</v>
      </c>
      <c r="M398" s="178" t="e">
        <f>#REF!*#REF!</f>
        <v>#REF!</v>
      </c>
      <c r="N398" s="178" t="e">
        <f>#REF!+K398+#REF!</f>
        <v>#REF!</v>
      </c>
      <c r="O398" s="181" t="e">
        <f t="shared" si="56"/>
        <v>#REF!</v>
      </c>
    </row>
    <row r="399" spans="1:15" s="193" customFormat="1" outlineLevel="2">
      <c r="A399" s="155"/>
      <c r="B399" s="233" t="s">
        <v>986</v>
      </c>
      <c r="C399" s="190"/>
      <c r="D399" s="191"/>
      <c r="E399" s="176"/>
      <c r="F399" s="177"/>
      <c r="G399" s="192"/>
      <c r="H399" s="179"/>
      <c r="I399" s="339" t="e">
        <f>IF(#REF!="",#REF!*#REF!,IF(#REF!=0,#REF!*#REF!,#REF!*#REF!*#REF!))</f>
        <v>#REF!</v>
      </c>
      <c r="J399" s="180" t="e">
        <f>#REF!*#REF!</f>
        <v>#REF!</v>
      </c>
      <c r="K399" s="178" t="e">
        <f>#REF!*mo</f>
        <v>#REF!</v>
      </c>
      <c r="L399" s="178" t="e">
        <f t="shared" si="55"/>
        <v>#REF!</v>
      </c>
      <c r="M399" s="178" t="e">
        <f>#REF!*#REF!</f>
        <v>#REF!</v>
      </c>
      <c r="N399" s="178" t="e">
        <f>#REF!+K399+#REF!</f>
        <v>#REF!</v>
      </c>
      <c r="O399" s="181" t="e">
        <f t="shared" si="56"/>
        <v>#REF!</v>
      </c>
    </row>
    <row r="400" spans="1:15" s="193" customFormat="1" outlineLevel="2">
      <c r="A400" s="155"/>
      <c r="B400" s="212" t="s">
        <v>978</v>
      </c>
      <c r="C400" s="190" t="s">
        <v>123</v>
      </c>
      <c r="D400" s="191"/>
      <c r="E400" s="176"/>
      <c r="F400" s="177"/>
      <c r="G400" s="192"/>
      <c r="H400" s="179"/>
      <c r="I400" s="339" t="e">
        <f>IF(#REF!="",#REF!*#REF!,IF(#REF!=0,#REF!*#REF!,#REF!*#REF!*#REF!))</f>
        <v>#REF!</v>
      </c>
      <c r="J400" s="180" t="e">
        <f>#REF!*#REF!</f>
        <v>#REF!</v>
      </c>
      <c r="K400" s="178" t="e">
        <f>#REF!*mo</f>
        <v>#REF!</v>
      </c>
      <c r="L400" s="178" t="e">
        <f t="shared" si="55"/>
        <v>#REF!</v>
      </c>
      <c r="M400" s="178" t="e">
        <f>#REF!*#REF!</f>
        <v>#REF!</v>
      </c>
      <c r="N400" s="178" t="e">
        <f>#REF!+K400+#REF!</f>
        <v>#REF!</v>
      </c>
      <c r="O400" s="181" t="e">
        <f t="shared" si="56"/>
        <v>#REF!</v>
      </c>
    </row>
    <row r="401" spans="1:15" s="193" customFormat="1" outlineLevel="2">
      <c r="A401" s="155"/>
      <c r="B401" s="234" t="s">
        <v>987</v>
      </c>
      <c r="C401" s="190" t="s">
        <v>93</v>
      </c>
      <c r="D401" s="191"/>
      <c r="E401" s="176"/>
      <c r="F401" s="177"/>
      <c r="G401" s="192"/>
      <c r="H401" s="179"/>
      <c r="I401" s="339" t="e">
        <f>IF(#REF!="",#REF!*#REF!,IF(#REF!=0,#REF!*#REF!,#REF!*#REF!*#REF!))</f>
        <v>#REF!</v>
      </c>
      <c r="J401" s="180" t="e">
        <f>#REF!*#REF!</f>
        <v>#REF!</v>
      </c>
      <c r="K401" s="178" t="e">
        <f>#REF!*mo</f>
        <v>#REF!</v>
      </c>
      <c r="L401" s="178" t="e">
        <f t="shared" si="55"/>
        <v>#REF!</v>
      </c>
      <c r="M401" s="178" t="e">
        <f>#REF!*#REF!</f>
        <v>#REF!</v>
      </c>
      <c r="N401" s="178" t="e">
        <f>#REF!+K401+#REF!</f>
        <v>#REF!</v>
      </c>
      <c r="O401" s="181" t="e">
        <f t="shared" si="56"/>
        <v>#REF!</v>
      </c>
    </row>
    <row r="402" spans="1:15" s="193" customFormat="1" outlineLevel="2">
      <c r="A402" s="155"/>
      <c r="B402" s="234" t="s">
        <v>980</v>
      </c>
      <c r="C402" s="190" t="s">
        <v>93</v>
      </c>
      <c r="D402" s="191"/>
      <c r="E402" s="176"/>
      <c r="F402" s="177"/>
      <c r="G402" s="192"/>
      <c r="H402" s="179"/>
      <c r="I402" s="339" t="e">
        <f>IF(#REF!="",#REF!*#REF!,IF(#REF!=0,#REF!*#REF!,#REF!*#REF!*#REF!))</f>
        <v>#REF!</v>
      </c>
      <c r="J402" s="180" t="e">
        <f>#REF!*#REF!</f>
        <v>#REF!</v>
      </c>
      <c r="K402" s="178" t="e">
        <f>#REF!*mo</f>
        <v>#REF!</v>
      </c>
      <c r="L402" s="178" t="e">
        <f t="shared" si="55"/>
        <v>#REF!</v>
      </c>
      <c r="M402" s="178" t="e">
        <f>#REF!*#REF!</f>
        <v>#REF!</v>
      </c>
      <c r="N402" s="178" t="e">
        <f>#REF!+K402+#REF!</f>
        <v>#REF!</v>
      </c>
      <c r="O402" s="181" t="e">
        <f t="shared" si="56"/>
        <v>#REF!</v>
      </c>
    </row>
    <row r="403" spans="1:15" s="193" customFormat="1" outlineLevel="2">
      <c r="A403" s="155"/>
      <c r="B403" s="234" t="s">
        <v>988</v>
      </c>
      <c r="C403" s="190" t="s">
        <v>93</v>
      </c>
      <c r="D403" s="191"/>
      <c r="E403" s="176"/>
      <c r="F403" s="177"/>
      <c r="G403" s="192"/>
      <c r="H403" s="179"/>
      <c r="I403" s="339" t="e">
        <f>IF(#REF!="",#REF!*#REF!,IF(#REF!=0,#REF!*#REF!,#REF!*#REF!*#REF!))</f>
        <v>#REF!</v>
      </c>
      <c r="J403" s="180" t="e">
        <f>#REF!*#REF!</f>
        <v>#REF!</v>
      </c>
      <c r="K403" s="178" t="e">
        <f>#REF!*mo</f>
        <v>#REF!</v>
      </c>
      <c r="L403" s="178" t="e">
        <f t="shared" si="55"/>
        <v>#REF!</v>
      </c>
      <c r="M403" s="178" t="e">
        <f>#REF!*#REF!</f>
        <v>#REF!</v>
      </c>
      <c r="N403" s="178" t="e">
        <f>#REF!+K403+#REF!</f>
        <v>#REF!</v>
      </c>
      <c r="O403" s="181" t="e">
        <f t="shared" si="56"/>
        <v>#REF!</v>
      </c>
    </row>
    <row r="404" spans="1:15" s="193" customFormat="1" outlineLevel="2">
      <c r="A404" s="155"/>
      <c r="B404" s="234" t="s">
        <v>984</v>
      </c>
      <c r="C404" s="190" t="s">
        <v>795</v>
      </c>
      <c r="D404" s="191"/>
      <c r="E404" s="176"/>
      <c r="F404" s="177"/>
      <c r="G404" s="192"/>
      <c r="H404" s="179"/>
      <c r="I404" s="339" t="e">
        <f>IF(#REF!="",#REF!*#REF!,IF(#REF!=0,#REF!*#REF!,#REF!*#REF!*#REF!))</f>
        <v>#REF!</v>
      </c>
      <c r="J404" s="180" t="e">
        <f>#REF!*#REF!</f>
        <v>#REF!</v>
      </c>
      <c r="K404" s="178" t="e">
        <f>#REF!*mo</f>
        <v>#REF!</v>
      </c>
      <c r="L404" s="178" t="e">
        <f t="shared" si="55"/>
        <v>#REF!</v>
      </c>
      <c r="M404" s="178" t="e">
        <f>#REF!*#REF!</f>
        <v>#REF!</v>
      </c>
      <c r="N404" s="178" t="e">
        <f>#REF!+K404+#REF!</f>
        <v>#REF!</v>
      </c>
      <c r="O404" s="181" t="e">
        <f t="shared" si="56"/>
        <v>#REF!</v>
      </c>
    </row>
    <row r="405" spans="1:15" s="193" customFormat="1" outlineLevel="2">
      <c r="A405" s="155"/>
      <c r="B405" s="234" t="s">
        <v>985</v>
      </c>
      <c r="C405" s="190" t="s">
        <v>93</v>
      </c>
      <c r="D405" s="191"/>
      <c r="E405" s="176"/>
      <c r="F405" s="177"/>
      <c r="G405" s="192"/>
      <c r="H405" s="179"/>
      <c r="I405" s="339" t="e">
        <f>IF(#REF!="",#REF!*#REF!,IF(#REF!=0,#REF!*#REF!,#REF!*#REF!*#REF!))</f>
        <v>#REF!</v>
      </c>
      <c r="J405" s="180" t="e">
        <f>#REF!*#REF!</f>
        <v>#REF!</v>
      </c>
      <c r="K405" s="178" t="e">
        <f>#REF!*mo</f>
        <v>#REF!</v>
      </c>
      <c r="L405" s="178" t="e">
        <f t="shared" si="55"/>
        <v>#REF!</v>
      </c>
      <c r="M405" s="178" t="e">
        <f>#REF!*#REF!</f>
        <v>#REF!</v>
      </c>
      <c r="N405" s="178" t="e">
        <f>#REF!+K405+#REF!</f>
        <v>#REF!</v>
      </c>
      <c r="O405" s="181" t="e">
        <f t="shared" si="56"/>
        <v>#REF!</v>
      </c>
    </row>
    <row r="406" spans="1:15" s="193" customFormat="1" outlineLevel="2">
      <c r="A406" s="155"/>
      <c r="B406" s="234" t="s">
        <v>989</v>
      </c>
      <c r="C406" s="190" t="s">
        <v>93</v>
      </c>
      <c r="D406" s="191"/>
      <c r="E406" s="176"/>
      <c r="F406" s="177"/>
      <c r="G406" s="192"/>
      <c r="H406" s="179"/>
      <c r="I406" s="339" t="e">
        <f>IF(#REF!="",#REF!*#REF!,IF(#REF!=0,#REF!*#REF!,#REF!*#REF!*#REF!))</f>
        <v>#REF!</v>
      </c>
      <c r="J406" s="180" t="e">
        <f>#REF!*#REF!</f>
        <v>#REF!</v>
      </c>
      <c r="K406" s="178" t="e">
        <f>#REF!*mo</f>
        <v>#REF!</v>
      </c>
      <c r="L406" s="178" t="e">
        <f t="shared" ref="L406" si="57">J406*mo</f>
        <v>#REF!</v>
      </c>
      <c r="M406" s="178" t="e">
        <f>#REF!*#REF!</f>
        <v>#REF!</v>
      </c>
      <c r="N406" s="178" t="e">
        <f>#REF!+K406+#REF!</f>
        <v>#REF!</v>
      </c>
      <c r="O406" s="181" t="e">
        <f t="shared" si="56"/>
        <v>#REF!</v>
      </c>
    </row>
    <row r="407" spans="1:15" s="193" customFormat="1" outlineLevel="2">
      <c r="A407" s="155"/>
      <c r="B407" s="234" t="s">
        <v>905</v>
      </c>
      <c r="C407" s="190" t="s">
        <v>93</v>
      </c>
      <c r="D407" s="191"/>
      <c r="E407" s="176"/>
      <c r="F407" s="177"/>
      <c r="G407" s="192"/>
      <c r="H407" s="179"/>
      <c r="I407" s="339" t="e">
        <f>IF(#REF!="",#REF!*#REF!,IF(#REF!=0,#REF!*#REF!,#REF!*#REF!*#REF!))</f>
        <v>#REF!</v>
      </c>
      <c r="J407" s="180" t="e">
        <f>#REF!*#REF!</f>
        <v>#REF!</v>
      </c>
      <c r="K407" s="178" t="e">
        <f>#REF!*mo</f>
        <v>#REF!</v>
      </c>
      <c r="L407" s="178" t="e">
        <f t="shared" si="55"/>
        <v>#REF!</v>
      </c>
      <c r="M407" s="178" t="e">
        <f>#REF!*#REF!</f>
        <v>#REF!</v>
      </c>
      <c r="N407" s="178" t="e">
        <f>#REF!+K407+#REF!</f>
        <v>#REF!</v>
      </c>
      <c r="O407" s="181" t="e">
        <f t="shared" si="56"/>
        <v>#REF!</v>
      </c>
    </row>
    <row r="408" spans="1:15" s="193" customFormat="1" outlineLevel="2">
      <c r="A408" s="155"/>
      <c r="B408" s="234"/>
      <c r="C408" s="190"/>
      <c r="D408" s="191"/>
      <c r="E408" s="176"/>
      <c r="F408" s="177"/>
      <c r="G408" s="192"/>
      <c r="H408" s="179"/>
      <c r="I408" s="339" t="e">
        <f>IF(#REF!="",#REF!*#REF!,IF(#REF!=0,#REF!*#REF!,#REF!*#REF!*#REF!))</f>
        <v>#REF!</v>
      </c>
      <c r="J408" s="180" t="e">
        <f>#REF!*#REF!</f>
        <v>#REF!</v>
      </c>
      <c r="K408" s="178" t="e">
        <f>#REF!*mo</f>
        <v>#REF!</v>
      </c>
      <c r="L408" s="178" t="e">
        <f t="shared" si="55"/>
        <v>#REF!</v>
      </c>
      <c r="M408" s="178" t="e">
        <f>#REF!*#REF!</f>
        <v>#REF!</v>
      </c>
      <c r="N408" s="178" t="e">
        <f>#REF!+K408+#REF!</f>
        <v>#REF!</v>
      </c>
      <c r="O408" s="181" t="e">
        <f t="shared" si="56"/>
        <v>#REF!</v>
      </c>
    </row>
    <row r="409" spans="1:15" s="193" customFormat="1" outlineLevel="2">
      <c r="A409" s="155"/>
      <c r="B409" s="234" t="s">
        <v>990</v>
      </c>
      <c r="C409" s="190" t="s">
        <v>795</v>
      </c>
      <c r="D409" s="191"/>
      <c r="E409" s="176"/>
      <c r="F409" s="177"/>
      <c r="G409" s="192"/>
      <c r="H409" s="179"/>
      <c r="I409" s="339" t="e">
        <f>IF(#REF!="",#REF!*#REF!,IF(#REF!=0,#REF!*#REF!,#REF!*#REF!*#REF!))</f>
        <v>#REF!</v>
      </c>
      <c r="J409" s="180" t="e">
        <f>#REF!*#REF!</f>
        <v>#REF!</v>
      </c>
      <c r="K409" s="178" t="e">
        <f>#REF!*mo</f>
        <v>#REF!</v>
      </c>
      <c r="L409" s="178" t="e">
        <f t="shared" si="55"/>
        <v>#REF!</v>
      </c>
      <c r="M409" s="178" t="e">
        <f>#REF!*#REF!</f>
        <v>#REF!</v>
      </c>
      <c r="N409" s="178" t="e">
        <f>#REF!+K409+#REF!</f>
        <v>#REF!</v>
      </c>
      <c r="O409" s="181" t="e">
        <f t="shared" si="56"/>
        <v>#REF!</v>
      </c>
    </row>
    <row r="410" spans="1:15" s="193" customFormat="1" outlineLevel="2">
      <c r="A410" s="155"/>
      <c r="B410" s="234" t="s">
        <v>991</v>
      </c>
      <c r="C410" s="190" t="s">
        <v>795</v>
      </c>
      <c r="D410" s="191"/>
      <c r="E410" s="176"/>
      <c r="F410" s="177"/>
      <c r="G410" s="192"/>
      <c r="H410" s="179"/>
      <c r="I410" s="339" t="e">
        <f>IF(#REF!="",#REF!*#REF!,IF(#REF!=0,#REF!*#REF!,#REF!*#REF!*#REF!))</f>
        <v>#REF!</v>
      </c>
      <c r="J410" s="180" t="e">
        <f>#REF!*#REF!</f>
        <v>#REF!</v>
      </c>
      <c r="K410" s="178" t="e">
        <f>#REF!*mo</f>
        <v>#REF!</v>
      </c>
      <c r="L410" s="178" t="e">
        <f t="shared" ref="L410" si="58">J410*mo</f>
        <v>#REF!</v>
      </c>
      <c r="M410" s="178" t="e">
        <f>#REF!*#REF!</f>
        <v>#REF!</v>
      </c>
      <c r="N410" s="178" t="e">
        <f>#REF!+K410+#REF!</f>
        <v>#REF!</v>
      </c>
      <c r="O410" s="181" t="e">
        <f t="shared" si="56"/>
        <v>#REF!</v>
      </c>
    </row>
    <row r="411" spans="1:15" s="193" customFormat="1" outlineLevel="1">
      <c r="A411" s="155"/>
      <c r="B411" s="198" t="str">
        <f>"Total "&amp;B386</f>
        <v>Total ARRIVEE GENERALE</v>
      </c>
      <c r="C411" s="190"/>
      <c r="D411" s="191"/>
      <c r="E411" s="176"/>
      <c r="F411" s="177"/>
      <c r="G411" s="192"/>
      <c r="H411" s="179">
        <f>G386</f>
        <v>0</v>
      </c>
      <c r="I411" s="339" t="e">
        <f>IF(#REF!="",#REF!*#REF!,IF(#REF!=0,#REF!*#REF!,#REF!*#REF!*#REF!))</f>
        <v>#REF!</v>
      </c>
      <c r="J411" s="180" t="e">
        <f>#REF!*#REF!</f>
        <v>#REF!</v>
      </c>
      <c r="K411" s="178" t="e">
        <f>#REF!*mo</f>
        <v>#REF!</v>
      </c>
      <c r="L411" s="178" t="e">
        <f t="shared" si="55"/>
        <v>#REF!</v>
      </c>
      <c r="M411" s="178" t="e">
        <f>#REF!*#REF!</f>
        <v>#REF!</v>
      </c>
      <c r="N411" s="178" t="e">
        <f>#REF!+K411+#REF!</f>
        <v>#REF!</v>
      </c>
      <c r="O411" s="181" t="e">
        <f t="shared" si="56"/>
        <v>#REF!</v>
      </c>
    </row>
    <row r="412" spans="1:15" s="193" customFormat="1" outlineLevel="1">
      <c r="A412" s="155"/>
      <c r="B412" s="198"/>
      <c r="C412" s="190"/>
      <c r="D412" s="191"/>
      <c r="E412" s="176"/>
      <c r="F412" s="177"/>
      <c r="G412" s="192"/>
      <c r="H412" s="235"/>
      <c r="I412" s="339"/>
      <c r="J412" s="180"/>
      <c r="K412" s="178"/>
      <c r="L412" s="178"/>
      <c r="M412" s="178"/>
      <c r="N412" s="178"/>
      <c r="O412" s="181"/>
    </row>
    <row r="413" spans="1:15" s="209" customFormat="1" outlineLevel="1">
      <c r="A413" s="157" t="str">
        <f>$A$384&amp;".2"</f>
        <v>5.2</v>
      </c>
      <c r="B413" s="158" t="s">
        <v>992</v>
      </c>
      <c r="C413" s="195"/>
      <c r="D413" s="170"/>
      <c r="E413" s="176"/>
      <c r="F413" s="177"/>
      <c r="G413" s="192"/>
      <c r="H413" s="196"/>
      <c r="I413" s="339" t="e">
        <f>IF(#REF!="",#REF!*#REF!,IF(#REF!=0,#REF!*#REF!,#REF!*#REF!*#REF!))</f>
        <v>#REF!</v>
      </c>
      <c r="J413" s="180" t="e">
        <f>#REF!*#REF!</f>
        <v>#REF!</v>
      </c>
      <c r="K413" s="178" t="e">
        <f>#REF!*mo</f>
        <v>#REF!</v>
      </c>
      <c r="L413" s="178" t="e">
        <f t="shared" si="55"/>
        <v>#REF!</v>
      </c>
      <c r="M413" s="178" t="e">
        <f>#REF!*#REF!</f>
        <v>#REF!</v>
      </c>
      <c r="N413" s="178" t="e">
        <f>#REF!+K413+#REF!</f>
        <v>#REF!</v>
      </c>
      <c r="O413" s="181" t="e">
        <f t="shared" si="56"/>
        <v>#REF!</v>
      </c>
    </row>
    <row r="414" spans="1:15" s="209" customFormat="1" outlineLevel="1">
      <c r="A414" s="157" t="str">
        <f>$A$413&amp;".1"</f>
        <v>5.2.1</v>
      </c>
      <c r="B414" s="158" t="s">
        <v>993</v>
      </c>
      <c r="C414" s="195"/>
      <c r="D414" s="170"/>
      <c r="E414" s="176"/>
      <c r="F414" s="177"/>
      <c r="G414" s="192">
        <f>SUM(F415:F476)</f>
        <v>0</v>
      </c>
      <c r="H414" s="179"/>
      <c r="I414" s="339" t="e">
        <f>IF(#REF!="",#REF!*#REF!,IF(#REF!=0,#REF!*#REF!,#REF!*#REF!*#REF!))</f>
        <v>#REF!</v>
      </c>
      <c r="J414" s="180" t="e">
        <f>#REF!*#REF!</f>
        <v>#REF!</v>
      </c>
      <c r="K414" s="178" t="e">
        <f>#REF!*mo</f>
        <v>#REF!</v>
      </c>
      <c r="L414" s="178" t="e">
        <f t="shared" si="55"/>
        <v>#REF!</v>
      </c>
      <c r="M414" s="178" t="e">
        <f>#REF!*#REF!</f>
        <v>#REF!</v>
      </c>
      <c r="N414" s="178" t="e">
        <f>#REF!+K414+#REF!</f>
        <v>#REF!</v>
      </c>
      <c r="O414" s="181" t="e">
        <f t="shared" si="56"/>
        <v>#REF!</v>
      </c>
    </row>
    <row r="415" spans="1:15" s="193" customFormat="1" outlineLevel="2">
      <c r="A415" s="155"/>
      <c r="B415" s="156"/>
      <c r="C415" s="190"/>
      <c r="D415" s="191"/>
      <c r="E415" s="176"/>
      <c r="F415" s="177"/>
      <c r="G415" s="192"/>
      <c r="H415" s="179"/>
      <c r="I415" s="339" t="e">
        <f>IF(#REF!="",#REF!*#REF!,IF(#REF!=0,#REF!*#REF!,#REF!*#REF!*#REF!))</f>
        <v>#REF!</v>
      </c>
      <c r="J415" s="180" t="e">
        <f>#REF!*#REF!</f>
        <v>#REF!</v>
      </c>
      <c r="K415" s="178" t="e">
        <f>#REF!*mo</f>
        <v>#REF!</v>
      </c>
      <c r="L415" s="178" t="e">
        <f t="shared" si="55"/>
        <v>#REF!</v>
      </c>
      <c r="M415" s="178" t="e">
        <f>#REF!*#REF!</f>
        <v>#REF!</v>
      </c>
      <c r="N415" s="178" t="e">
        <f>#REF!+K415+#REF!</f>
        <v>#REF!</v>
      </c>
      <c r="O415" s="181" t="e">
        <f t="shared" si="56"/>
        <v>#REF!</v>
      </c>
    </row>
    <row r="416" spans="1:15" s="193" customFormat="1" outlineLevel="2">
      <c r="A416" s="155"/>
      <c r="B416" s="236" t="s">
        <v>994</v>
      </c>
      <c r="C416" s="190"/>
      <c r="D416" s="191"/>
      <c r="E416" s="176"/>
      <c r="F416" s="177"/>
      <c r="G416" s="192"/>
      <c r="H416" s="179"/>
      <c r="I416" s="339" t="e">
        <f>IF(#REF!="",#REF!*#REF!,IF(#REF!=0,#REF!*#REF!,#REF!*#REF!*#REF!))</f>
        <v>#REF!</v>
      </c>
      <c r="J416" s="180" t="e">
        <f>#REF!*#REF!</f>
        <v>#REF!</v>
      </c>
      <c r="K416" s="178" t="e">
        <f>#REF!*mo</f>
        <v>#REF!</v>
      </c>
      <c r="L416" s="178" t="e">
        <f t="shared" ref="L416:L434" si="59">J416*mo</f>
        <v>#REF!</v>
      </c>
      <c r="M416" s="178" t="e">
        <f>#REF!*#REF!</f>
        <v>#REF!</v>
      </c>
      <c r="N416" s="178" t="e">
        <f>#REF!+K416+#REF!</f>
        <v>#REF!</v>
      </c>
      <c r="O416" s="181" t="e">
        <f t="shared" si="56"/>
        <v>#REF!</v>
      </c>
    </row>
    <row r="417" spans="1:15" s="193" customFormat="1" outlineLevel="2">
      <c r="A417" s="155"/>
      <c r="B417" s="212" t="s">
        <v>995</v>
      </c>
      <c r="C417" s="190" t="s">
        <v>123</v>
      </c>
      <c r="D417" s="191"/>
      <c r="E417" s="176"/>
      <c r="F417" s="177"/>
      <c r="G417" s="192"/>
      <c r="H417" s="179"/>
      <c r="I417" s="339" t="e">
        <f>IF(#REF!="",#REF!*#REF!,IF(#REF!=0,#REF!*#REF!,#REF!*#REF!*#REF!))</f>
        <v>#REF!</v>
      </c>
      <c r="J417" s="180" t="e">
        <f>#REF!*#REF!</f>
        <v>#REF!</v>
      </c>
      <c r="K417" s="178" t="e">
        <f>#REF!*mo</f>
        <v>#REF!</v>
      </c>
      <c r="L417" s="178" t="e">
        <f t="shared" si="59"/>
        <v>#REF!</v>
      </c>
      <c r="M417" s="178" t="e">
        <f>#REF!*#REF!</f>
        <v>#REF!</v>
      </c>
      <c r="N417" s="178" t="e">
        <f>#REF!+K417+#REF!</f>
        <v>#REF!</v>
      </c>
      <c r="O417" s="181" t="e">
        <f t="shared" si="56"/>
        <v>#REF!</v>
      </c>
    </row>
    <row r="418" spans="1:15" s="193" customFormat="1" outlineLevel="2">
      <c r="A418" s="155"/>
      <c r="B418" s="212" t="s">
        <v>996</v>
      </c>
      <c r="C418" s="190" t="s">
        <v>123</v>
      </c>
      <c r="D418" s="191"/>
      <c r="E418" s="176"/>
      <c r="F418" s="177"/>
      <c r="G418" s="192"/>
      <c r="H418" s="179"/>
      <c r="I418" s="339" t="e">
        <f>IF(#REF!="",#REF!*#REF!,IF(#REF!=0,#REF!*#REF!,#REF!*#REF!*#REF!))</f>
        <v>#REF!</v>
      </c>
      <c r="J418" s="180" t="e">
        <f>#REF!*#REF!</f>
        <v>#REF!</v>
      </c>
      <c r="K418" s="178" t="e">
        <f>#REF!*mo</f>
        <v>#REF!</v>
      </c>
      <c r="L418" s="178" t="e">
        <f t="shared" si="59"/>
        <v>#REF!</v>
      </c>
      <c r="M418" s="178" t="e">
        <f>#REF!*#REF!</f>
        <v>#REF!</v>
      </c>
      <c r="N418" s="178" t="e">
        <f>#REF!+K418+#REF!</f>
        <v>#REF!</v>
      </c>
      <c r="O418" s="181" t="e">
        <f t="shared" si="56"/>
        <v>#REF!</v>
      </c>
    </row>
    <row r="419" spans="1:15" s="193" customFormat="1" outlineLevel="2">
      <c r="A419" s="155"/>
      <c r="B419" s="212" t="s">
        <v>997</v>
      </c>
      <c r="C419" s="190" t="s">
        <v>123</v>
      </c>
      <c r="D419" s="191"/>
      <c r="E419" s="176"/>
      <c r="F419" s="177"/>
      <c r="G419" s="192"/>
      <c r="H419" s="179"/>
      <c r="I419" s="339" t="e">
        <f>IF(#REF!="",#REF!*#REF!,IF(#REF!=0,#REF!*#REF!,#REF!*#REF!*#REF!))</f>
        <v>#REF!</v>
      </c>
      <c r="J419" s="180" t="e">
        <f>#REF!*#REF!</f>
        <v>#REF!</v>
      </c>
      <c r="K419" s="178" t="e">
        <f>#REF!*mo</f>
        <v>#REF!</v>
      </c>
      <c r="L419" s="178" t="e">
        <f t="shared" si="59"/>
        <v>#REF!</v>
      </c>
      <c r="M419" s="178" t="e">
        <f>#REF!*#REF!</f>
        <v>#REF!</v>
      </c>
      <c r="N419" s="178" t="e">
        <f>#REF!+K419+#REF!</f>
        <v>#REF!</v>
      </c>
      <c r="O419" s="181" t="e">
        <f t="shared" si="56"/>
        <v>#REF!</v>
      </c>
    </row>
    <row r="420" spans="1:15" s="193" customFormat="1" outlineLevel="2">
      <c r="A420" s="155"/>
      <c r="B420" s="212" t="s">
        <v>998</v>
      </c>
      <c r="C420" s="190" t="s">
        <v>123</v>
      </c>
      <c r="D420" s="191"/>
      <c r="E420" s="176"/>
      <c r="F420" s="177"/>
      <c r="G420" s="192"/>
      <c r="H420" s="179"/>
      <c r="I420" s="339" t="e">
        <f>IF(#REF!="",#REF!*#REF!,IF(#REF!=0,#REF!*#REF!,#REF!*#REF!*#REF!))</f>
        <v>#REF!</v>
      </c>
      <c r="J420" s="180" t="e">
        <f>#REF!*#REF!</f>
        <v>#REF!</v>
      </c>
      <c r="K420" s="178" t="e">
        <f>#REF!*mo</f>
        <v>#REF!</v>
      </c>
      <c r="L420" s="178" t="e">
        <f t="shared" si="59"/>
        <v>#REF!</v>
      </c>
      <c r="M420" s="178" t="e">
        <f>#REF!*#REF!</f>
        <v>#REF!</v>
      </c>
      <c r="N420" s="178" t="e">
        <f>#REF!+K420+#REF!</f>
        <v>#REF!</v>
      </c>
      <c r="O420" s="181" t="e">
        <f t="shared" si="56"/>
        <v>#REF!</v>
      </c>
    </row>
    <row r="421" spans="1:15" s="193" customFormat="1" outlineLevel="2">
      <c r="A421" s="155"/>
      <c r="B421" s="212" t="s">
        <v>999</v>
      </c>
      <c r="C421" s="190" t="s">
        <v>123</v>
      </c>
      <c r="D421" s="191"/>
      <c r="E421" s="176"/>
      <c r="F421" s="177"/>
      <c r="G421" s="192"/>
      <c r="H421" s="179"/>
      <c r="I421" s="339" t="e">
        <f>IF(#REF!="",#REF!*#REF!,IF(#REF!=0,#REF!*#REF!,#REF!*#REF!*#REF!))</f>
        <v>#REF!</v>
      </c>
      <c r="J421" s="180" t="e">
        <f>#REF!*#REF!</f>
        <v>#REF!</v>
      </c>
      <c r="K421" s="178" t="e">
        <f>#REF!*mo</f>
        <v>#REF!</v>
      </c>
      <c r="L421" s="178" t="e">
        <f t="shared" si="59"/>
        <v>#REF!</v>
      </c>
      <c r="M421" s="178" t="e">
        <f>#REF!*#REF!</f>
        <v>#REF!</v>
      </c>
      <c r="N421" s="178" t="e">
        <f>#REF!+K421+#REF!</f>
        <v>#REF!</v>
      </c>
      <c r="O421" s="181" t="e">
        <f t="shared" si="56"/>
        <v>#REF!</v>
      </c>
    </row>
    <row r="422" spans="1:15" s="193" customFormat="1" outlineLevel="2">
      <c r="A422" s="155"/>
      <c r="B422" s="212" t="s">
        <v>894</v>
      </c>
      <c r="C422" s="190" t="s">
        <v>123</v>
      </c>
      <c r="D422" s="191"/>
      <c r="E422" s="176"/>
      <c r="F422" s="177"/>
      <c r="G422" s="192"/>
      <c r="H422" s="179"/>
      <c r="I422" s="339" t="e">
        <f>IF(#REF!="",#REF!*#REF!,IF(#REF!=0,#REF!*#REF!,#REF!*#REF!*#REF!))</f>
        <v>#REF!</v>
      </c>
      <c r="J422" s="180" t="e">
        <f>#REF!*#REF!</f>
        <v>#REF!</v>
      </c>
      <c r="K422" s="178" t="e">
        <f>#REF!*mo</f>
        <v>#REF!</v>
      </c>
      <c r="L422" s="178" t="e">
        <f t="shared" si="59"/>
        <v>#REF!</v>
      </c>
      <c r="M422" s="178" t="e">
        <f>#REF!*#REF!</f>
        <v>#REF!</v>
      </c>
      <c r="N422" s="178" t="e">
        <f>#REF!+K422+#REF!</f>
        <v>#REF!</v>
      </c>
      <c r="O422" s="181" t="e">
        <f t="shared" si="56"/>
        <v>#REF!</v>
      </c>
    </row>
    <row r="423" spans="1:15" s="193" customFormat="1" outlineLevel="2">
      <c r="A423" s="155"/>
      <c r="B423" s="212" t="s">
        <v>1000</v>
      </c>
      <c r="C423" s="190" t="s">
        <v>123</v>
      </c>
      <c r="D423" s="191"/>
      <c r="E423" s="176"/>
      <c r="F423" s="177"/>
      <c r="G423" s="192"/>
      <c r="H423" s="179"/>
      <c r="I423" s="339" t="e">
        <f>IF(#REF!="",#REF!*#REF!,IF(#REF!=0,#REF!*#REF!,#REF!*#REF!*#REF!))</f>
        <v>#REF!</v>
      </c>
      <c r="J423" s="180" t="e">
        <f>#REF!*#REF!</f>
        <v>#REF!</v>
      </c>
      <c r="K423" s="178" t="e">
        <f>#REF!*mo</f>
        <v>#REF!</v>
      </c>
      <c r="L423" s="178" t="e">
        <f t="shared" ref="L423" si="60">J423*mo</f>
        <v>#REF!</v>
      </c>
      <c r="M423" s="178" t="e">
        <f>#REF!*#REF!</f>
        <v>#REF!</v>
      </c>
      <c r="N423" s="178" t="e">
        <f>#REF!+K423+#REF!</f>
        <v>#REF!</v>
      </c>
      <c r="O423" s="181" t="e">
        <f t="shared" si="56"/>
        <v>#REF!</v>
      </c>
    </row>
    <row r="424" spans="1:15" s="193" customFormat="1" outlineLevel="2">
      <c r="A424" s="155"/>
      <c r="B424" s="212"/>
      <c r="C424" s="190"/>
      <c r="D424" s="191"/>
      <c r="E424" s="176"/>
      <c r="F424" s="177"/>
      <c r="G424" s="192"/>
      <c r="H424" s="179"/>
      <c r="I424" s="339" t="e">
        <f>IF(#REF!="",#REF!*#REF!,IF(#REF!=0,#REF!*#REF!,#REF!*#REF!*#REF!))</f>
        <v>#REF!</v>
      </c>
      <c r="J424" s="180" t="e">
        <f>#REF!*#REF!</f>
        <v>#REF!</v>
      </c>
      <c r="K424" s="178" t="e">
        <f>#REF!*mo</f>
        <v>#REF!</v>
      </c>
      <c r="L424" s="178" t="e">
        <f t="shared" si="59"/>
        <v>#REF!</v>
      </c>
      <c r="M424" s="178" t="e">
        <f>#REF!*#REF!</f>
        <v>#REF!</v>
      </c>
      <c r="N424" s="178" t="e">
        <f>#REF!+K424+#REF!</f>
        <v>#REF!</v>
      </c>
      <c r="O424" s="181" t="e">
        <f t="shared" si="56"/>
        <v>#REF!</v>
      </c>
    </row>
    <row r="425" spans="1:15" s="193" customFormat="1" outlineLevel="2">
      <c r="A425" s="155"/>
      <c r="B425" s="236" t="s">
        <v>1001</v>
      </c>
      <c r="C425" s="190"/>
      <c r="D425" s="191"/>
      <c r="E425" s="176"/>
      <c r="F425" s="177"/>
      <c r="G425" s="192"/>
      <c r="H425" s="179"/>
      <c r="I425" s="339" t="e">
        <f>IF(#REF!="",#REF!*#REF!,IF(#REF!=0,#REF!*#REF!,#REF!*#REF!*#REF!))</f>
        <v>#REF!</v>
      </c>
      <c r="J425" s="180" t="e">
        <f>#REF!*#REF!</f>
        <v>#REF!</v>
      </c>
      <c r="K425" s="178" t="e">
        <f>#REF!*mo</f>
        <v>#REF!</v>
      </c>
      <c r="L425" s="178" t="e">
        <f t="shared" si="59"/>
        <v>#REF!</v>
      </c>
      <c r="M425" s="178" t="e">
        <f>#REF!*#REF!</f>
        <v>#REF!</v>
      </c>
      <c r="N425" s="178" t="e">
        <f>#REF!+K425+#REF!</f>
        <v>#REF!</v>
      </c>
      <c r="O425" s="181" t="e">
        <f t="shared" si="56"/>
        <v>#REF!</v>
      </c>
    </row>
    <row r="426" spans="1:15" s="193" customFormat="1" outlineLevel="2">
      <c r="A426" s="155"/>
      <c r="B426" s="212" t="s">
        <v>995</v>
      </c>
      <c r="C426" s="190" t="s">
        <v>123</v>
      </c>
      <c r="D426" s="191"/>
      <c r="E426" s="176"/>
      <c r="F426" s="177"/>
      <c r="G426" s="192"/>
      <c r="H426" s="179"/>
      <c r="I426" s="339" t="e">
        <f>IF(#REF!="",#REF!*#REF!,IF(#REF!=0,#REF!*#REF!,#REF!*#REF!*#REF!))</f>
        <v>#REF!</v>
      </c>
      <c r="J426" s="180" t="e">
        <f>#REF!*#REF!</f>
        <v>#REF!</v>
      </c>
      <c r="K426" s="178" t="e">
        <f>#REF!*mo</f>
        <v>#REF!</v>
      </c>
      <c r="L426" s="178" t="e">
        <f t="shared" si="59"/>
        <v>#REF!</v>
      </c>
      <c r="M426" s="178" t="e">
        <f>#REF!*#REF!</f>
        <v>#REF!</v>
      </c>
      <c r="N426" s="178" t="e">
        <f>#REF!+K426+#REF!</f>
        <v>#REF!</v>
      </c>
      <c r="O426" s="181" t="e">
        <f t="shared" si="56"/>
        <v>#REF!</v>
      </c>
    </row>
    <row r="427" spans="1:15" s="193" customFormat="1" outlineLevel="2">
      <c r="A427" s="155"/>
      <c r="B427" s="212" t="s">
        <v>996</v>
      </c>
      <c r="C427" s="190" t="s">
        <v>123</v>
      </c>
      <c r="D427" s="191"/>
      <c r="E427" s="176"/>
      <c r="F427" s="177"/>
      <c r="G427" s="192"/>
      <c r="H427" s="179"/>
      <c r="I427" s="339" t="e">
        <f>IF(#REF!="",#REF!*#REF!,IF(#REF!=0,#REF!*#REF!,#REF!*#REF!*#REF!))</f>
        <v>#REF!</v>
      </c>
      <c r="J427" s="180" t="e">
        <f>#REF!*#REF!</f>
        <v>#REF!</v>
      </c>
      <c r="K427" s="178" t="e">
        <f>#REF!*mo</f>
        <v>#REF!</v>
      </c>
      <c r="L427" s="178" t="e">
        <f t="shared" si="59"/>
        <v>#REF!</v>
      </c>
      <c r="M427" s="178" t="e">
        <f>#REF!*#REF!</f>
        <v>#REF!</v>
      </c>
      <c r="N427" s="178" t="e">
        <f>#REF!+K427+#REF!</f>
        <v>#REF!</v>
      </c>
      <c r="O427" s="181" t="e">
        <f t="shared" si="56"/>
        <v>#REF!</v>
      </c>
    </row>
    <row r="428" spans="1:15" s="193" customFormat="1" outlineLevel="2">
      <c r="A428" s="155"/>
      <c r="B428" s="212" t="s">
        <v>997</v>
      </c>
      <c r="C428" s="190" t="s">
        <v>123</v>
      </c>
      <c r="D428" s="191"/>
      <c r="E428" s="176"/>
      <c r="F428" s="177"/>
      <c r="G428" s="192"/>
      <c r="H428" s="179"/>
      <c r="I428" s="339" t="e">
        <f>IF(#REF!="",#REF!*#REF!,IF(#REF!=0,#REF!*#REF!,#REF!*#REF!*#REF!))</f>
        <v>#REF!</v>
      </c>
      <c r="J428" s="180" t="e">
        <f>#REF!*#REF!</f>
        <v>#REF!</v>
      </c>
      <c r="K428" s="178" t="e">
        <f>#REF!*mo</f>
        <v>#REF!</v>
      </c>
      <c r="L428" s="178" t="e">
        <f t="shared" si="59"/>
        <v>#REF!</v>
      </c>
      <c r="M428" s="178" t="e">
        <f>#REF!*#REF!</f>
        <v>#REF!</v>
      </c>
      <c r="N428" s="178" t="e">
        <f>#REF!+K428+#REF!</f>
        <v>#REF!</v>
      </c>
      <c r="O428" s="181" t="e">
        <f t="shared" si="56"/>
        <v>#REF!</v>
      </c>
    </row>
    <row r="429" spans="1:15" s="193" customFormat="1" outlineLevel="2">
      <c r="A429" s="155"/>
      <c r="B429" s="212" t="s">
        <v>998</v>
      </c>
      <c r="C429" s="190" t="s">
        <v>123</v>
      </c>
      <c r="D429" s="191"/>
      <c r="E429" s="176"/>
      <c r="F429" s="177"/>
      <c r="G429" s="192"/>
      <c r="H429" s="179"/>
      <c r="I429" s="339" t="e">
        <f>IF(#REF!="",#REF!*#REF!,IF(#REF!=0,#REF!*#REF!,#REF!*#REF!*#REF!))</f>
        <v>#REF!</v>
      </c>
      <c r="J429" s="180" t="e">
        <f>#REF!*#REF!</f>
        <v>#REF!</v>
      </c>
      <c r="K429" s="178" t="e">
        <f>#REF!*mo</f>
        <v>#REF!</v>
      </c>
      <c r="L429" s="178" t="e">
        <f t="shared" si="59"/>
        <v>#REF!</v>
      </c>
      <c r="M429" s="178" t="e">
        <f>#REF!*#REF!</f>
        <v>#REF!</v>
      </c>
      <c r="N429" s="178" t="e">
        <f>#REF!+K429+#REF!</f>
        <v>#REF!</v>
      </c>
      <c r="O429" s="181" t="e">
        <f t="shared" si="56"/>
        <v>#REF!</v>
      </c>
    </row>
    <row r="430" spans="1:15" s="193" customFormat="1" outlineLevel="2">
      <c r="A430" s="155"/>
      <c r="B430" s="212" t="s">
        <v>999</v>
      </c>
      <c r="C430" s="190" t="s">
        <v>123</v>
      </c>
      <c r="D430" s="191"/>
      <c r="E430" s="176"/>
      <c r="F430" s="177"/>
      <c r="G430" s="192"/>
      <c r="H430" s="179"/>
      <c r="I430" s="339" t="e">
        <f>IF(#REF!="",#REF!*#REF!,IF(#REF!=0,#REF!*#REF!,#REF!*#REF!*#REF!))</f>
        <v>#REF!</v>
      </c>
      <c r="J430" s="180" t="e">
        <f>#REF!*#REF!</f>
        <v>#REF!</v>
      </c>
      <c r="K430" s="178" t="e">
        <f>#REF!*mo</f>
        <v>#REF!</v>
      </c>
      <c r="L430" s="178" t="e">
        <f t="shared" si="59"/>
        <v>#REF!</v>
      </c>
      <c r="M430" s="178" t="e">
        <f>#REF!*#REF!</f>
        <v>#REF!</v>
      </c>
      <c r="N430" s="178" t="e">
        <f>#REF!+K430+#REF!</f>
        <v>#REF!</v>
      </c>
      <c r="O430" s="181" t="e">
        <f t="shared" si="56"/>
        <v>#REF!</v>
      </c>
    </row>
    <row r="431" spans="1:15" s="193" customFormat="1" outlineLevel="2">
      <c r="A431" s="155"/>
      <c r="B431" s="212" t="s">
        <v>894</v>
      </c>
      <c r="C431" s="190" t="s">
        <v>123</v>
      </c>
      <c r="D431" s="191"/>
      <c r="E431" s="176"/>
      <c r="F431" s="177"/>
      <c r="G431" s="192"/>
      <c r="H431" s="179"/>
      <c r="I431" s="339" t="e">
        <f>IF(#REF!="",#REF!*#REF!,IF(#REF!=0,#REF!*#REF!,#REF!*#REF!*#REF!))</f>
        <v>#REF!</v>
      </c>
      <c r="J431" s="180" t="e">
        <f>#REF!*#REF!</f>
        <v>#REF!</v>
      </c>
      <c r="K431" s="178" t="e">
        <f>#REF!*mo</f>
        <v>#REF!</v>
      </c>
      <c r="L431" s="178" t="e">
        <f t="shared" si="59"/>
        <v>#REF!</v>
      </c>
      <c r="M431" s="178" t="e">
        <f>#REF!*#REF!</f>
        <v>#REF!</v>
      </c>
      <c r="N431" s="178" t="e">
        <f>#REF!+K431+#REF!</f>
        <v>#REF!</v>
      </c>
      <c r="O431" s="181" t="e">
        <f t="shared" si="56"/>
        <v>#REF!</v>
      </c>
    </row>
    <row r="432" spans="1:15" s="193" customFormat="1" outlineLevel="2">
      <c r="A432" s="155"/>
      <c r="B432" s="212" t="s">
        <v>1000</v>
      </c>
      <c r="C432" s="190" t="s">
        <v>123</v>
      </c>
      <c r="D432" s="191"/>
      <c r="E432" s="176"/>
      <c r="F432" s="177"/>
      <c r="G432" s="192"/>
      <c r="H432" s="179"/>
      <c r="I432" s="339" t="e">
        <f>IF(#REF!="",#REF!*#REF!,IF(#REF!=0,#REF!*#REF!,#REF!*#REF!*#REF!))</f>
        <v>#REF!</v>
      </c>
      <c r="J432" s="180" t="e">
        <f>#REF!*#REF!</f>
        <v>#REF!</v>
      </c>
      <c r="K432" s="178" t="e">
        <f>#REF!*mo</f>
        <v>#REF!</v>
      </c>
      <c r="L432" s="178" t="e">
        <f t="shared" ref="L432" si="61">J432*mo</f>
        <v>#REF!</v>
      </c>
      <c r="M432" s="178" t="e">
        <f>#REF!*#REF!</f>
        <v>#REF!</v>
      </c>
      <c r="N432" s="178" t="e">
        <f>#REF!+K432+#REF!</f>
        <v>#REF!</v>
      </c>
      <c r="O432" s="181" t="e">
        <f t="shared" si="56"/>
        <v>#REF!</v>
      </c>
    </row>
    <row r="433" spans="1:15" s="193" customFormat="1" ht="10.5" customHeight="1" outlineLevel="2">
      <c r="A433" s="155"/>
      <c r="B433" s="212"/>
      <c r="C433" s="190"/>
      <c r="D433" s="191"/>
      <c r="E433" s="176"/>
      <c r="F433" s="177"/>
      <c r="G433" s="192"/>
      <c r="H433" s="179"/>
      <c r="I433" s="339" t="e">
        <f>IF(#REF!="",#REF!*#REF!,IF(#REF!=0,#REF!*#REF!,#REF!*#REF!*#REF!))</f>
        <v>#REF!</v>
      </c>
      <c r="J433" s="180" t="e">
        <f>#REF!*#REF!</f>
        <v>#REF!</v>
      </c>
      <c r="K433" s="178" t="e">
        <f>#REF!*mo</f>
        <v>#REF!</v>
      </c>
      <c r="L433" s="178" t="e">
        <f t="shared" si="59"/>
        <v>#REF!</v>
      </c>
      <c r="M433" s="178" t="e">
        <f>#REF!*#REF!</f>
        <v>#REF!</v>
      </c>
      <c r="N433" s="178" t="e">
        <f>#REF!+K433+#REF!</f>
        <v>#REF!</v>
      </c>
      <c r="O433" s="181" t="e">
        <f t="shared" si="56"/>
        <v>#REF!</v>
      </c>
    </row>
    <row r="434" spans="1:15" s="193" customFormat="1" outlineLevel="2">
      <c r="A434" s="155"/>
      <c r="B434" s="236" t="s">
        <v>1002</v>
      </c>
      <c r="C434" s="190"/>
      <c r="D434" s="191"/>
      <c r="E434" s="176"/>
      <c r="F434" s="177"/>
      <c r="G434" s="192"/>
      <c r="H434" s="179"/>
      <c r="I434" s="339" t="e">
        <f>IF(#REF!="",#REF!*#REF!,IF(#REF!=0,#REF!*#REF!,#REF!*#REF!*#REF!))</f>
        <v>#REF!</v>
      </c>
      <c r="J434" s="180" t="e">
        <f>#REF!*#REF!</f>
        <v>#REF!</v>
      </c>
      <c r="K434" s="178" t="e">
        <f>#REF!*mo</f>
        <v>#REF!</v>
      </c>
      <c r="L434" s="178" t="e">
        <f t="shared" si="59"/>
        <v>#REF!</v>
      </c>
      <c r="M434" s="178" t="e">
        <f>#REF!*#REF!</f>
        <v>#REF!</v>
      </c>
      <c r="N434" s="178" t="e">
        <f>#REF!+K434+#REF!</f>
        <v>#REF!</v>
      </c>
      <c r="O434" s="181" t="e">
        <f t="shared" si="56"/>
        <v>#REF!</v>
      </c>
    </row>
    <row r="435" spans="1:15" s="193" customFormat="1" outlineLevel="2">
      <c r="A435" s="155"/>
      <c r="B435" s="212" t="s">
        <v>995</v>
      </c>
      <c r="C435" s="190" t="s">
        <v>123</v>
      </c>
      <c r="D435" s="191"/>
      <c r="E435" s="176"/>
      <c r="F435" s="177"/>
      <c r="G435" s="192"/>
      <c r="H435" s="179"/>
      <c r="I435" s="339" t="e">
        <f>IF(#REF!="",#REF!*#REF!,IF(#REF!=0,#REF!*#REF!,#REF!*#REF!*#REF!))</f>
        <v>#REF!</v>
      </c>
      <c r="J435" s="180" t="e">
        <f>#REF!*#REF!</f>
        <v>#REF!</v>
      </c>
      <c r="K435" s="178" t="e">
        <f>#REF!*mo</f>
        <v>#REF!</v>
      </c>
      <c r="L435" s="178" t="e">
        <f t="shared" si="55"/>
        <v>#REF!</v>
      </c>
      <c r="M435" s="178" t="e">
        <f>#REF!*#REF!</f>
        <v>#REF!</v>
      </c>
      <c r="N435" s="178" t="e">
        <f>#REF!+K435+#REF!</f>
        <v>#REF!</v>
      </c>
      <c r="O435" s="181" t="e">
        <f t="shared" si="56"/>
        <v>#REF!</v>
      </c>
    </row>
    <row r="436" spans="1:15" s="193" customFormat="1" outlineLevel="2">
      <c r="A436" s="155"/>
      <c r="B436" s="212" t="s">
        <v>996</v>
      </c>
      <c r="C436" s="190" t="s">
        <v>123</v>
      </c>
      <c r="D436" s="191"/>
      <c r="E436" s="176"/>
      <c r="F436" s="177"/>
      <c r="G436" s="192"/>
      <c r="H436" s="179"/>
      <c r="I436" s="339" t="e">
        <f>IF(#REF!="",#REF!*#REF!,IF(#REF!=0,#REF!*#REF!,#REF!*#REF!*#REF!))</f>
        <v>#REF!</v>
      </c>
      <c r="J436" s="180" t="e">
        <f>#REF!*#REF!</f>
        <v>#REF!</v>
      </c>
      <c r="K436" s="178" t="e">
        <f>#REF!*mo</f>
        <v>#REF!</v>
      </c>
      <c r="L436" s="178" t="e">
        <f t="shared" ref="L436:L441" si="62">J436*mo</f>
        <v>#REF!</v>
      </c>
      <c r="M436" s="178" t="e">
        <f>#REF!*#REF!</f>
        <v>#REF!</v>
      </c>
      <c r="N436" s="178" t="e">
        <f>#REF!+K436+#REF!</f>
        <v>#REF!</v>
      </c>
      <c r="O436" s="181" t="e">
        <f t="shared" si="56"/>
        <v>#REF!</v>
      </c>
    </row>
    <row r="437" spans="1:15" s="193" customFormat="1" outlineLevel="2">
      <c r="A437" s="155"/>
      <c r="B437" s="212" t="s">
        <v>997</v>
      </c>
      <c r="C437" s="190" t="s">
        <v>123</v>
      </c>
      <c r="D437" s="191"/>
      <c r="E437" s="176"/>
      <c r="F437" s="177"/>
      <c r="G437" s="192"/>
      <c r="H437" s="179"/>
      <c r="I437" s="339" t="e">
        <f>IF(#REF!="",#REF!*#REF!,IF(#REF!=0,#REF!*#REF!,#REF!*#REF!*#REF!))</f>
        <v>#REF!</v>
      </c>
      <c r="J437" s="180" t="e">
        <f>#REF!*#REF!</f>
        <v>#REF!</v>
      </c>
      <c r="K437" s="178" t="e">
        <f>#REF!*mo</f>
        <v>#REF!</v>
      </c>
      <c r="L437" s="178" t="e">
        <f t="shared" si="62"/>
        <v>#REF!</v>
      </c>
      <c r="M437" s="178" t="e">
        <f>#REF!*#REF!</f>
        <v>#REF!</v>
      </c>
      <c r="N437" s="178" t="e">
        <f>#REF!+K437+#REF!</f>
        <v>#REF!</v>
      </c>
      <c r="O437" s="181" t="e">
        <f t="shared" si="56"/>
        <v>#REF!</v>
      </c>
    </row>
    <row r="438" spans="1:15" s="193" customFormat="1" outlineLevel="2">
      <c r="A438" s="155"/>
      <c r="B438" s="212" t="s">
        <v>998</v>
      </c>
      <c r="C438" s="190" t="s">
        <v>123</v>
      </c>
      <c r="D438" s="191"/>
      <c r="E438" s="176"/>
      <c r="F438" s="177"/>
      <c r="G438" s="192"/>
      <c r="H438" s="179"/>
      <c r="I438" s="339" t="e">
        <f>IF(#REF!="",#REF!*#REF!,IF(#REF!=0,#REF!*#REF!,#REF!*#REF!*#REF!))</f>
        <v>#REF!</v>
      </c>
      <c r="J438" s="180" t="e">
        <f>#REF!*#REF!</f>
        <v>#REF!</v>
      </c>
      <c r="K438" s="178" t="e">
        <f>#REF!*mo</f>
        <v>#REF!</v>
      </c>
      <c r="L438" s="178" t="e">
        <f t="shared" si="62"/>
        <v>#REF!</v>
      </c>
      <c r="M438" s="178" t="e">
        <f>#REF!*#REF!</f>
        <v>#REF!</v>
      </c>
      <c r="N438" s="178" t="e">
        <f>#REF!+K438+#REF!</f>
        <v>#REF!</v>
      </c>
      <c r="O438" s="181" t="e">
        <f t="shared" si="56"/>
        <v>#REF!</v>
      </c>
    </row>
    <row r="439" spans="1:15" s="193" customFormat="1" outlineLevel="2">
      <c r="A439" s="155"/>
      <c r="B439" s="212" t="s">
        <v>999</v>
      </c>
      <c r="C439" s="190" t="s">
        <v>123</v>
      </c>
      <c r="D439" s="191"/>
      <c r="E439" s="176"/>
      <c r="F439" s="177"/>
      <c r="G439" s="192"/>
      <c r="H439" s="179"/>
      <c r="I439" s="339" t="e">
        <f>IF(#REF!="",#REF!*#REF!,IF(#REF!=0,#REF!*#REF!,#REF!*#REF!*#REF!))</f>
        <v>#REF!</v>
      </c>
      <c r="J439" s="180" t="e">
        <f>#REF!*#REF!</f>
        <v>#REF!</v>
      </c>
      <c r="K439" s="178" t="e">
        <f>#REF!*mo</f>
        <v>#REF!</v>
      </c>
      <c r="L439" s="178" t="e">
        <f t="shared" si="62"/>
        <v>#REF!</v>
      </c>
      <c r="M439" s="178" t="e">
        <f>#REF!*#REF!</f>
        <v>#REF!</v>
      </c>
      <c r="N439" s="178" t="e">
        <f>#REF!+K439+#REF!</f>
        <v>#REF!</v>
      </c>
      <c r="O439" s="181" t="e">
        <f t="shared" si="56"/>
        <v>#REF!</v>
      </c>
    </row>
    <row r="440" spans="1:15" s="193" customFormat="1" outlineLevel="2">
      <c r="A440" s="155"/>
      <c r="B440" s="212" t="s">
        <v>894</v>
      </c>
      <c r="C440" s="190" t="s">
        <v>123</v>
      </c>
      <c r="D440" s="191"/>
      <c r="E440" s="176"/>
      <c r="F440" s="177"/>
      <c r="G440" s="192"/>
      <c r="H440" s="179"/>
      <c r="I440" s="339" t="e">
        <f>IF(#REF!="",#REF!*#REF!,IF(#REF!=0,#REF!*#REF!,#REF!*#REF!*#REF!))</f>
        <v>#REF!</v>
      </c>
      <c r="J440" s="180" t="e">
        <f>#REF!*#REF!</f>
        <v>#REF!</v>
      </c>
      <c r="K440" s="178" t="e">
        <f>#REF!*mo</f>
        <v>#REF!</v>
      </c>
      <c r="L440" s="178" t="e">
        <f t="shared" si="62"/>
        <v>#REF!</v>
      </c>
      <c r="M440" s="178" t="e">
        <f>#REF!*#REF!</f>
        <v>#REF!</v>
      </c>
      <c r="N440" s="178" t="e">
        <f>#REF!+K440+#REF!</f>
        <v>#REF!</v>
      </c>
      <c r="O440" s="181" t="e">
        <f t="shared" si="56"/>
        <v>#REF!</v>
      </c>
    </row>
    <row r="441" spans="1:15" s="193" customFormat="1" outlineLevel="2">
      <c r="A441" s="155"/>
      <c r="B441" s="212"/>
      <c r="C441" s="190"/>
      <c r="D441" s="191"/>
      <c r="E441" s="176"/>
      <c r="F441" s="177"/>
      <c r="G441" s="192"/>
      <c r="H441" s="179"/>
      <c r="I441" s="339"/>
      <c r="J441" s="180"/>
      <c r="K441" s="178" t="e">
        <f>#REF!*mo</f>
        <v>#REF!</v>
      </c>
      <c r="L441" s="178" t="e">
        <f t="shared" si="62"/>
        <v>#REF!</v>
      </c>
      <c r="M441" s="178" t="e">
        <f>#REF!*#REF!</f>
        <v>#REF!</v>
      </c>
      <c r="N441" s="178" t="e">
        <f>#REF!+K441+#REF!</f>
        <v>#REF!</v>
      </c>
      <c r="O441" s="181" t="e">
        <f t="shared" si="56"/>
        <v>#REF!</v>
      </c>
    </row>
    <row r="442" spans="1:15" s="193" customFormat="1" outlineLevel="2">
      <c r="A442" s="155"/>
      <c r="B442" s="212" t="s">
        <v>1003</v>
      </c>
      <c r="C442" s="190"/>
      <c r="D442" s="191"/>
      <c r="E442" s="176"/>
      <c r="F442" s="177"/>
      <c r="G442" s="192"/>
      <c r="H442" s="179"/>
      <c r="I442" s="339"/>
      <c r="J442" s="180"/>
      <c r="K442" s="178"/>
      <c r="L442" s="178"/>
      <c r="M442" s="178"/>
      <c r="N442" s="178"/>
      <c r="O442" s="181"/>
    </row>
    <row r="443" spans="1:15" s="193" customFormat="1" outlineLevel="2">
      <c r="A443" s="155"/>
      <c r="B443" s="212" t="s">
        <v>995</v>
      </c>
      <c r="C443" s="190" t="s">
        <v>123</v>
      </c>
      <c r="D443" s="191"/>
      <c r="E443" s="176"/>
      <c r="F443" s="177"/>
      <c r="G443" s="192"/>
      <c r="H443" s="179"/>
      <c r="I443" s="339"/>
      <c r="J443" s="180"/>
      <c r="K443" s="178"/>
      <c r="L443" s="178"/>
      <c r="M443" s="178"/>
      <c r="N443" s="178"/>
      <c r="O443" s="181"/>
    </row>
    <row r="444" spans="1:15" s="193" customFormat="1" outlineLevel="2">
      <c r="A444" s="155"/>
      <c r="B444" s="212" t="s">
        <v>996</v>
      </c>
      <c r="C444" s="190" t="s">
        <v>123</v>
      </c>
      <c r="D444" s="191"/>
      <c r="E444" s="176"/>
      <c r="F444" s="177"/>
      <c r="G444" s="192"/>
      <c r="H444" s="179"/>
      <c r="I444" s="339"/>
      <c r="J444" s="180"/>
      <c r="K444" s="178"/>
      <c r="L444" s="178"/>
      <c r="M444" s="178"/>
      <c r="N444" s="178"/>
      <c r="O444" s="181"/>
    </row>
    <row r="445" spans="1:15" s="193" customFormat="1" outlineLevel="2">
      <c r="A445" s="155"/>
      <c r="B445" s="212" t="s">
        <v>997</v>
      </c>
      <c r="C445" s="190" t="s">
        <v>123</v>
      </c>
      <c r="D445" s="191"/>
      <c r="E445" s="176"/>
      <c r="F445" s="177"/>
      <c r="G445" s="192"/>
      <c r="H445" s="179"/>
      <c r="I445" s="339" t="e">
        <f>IF(#REF!="",#REF!*#REF!,IF(#REF!=0,#REF!*#REF!,#REF!*#REF!*#REF!))</f>
        <v>#REF!</v>
      </c>
      <c r="J445" s="180" t="e">
        <f>#REF!*#REF!</f>
        <v>#REF!</v>
      </c>
      <c r="K445" s="178" t="e">
        <f>#REF!*mo</f>
        <v>#REF!</v>
      </c>
      <c r="L445" s="178" t="e">
        <f t="shared" si="55"/>
        <v>#REF!</v>
      </c>
      <c r="M445" s="178" t="e">
        <f>#REF!*#REF!</f>
        <v>#REF!</v>
      </c>
      <c r="N445" s="178" t="e">
        <f>#REF!+K445+#REF!</f>
        <v>#REF!</v>
      </c>
      <c r="O445" s="181" t="e">
        <f t="shared" si="56"/>
        <v>#REF!</v>
      </c>
    </row>
    <row r="446" spans="1:15" s="193" customFormat="1" outlineLevel="2">
      <c r="A446" s="155"/>
      <c r="B446" s="212" t="s">
        <v>998</v>
      </c>
      <c r="C446" s="190" t="s">
        <v>123</v>
      </c>
      <c r="D446" s="191"/>
      <c r="E446" s="176"/>
      <c r="F446" s="177"/>
      <c r="G446" s="192"/>
      <c r="H446" s="179"/>
      <c r="I446" s="339" t="e">
        <f>IF(#REF!="",#REF!*#REF!,IF(#REF!=0,#REF!*#REF!,#REF!*#REF!*#REF!))</f>
        <v>#REF!</v>
      </c>
      <c r="J446" s="180" t="e">
        <f>#REF!*#REF!</f>
        <v>#REF!</v>
      </c>
      <c r="K446" s="178" t="e">
        <f>#REF!*mo</f>
        <v>#REF!</v>
      </c>
      <c r="L446" s="178" t="e">
        <f t="shared" si="55"/>
        <v>#REF!</v>
      </c>
      <c r="M446" s="178" t="e">
        <f>#REF!*#REF!</f>
        <v>#REF!</v>
      </c>
      <c r="N446" s="178" t="e">
        <f>#REF!+K446+#REF!</f>
        <v>#REF!</v>
      </c>
      <c r="O446" s="181" t="e">
        <f t="shared" si="56"/>
        <v>#REF!</v>
      </c>
    </row>
    <row r="447" spans="1:15" s="193" customFormat="1" outlineLevel="2">
      <c r="A447" s="155"/>
      <c r="B447" s="212" t="s">
        <v>999</v>
      </c>
      <c r="C447" s="190" t="s">
        <v>123</v>
      </c>
      <c r="D447" s="191"/>
      <c r="E447" s="176"/>
      <c r="F447" s="177"/>
      <c r="G447" s="192"/>
      <c r="H447" s="179"/>
      <c r="I447" s="339" t="e">
        <f>IF(#REF!="",#REF!*#REF!,IF(#REF!=0,#REF!*#REF!,#REF!*#REF!*#REF!))</f>
        <v>#REF!</v>
      </c>
      <c r="J447" s="180" t="e">
        <f>#REF!*#REF!</f>
        <v>#REF!</v>
      </c>
      <c r="K447" s="178" t="e">
        <f>#REF!*mo</f>
        <v>#REF!</v>
      </c>
      <c r="L447" s="178" t="e">
        <f t="shared" si="55"/>
        <v>#REF!</v>
      </c>
      <c r="M447" s="178" t="e">
        <f>#REF!*#REF!</f>
        <v>#REF!</v>
      </c>
      <c r="N447" s="178" t="e">
        <f>#REF!+K447+#REF!</f>
        <v>#REF!</v>
      </c>
      <c r="O447" s="181" t="e">
        <f t="shared" si="56"/>
        <v>#REF!</v>
      </c>
    </row>
    <row r="448" spans="1:15" s="193" customFormat="1" outlineLevel="2">
      <c r="A448" s="155"/>
      <c r="B448" s="212" t="s">
        <v>894</v>
      </c>
      <c r="C448" s="190" t="s">
        <v>123</v>
      </c>
      <c r="D448" s="191"/>
      <c r="E448" s="176"/>
      <c r="F448" s="177"/>
      <c r="G448" s="192"/>
      <c r="H448" s="179"/>
      <c r="I448" s="339" t="e">
        <f>IF(#REF!="",#REF!*#REF!,IF(#REF!=0,#REF!*#REF!,#REF!*#REF!*#REF!))</f>
        <v>#REF!</v>
      </c>
      <c r="J448" s="180" t="e">
        <f>#REF!*#REF!</f>
        <v>#REF!</v>
      </c>
      <c r="K448" s="178" t="e">
        <f>#REF!*mo</f>
        <v>#REF!</v>
      </c>
      <c r="L448" s="178" t="e">
        <f t="shared" si="55"/>
        <v>#REF!</v>
      </c>
      <c r="M448" s="178" t="e">
        <f>#REF!*#REF!</f>
        <v>#REF!</v>
      </c>
      <c r="N448" s="178" t="e">
        <f>#REF!+K448+#REF!</f>
        <v>#REF!</v>
      </c>
      <c r="O448" s="181" t="e">
        <f t="shared" si="56"/>
        <v>#REF!</v>
      </c>
    </row>
    <row r="449" spans="1:15" s="193" customFormat="1" outlineLevel="2">
      <c r="A449" s="155"/>
      <c r="B449" s="212" t="s">
        <v>1000</v>
      </c>
      <c r="C449" s="190" t="s">
        <v>123</v>
      </c>
      <c r="D449" s="191"/>
      <c r="E449" s="176"/>
      <c r="F449" s="177"/>
      <c r="G449" s="192"/>
      <c r="H449" s="179"/>
      <c r="I449" s="339" t="e">
        <f>IF(#REF!="",#REF!*#REF!,IF(#REF!=0,#REF!*#REF!,#REF!*#REF!*#REF!))</f>
        <v>#REF!</v>
      </c>
      <c r="J449" s="180" t="e">
        <f>#REF!*#REF!</f>
        <v>#REF!</v>
      </c>
      <c r="K449" s="178" t="e">
        <f>#REF!*mo</f>
        <v>#REF!</v>
      </c>
      <c r="L449" s="178" t="e">
        <f t="shared" si="55"/>
        <v>#REF!</v>
      </c>
      <c r="M449" s="178" t="e">
        <f>#REF!*#REF!</f>
        <v>#REF!</v>
      </c>
      <c r="N449" s="178" t="e">
        <f>#REF!+K449+#REF!</f>
        <v>#REF!</v>
      </c>
      <c r="O449" s="181" t="e">
        <f t="shared" si="56"/>
        <v>#REF!</v>
      </c>
    </row>
    <row r="450" spans="1:15" s="193" customFormat="1" outlineLevel="2">
      <c r="A450" s="155"/>
      <c r="B450" s="212"/>
      <c r="C450" s="190"/>
      <c r="D450" s="191"/>
      <c r="E450" s="176"/>
      <c r="F450" s="177"/>
      <c r="G450" s="192"/>
      <c r="H450" s="179"/>
      <c r="I450" s="339" t="e">
        <f>IF(#REF!="",#REF!*#REF!,IF(#REF!=0,#REF!*#REF!,#REF!*#REF!*#REF!))</f>
        <v>#REF!</v>
      </c>
      <c r="J450" s="180" t="e">
        <f>#REF!*#REF!</f>
        <v>#REF!</v>
      </c>
      <c r="K450" s="178" t="e">
        <f>#REF!*mo</f>
        <v>#REF!</v>
      </c>
      <c r="L450" s="178" t="e">
        <f t="shared" si="55"/>
        <v>#REF!</v>
      </c>
      <c r="M450" s="178" t="e">
        <f>#REF!*#REF!</f>
        <v>#REF!</v>
      </c>
      <c r="N450" s="178" t="e">
        <f>#REF!+K450+#REF!</f>
        <v>#REF!</v>
      </c>
      <c r="O450" s="181" t="e">
        <f t="shared" si="56"/>
        <v>#REF!</v>
      </c>
    </row>
    <row r="451" spans="1:15" s="193" customFormat="1" outlineLevel="2">
      <c r="A451" s="155"/>
      <c r="B451" s="236" t="s">
        <v>946</v>
      </c>
      <c r="C451" s="190" t="s">
        <v>795</v>
      </c>
      <c r="D451" s="191"/>
      <c r="E451" s="176"/>
      <c r="F451" s="177"/>
      <c r="G451" s="192"/>
      <c r="H451" s="179"/>
      <c r="I451" s="339" t="e">
        <f>IF(#REF!="",#REF!*#REF!,IF(#REF!=0,#REF!*#REF!,#REF!*#REF!*#REF!))</f>
        <v>#REF!</v>
      </c>
      <c r="J451" s="180" t="e">
        <f>#REF!*#REF!</f>
        <v>#REF!</v>
      </c>
      <c r="K451" s="178" t="e">
        <f>#REF!*mo</f>
        <v>#REF!</v>
      </c>
      <c r="L451" s="178" t="e">
        <f t="shared" si="55"/>
        <v>#REF!</v>
      </c>
      <c r="M451" s="178" t="e">
        <f>#REF!*#REF!</f>
        <v>#REF!</v>
      </c>
      <c r="N451" s="178" t="e">
        <f>#REF!+K451+#REF!</f>
        <v>#REF!</v>
      </c>
      <c r="O451" s="181" t="e">
        <f t="shared" si="56"/>
        <v>#REF!</v>
      </c>
    </row>
    <row r="452" spans="1:15" s="193" customFormat="1" outlineLevel="2">
      <c r="A452" s="155"/>
      <c r="B452" s="233"/>
      <c r="C452" s="190"/>
      <c r="D452" s="191"/>
      <c r="E452" s="176"/>
      <c r="F452" s="177"/>
      <c r="G452" s="192"/>
      <c r="H452" s="179"/>
      <c r="I452" s="339" t="e">
        <f>IF(#REF!="",#REF!*#REF!,IF(#REF!=0,#REF!*#REF!,#REF!*#REF!*#REF!))</f>
        <v>#REF!</v>
      </c>
      <c r="J452" s="180" t="e">
        <f>#REF!*#REF!</f>
        <v>#REF!</v>
      </c>
      <c r="K452" s="178" t="e">
        <f>#REF!*mo</f>
        <v>#REF!</v>
      </c>
      <c r="L452" s="178" t="e">
        <f t="shared" si="55"/>
        <v>#REF!</v>
      </c>
      <c r="M452" s="178" t="e">
        <f>#REF!*#REF!</f>
        <v>#REF!</v>
      </c>
      <c r="N452" s="178" t="e">
        <f>#REF!+K452+#REF!</f>
        <v>#REF!</v>
      </c>
      <c r="O452" s="181" t="e">
        <f t="shared" si="56"/>
        <v>#REF!</v>
      </c>
    </row>
    <row r="453" spans="1:15" s="193" customFormat="1" outlineLevel="2">
      <c r="A453" s="155"/>
      <c r="B453" s="233" t="s">
        <v>892</v>
      </c>
      <c r="C453" s="190"/>
      <c r="D453" s="191"/>
      <c r="E453" s="176"/>
      <c r="F453" s="177"/>
      <c r="G453" s="192"/>
      <c r="H453" s="179"/>
      <c r="I453" s="339" t="e">
        <f>IF(#REF!="",#REF!*#REF!,IF(#REF!=0,#REF!*#REF!,#REF!*#REF!*#REF!))</f>
        <v>#REF!</v>
      </c>
      <c r="J453" s="180" t="e">
        <f>#REF!*#REF!</f>
        <v>#REF!</v>
      </c>
      <c r="K453" s="178" t="e">
        <f>#REF!*mo</f>
        <v>#REF!</v>
      </c>
      <c r="L453" s="178" t="e">
        <f t="shared" si="55"/>
        <v>#REF!</v>
      </c>
      <c r="M453" s="178" t="e">
        <f>#REF!*#REF!</f>
        <v>#REF!</v>
      </c>
      <c r="N453" s="178" t="e">
        <f>#REF!+K453+#REF!</f>
        <v>#REF!</v>
      </c>
      <c r="O453" s="181" t="e">
        <f t="shared" si="56"/>
        <v>#REF!</v>
      </c>
    </row>
    <row r="454" spans="1:15" s="193" customFormat="1" outlineLevel="2">
      <c r="A454" s="155"/>
      <c r="B454" s="212" t="s">
        <v>995</v>
      </c>
      <c r="C454" s="190" t="s">
        <v>93</v>
      </c>
      <c r="D454" s="191"/>
      <c r="E454" s="176"/>
      <c r="F454" s="177"/>
      <c r="G454" s="192"/>
      <c r="H454" s="179"/>
      <c r="I454" s="339" t="e">
        <f>IF(#REF!="",#REF!*#REF!,IF(#REF!=0,#REF!*#REF!,#REF!*#REF!*#REF!))</f>
        <v>#REF!</v>
      </c>
      <c r="J454" s="180" t="e">
        <f>#REF!*#REF!</f>
        <v>#REF!</v>
      </c>
      <c r="K454" s="178" t="e">
        <f>#REF!*mo</f>
        <v>#REF!</v>
      </c>
      <c r="L454" s="178" t="e">
        <f t="shared" si="55"/>
        <v>#REF!</v>
      </c>
      <c r="M454" s="178" t="e">
        <f>#REF!*#REF!</f>
        <v>#REF!</v>
      </c>
      <c r="N454" s="178" t="e">
        <f>#REF!+K454+#REF!</f>
        <v>#REF!</v>
      </c>
      <c r="O454" s="181" t="e">
        <f t="shared" si="56"/>
        <v>#REF!</v>
      </c>
    </row>
    <row r="455" spans="1:15" s="193" customFormat="1" outlineLevel="2">
      <c r="A455" s="155"/>
      <c r="B455" s="212" t="s">
        <v>996</v>
      </c>
      <c r="C455" s="190" t="s">
        <v>93</v>
      </c>
      <c r="D455" s="191"/>
      <c r="E455" s="176"/>
      <c r="F455" s="177"/>
      <c r="G455" s="192"/>
      <c r="H455" s="179"/>
      <c r="I455" s="339" t="e">
        <f>IF(#REF!="",#REF!*#REF!,IF(#REF!=0,#REF!*#REF!,#REF!*#REF!*#REF!))</f>
        <v>#REF!</v>
      </c>
      <c r="J455" s="180" t="e">
        <f>#REF!*#REF!</f>
        <v>#REF!</v>
      </c>
      <c r="K455" s="178" t="e">
        <f>#REF!*mo</f>
        <v>#REF!</v>
      </c>
      <c r="L455" s="178" t="e">
        <f t="shared" si="55"/>
        <v>#REF!</v>
      </c>
      <c r="M455" s="178" t="e">
        <f>#REF!*#REF!</f>
        <v>#REF!</v>
      </c>
      <c r="N455" s="178" t="e">
        <f>#REF!+K455+#REF!</f>
        <v>#REF!</v>
      </c>
      <c r="O455" s="181" t="e">
        <f t="shared" si="56"/>
        <v>#REF!</v>
      </c>
    </row>
    <row r="456" spans="1:15" s="193" customFormat="1" outlineLevel="2">
      <c r="A456" s="155"/>
      <c r="B456" s="212" t="s">
        <v>997</v>
      </c>
      <c r="C456" s="190" t="s">
        <v>93</v>
      </c>
      <c r="D456" s="191"/>
      <c r="E456" s="176"/>
      <c r="F456" s="177"/>
      <c r="G456" s="192"/>
      <c r="H456" s="179"/>
      <c r="I456" s="339" t="e">
        <f>IF(#REF!="",#REF!*#REF!,IF(#REF!=0,#REF!*#REF!,#REF!*#REF!*#REF!))</f>
        <v>#REF!</v>
      </c>
      <c r="J456" s="180" t="e">
        <f>#REF!*#REF!</f>
        <v>#REF!</v>
      </c>
      <c r="K456" s="178" t="e">
        <f>#REF!*mo</f>
        <v>#REF!</v>
      </c>
      <c r="L456" s="178" t="e">
        <f t="shared" si="55"/>
        <v>#REF!</v>
      </c>
      <c r="M456" s="178" t="e">
        <f>#REF!*#REF!</f>
        <v>#REF!</v>
      </c>
      <c r="N456" s="178" t="e">
        <f>#REF!+K456+#REF!</f>
        <v>#REF!</v>
      </c>
      <c r="O456" s="181" t="e">
        <f t="shared" si="56"/>
        <v>#REF!</v>
      </c>
    </row>
    <row r="457" spans="1:15" s="193" customFormat="1" outlineLevel="2">
      <c r="A457" s="155"/>
      <c r="B457" s="212" t="s">
        <v>998</v>
      </c>
      <c r="C457" s="190" t="s">
        <v>93</v>
      </c>
      <c r="D457" s="191"/>
      <c r="E457" s="176"/>
      <c r="F457" s="177"/>
      <c r="G457" s="192"/>
      <c r="H457" s="179"/>
      <c r="I457" s="339" t="e">
        <f>IF(#REF!="",#REF!*#REF!,IF(#REF!=0,#REF!*#REF!,#REF!*#REF!*#REF!))</f>
        <v>#REF!</v>
      </c>
      <c r="J457" s="180" t="e">
        <f>#REF!*#REF!</f>
        <v>#REF!</v>
      </c>
      <c r="K457" s="178" t="e">
        <f>#REF!*mo</f>
        <v>#REF!</v>
      </c>
      <c r="L457" s="178" t="e">
        <f t="shared" si="55"/>
        <v>#REF!</v>
      </c>
      <c r="M457" s="178" t="e">
        <f>#REF!*#REF!</f>
        <v>#REF!</v>
      </c>
      <c r="N457" s="178" t="e">
        <f>#REF!+K457+#REF!</f>
        <v>#REF!</v>
      </c>
      <c r="O457" s="181" t="e">
        <f t="shared" si="56"/>
        <v>#REF!</v>
      </c>
    </row>
    <row r="458" spans="1:15" s="193" customFormat="1" outlineLevel="2">
      <c r="A458" s="155"/>
      <c r="B458" s="212" t="s">
        <v>999</v>
      </c>
      <c r="C458" s="190" t="s">
        <v>93</v>
      </c>
      <c r="D458" s="191"/>
      <c r="E458" s="176"/>
      <c r="F458" s="177"/>
      <c r="G458" s="192"/>
      <c r="H458" s="179"/>
      <c r="I458" s="339" t="e">
        <f>IF(#REF!="",#REF!*#REF!,IF(#REF!=0,#REF!*#REF!,#REF!*#REF!*#REF!))</f>
        <v>#REF!</v>
      </c>
      <c r="J458" s="180" t="e">
        <f>#REF!*#REF!</f>
        <v>#REF!</v>
      </c>
      <c r="K458" s="178" t="e">
        <f>#REF!*mo</f>
        <v>#REF!</v>
      </c>
      <c r="L458" s="178" t="e">
        <f t="shared" si="55"/>
        <v>#REF!</v>
      </c>
      <c r="M458" s="178" t="e">
        <f>#REF!*#REF!</f>
        <v>#REF!</v>
      </c>
      <c r="N458" s="178" t="e">
        <f>#REF!+K458+#REF!</f>
        <v>#REF!</v>
      </c>
      <c r="O458" s="181" t="e">
        <f t="shared" si="56"/>
        <v>#REF!</v>
      </c>
    </row>
    <row r="459" spans="1:15" s="193" customFormat="1" outlineLevel="2">
      <c r="A459" s="155"/>
      <c r="B459" s="212" t="s">
        <v>894</v>
      </c>
      <c r="C459" s="190" t="s">
        <v>93</v>
      </c>
      <c r="D459" s="191"/>
      <c r="E459" s="176"/>
      <c r="F459" s="177"/>
      <c r="G459" s="192"/>
      <c r="H459" s="179"/>
      <c r="I459" s="339" t="e">
        <f>IF(#REF!="",#REF!*#REF!,IF(#REF!=0,#REF!*#REF!,#REF!*#REF!*#REF!))</f>
        <v>#REF!</v>
      </c>
      <c r="J459" s="180" t="e">
        <f>#REF!*#REF!</f>
        <v>#REF!</v>
      </c>
      <c r="K459" s="178" t="e">
        <f>#REF!*mo</f>
        <v>#REF!</v>
      </c>
      <c r="L459" s="178" t="e">
        <f t="shared" si="55"/>
        <v>#REF!</v>
      </c>
      <c r="M459" s="178" t="e">
        <f>#REF!*#REF!</f>
        <v>#REF!</v>
      </c>
      <c r="N459" s="178" t="e">
        <f>#REF!+K459+#REF!</f>
        <v>#REF!</v>
      </c>
      <c r="O459" s="181" t="e">
        <f t="shared" si="56"/>
        <v>#REF!</v>
      </c>
    </row>
    <row r="460" spans="1:15" s="193" customFormat="1" outlineLevel="2">
      <c r="A460" s="155"/>
      <c r="B460" s="212" t="s">
        <v>1000</v>
      </c>
      <c r="C460" s="190" t="s">
        <v>123</v>
      </c>
      <c r="D460" s="191"/>
      <c r="E460" s="176"/>
      <c r="F460" s="177"/>
      <c r="G460" s="192"/>
      <c r="H460" s="179"/>
      <c r="I460" s="339" t="e">
        <f>IF(#REF!="",#REF!*#REF!,IF(#REF!=0,#REF!*#REF!,#REF!*#REF!*#REF!))</f>
        <v>#REF!</v>
      </c>
      <c r="J460" s="180" t="e">
        <f>#REF!*#REF!</f>
        <v>#REF!</v>
      </c>
      <c r="K460" s="178" t="e">
        <f>#REF!*mo</f>
        <v>#REF!</v>
      </c>
      <c r="L460" s="178" t="e">
        <f t="shared" ref="L460" si="63">J460*mo</f>
        <v>#REF!</v>
      </c>
      <c r="M460" s="178" t="e">
        <f>#REF!*#REF!</f>
        <v>#REF!</v>
      </c>
      <c r="N460" s="178" t="e">
        <f>#REF!+K460+#REF!</f>
        <v>#REF!</v>
      </c>
      <c r="O460" s="181" t="e">
        <f t="shared" si="56"/>
        <v>#REF!</v>
      </c>
    </row>
    <row r="461" spans="1:15" s="193" customFormat="1" outlineLevel="2">
      <c r="A461" s="155"/>
      <c r="B461" s="237"/>
      <c r="C461" s="190"/>
      <c r="D461" s="191"/>
      <c r="E461" s="176"/>
      <c r="F461" s="177"/>
      <c r="G461" s="192"/>
      <c r="H461" s="179"/>
      <c r="I461" s="339" t="e">
        <f>IF(#REF!="",#REF!*#REF!,IF(#REF!=0,#REF!*#REF!,#REF!*#REF!*#REF!))</f>
        <v>#REF!</v>
      </c>
      <c r="J461" s="180" t="e">
        <f>#REF!*#REF!</f>
        <v>#REF!</v>
      </c>
      <c r="K461" s="178" t="e">
        <f>#REF!*mo</f>
        <v>#REF!</v>
      </c>
      <c r="L461" s="178" t="e">
        <f t="shared" si="55"/>
        <v>#REF!</v>
      </c>
      <c r="M461" s="178" t="e">
        <f>#REF!*#REF!</f>
        <v>#REF!</v>
      </c>
      <c r="N461" s="178" t="e">
        <f>#REF!+K461+#REF!</f>
        <v>#REF!</v>
      </c>
      <c r="O461" s="181" t="e">
        <f t="shared" si="56"/>
        <v>#REF!</v>
      </c>
    </row>
    <row r="462" spans="1:15" s="193" customFormat="1" outlineLevel="2">
      <c r="A462" s="155"/>
      <c r="B462" s="233" t="s">
        <v>1004</v>
      </c>
      <c r="C462" s="190"/>
      <c r="D462" s="191"/>
      <c r="E462" s="176"/>
      <c r="F462" s="177"/>
      <c r="G462" s="192"/>
      <c r="H462" s="179"/>
      <c r="I462" s="339" t="e">
        <f>IF(#REF!="",#REF!*#REF!,IF(#REF!=0,#REF!*#REF!,#REF!*#REF!*#REF!))</f>
        <v>#REF!</v>
      </c>
      <c r="J462" s="180" t="e">
        <f>#REF!*#REF!</f>
        <v>#REF!</v>
      </c>
      <c r="K462" s="178" t="e">
        <f>#REF!*mo</f>
        <v>#REF!</v>
      </c>
      <c r="L462" s="178" t="e">
        <f t="shared" si="55"/>
        <v>#REF!</v>
      </c>
      <c r="M462" s="178" t="e">
        <f>#REF!*#REF!</f>
        <v>#REF!</v>
      </c>
      <c r="N462" s="178" t="e">
        <f>#REF!+K462+#REF!</f>
        <v>#REF!</v>
      </c>
      <c r="O462" s="181" t="e">
        <f t="shared" si="56"/>
        <v>#REF!</v>
      </c>
    </row>
    <row r="463" spans="1:15" s="193" customFormat="1" outlineLevel="2">
      <c r="A463" s="155"/>
      <c r="B463" s="212" t="s">
        <v>995</v>
      </c>
      <c r="C463" s="190" t="s">
        <v>93</v>
      </c>
      <c r="D463" s="191"/>
      <c r="E463" s="176"/>
      <c r="F463" s="177"/>
      <c r="G463" s="192"/>
      <c r="H463" s="179"/>
      <c r="I463" s="339" t="e">
        <f>IF(#REF!="",#REF!*#REF!,IF(#REF!=0,#REF!*#REF!,#REF!*#REF!*#REF!))</f>
        <v>#REF!</v>
      </c>
      <c r="J463" s="180" t="e">
        <f>#REF!*#REF!</f>
        <v>#REF!</v>
      </c>
      <c r="K463" s="178" t="e">
        <f>#REF!*mo</f>
        <v>#REF!</v>
      </c>
      <c r="L463" s="178" t="e">
        <f t="shared" si="55"/>
        <v>#REF!</v>
      </c>
      <c r="M463" s="178" t="e">
        <f>#REF!*#REF!</f>
        <v>#REF!</v>
      </c>
      <c r="N463" s="178" t="e">
        <f>#REF!+K463+#REF!</f>
        <v>#REF!</v>
      </c>
      <c r="O463" s="181" t="e">
        <f t="shared" si="56"/>
        <v>#REF!</v>
      </c>
    </row>
    <row r="464" spans="1:15" s="193" customFormat="1" outlineLevel="2">
      <c r="A464" s="155"/>
      <c r="B464" s="212" t="s">
        <v>996</v>
      </c>
      <c r="C464" s="190" t="s">
        <v>93</v>
      </c>
      <c r="D464" s="191"/>
      <c r="E464" s="176"/>
      <c r="F464" s="177"/>
      <c r="G464" s="192"/>
      <c r="H464" s="179"/>
      <c r="I464" s="339" t="e">
        <f>IF(#REF!="",#REF!*#REF!,IF(#REF!=0,#REF!*#REF!,#REF!*#REF!*#REF!))</f>
        <v>#REF!</v>
      </c>
      <c r="J464" s="180" t="e">
        <f>#REF!*#REF!</f>
        <v>#REF!</v>
      </c>
      <c r="K464" s="178" t="e">
        <f>#REF!*mo</f>
        <v>#REF!</v>
      </c>
      <c r="L464" s="178" t="e">
        <f t="shared" si="55"/>
        <v>#REF!</v>
      </c>
      <c r="M464" s="178" t="e">
        <f>#REF!*#REF!</f>
        <v>#REF!</v>
      </c>
      <c r="N464" s="178" t="e">
        <f>#REF!+K464+#REF!</f>
        <v>#REF!</v>
      </c>
      <c r="O464" s="181" t="e">
        <f t="shared" si="56"/>
        <v>#REF!</v>
      </c>
    </row>
    <row r="465" spans="1:15" s="193" customFormat="1" outlineLevel="2">
      <c r="A465" s="155"/>
      <c r="B465" s="212" t="s">
        <v>997</v>
      </c>
      <c r="C465" s="190" t="s">
        <v>93</v>
      </c>
      <c r="D465" s="191"/>
      <c r="E465" s="176"/>
      <c r="F465" s="177"/>
      <c r="G465" s="192"/>
      <c r="H465" s="179"/>
      <c r="I465" s="339" t="e">
        <f>IF(#REF!="",#REF!*#REF!,IF(#REF!=0,#REF!*#REF!,#REF!*#REF!*#REF!))</f>
        <v>#REF!</v>
      </c>
      <c r="J465" s="180" t="e">
        <f>#REF!*#REF!</f>
        <v>#REF!</v>
      </c>
      <c r="K465" s="178" t="e">
        <f>#REF!*mo</f>
        <v>#REF!</v>
      </c>
      <c r="L465" s="178" t="e">
        <f t="shared" si="55"/>
        <v>#REF!</v>
      </c>
      <c r="M465" s="178" t="e">
        <f>#REF!*#REF!</f>
        <v>#REF!</v>
      </c>
      <c r="N465" s="178" t="e">
        <f>#REF!+K465+#REF!</f>
        <v>#REF!</v>
      </c>
      <c r="O465" s="181" t="e">
        <f t="shared" si="56"/>
        <v>#REF!</v>
      </c>
    </row>
    <row r="466" spans="1:15" s="193" customFormat="1" outlineLevel="2">
      <c r="A466" s="155"/>
      <c r="B466" s="212" t="s">
        <v>998</v>
      </c>
      <c r="C466" s="190" t="s">
        <v>93</v>
      </c>
      <c r="D466" s="191"/>
      <c r="E466" s="176"/>
      <c r="F466" s="177"/>
      <c r="G466" s="192"/>
      <c r="H466" s="179"/>
      <c r="I466" s="339" t="e">
        <f>IF(#REF!="",#REF!*#REF!,IF(#REF!=0,#REF!*#REF!,#REF!*#REF!*#REF!))</f>
        <v>#REF!</v>
      </c>
      <c r="J466" s="180" t="e">
        <f>#REF!*#REF!</f>
        <v>#REF!</v>
      </c>
      <c r="K466" s="178" t="e">
        <f>#REF!*mo</f>
        <v>#REF!</v>
      </c>
      <c r="L466" s="178" t="e">
        <f t="shared" si="55"/>
        <v>#REF!</v>
      </c>
      <c r="M466" s="178" t="e">
        <f>#REF!*#REF!</f>
        <v>#REF!</v>
      </c>
      <c r="N466" s="178" t="e">
        <f>#REF!+K466+#REF!</f>
        <v>#REF!</v>
      </c>
      <c r="O466" s="181" t="e">
        <f t="shared" si="56"/>
        <v>#REF!</v>
      </c>
    </row>
    <row r="467" spans="1:15" s="193" customFormat="1" outlineLevel="2">
      <c r="A467" s="155"/>
      <c r="B467" s="212" t="s">
        <v>999</v>
      </c>
      <c r="C467" s="190" t="s">
        <v>93</v>
      </c>
      <c r="D467" s="191"/>
      <c r="E467" s="176"/>
      <c r="F467" s="177"/>
      <c r="G467" s="192"/>
      <c r="H467" s="179"/>
      <c r="I467" s="339" t="e">
        <f>IF(#REF!="",#REF!*#REF!,IF(#REF!=0,#REF!*#REF!,#REF!*#REF!*#REF!))</f>
        <v>#REF!</v>
      </c>
      <c r="J467" s="180" t="e">
        <f>#REF!*#REF!</f>
        <v>#REF!</v>
      </c>
      <c r="K467" s="178" t="e">
        <f>#REF!*mo</f>
        <v>#REF!</v>
      </c>
      <c r="L467" s="178" t="e">
        <f t="shared" si="55"/>
        <v>#REF!</v>
      </c>
      <c r="M467" s="178" t="e">
        <f>#REF!*#REF!</f>
        <v>#REF!</v>
      </c>
      <c r="N467" s="178" t="e">
        <f>#REF!+K467+#REF!</f>
        <v>#REF!</v>
      </c>
      <c r="O467" s="181" t="e">
        <f t="shared" si="56"/>
        <v>#REF!</v>
      </c>
    </row>
    <row r="468" spans="1:15" s="193" customFormat="1" outlineLevel="2">
      <c r="A468" s="155"/>
      <c r="B468" s="212" t="s">
        <v>894</v>
      </c>
      <c r="C468" s="190" t="s">
        <v>93</v>
      </c>
      <c r="D468" s="191"/>
      <c r="E468" s="176"/>
      <c r="F468" s="177"/>
      <c r="G468" s="192"/>
      <c r="H468" s="179"/>
      <c r="I468" s="339" t="e">
        <f>IF(#REF!="",#REF!*#REF!,IF(#REF!=0,#REF!*#REF!,#REF!*#REF!*#REF!))</f>
        <v>#REF!</v>
      </c>
      <c r="J468" s="180" t="e">
        <f>#REF!*#REF!</f>
        <v>#REF!</v>
      </c>
      <c r="K468" s="178" t="e">
        <f>#REF!*mo</f>
        <v>#REF!</v>
      </c>
      <c r="L468" s="178" t="e">
        <f t="shared" si="55"/>
        <v>#REF!</v>
      </c>
      <c r="M468" s="178" t="e">
        <f>#REF!*#REF!</f>
        <v>#REF!</v>
      </c>
      <c r="N468" s="178" t="e">
        <f>#REF!+K468+#REF!</f>
        <v>#REF!</v>
      </c>
      <c r="O468" s="181" t="e">
        <f t="shared" si="56"/>
        <v>#REF!</v>
      </c>
    </row>
    <row r="469" spans="1:15" s="193" customFormat="1" outlineLevel="2">
      <c r="A469" s="155"/>
      <c r="B469" s="212" t="s">
        <v>1000</v>
      </c>
      <c r="C469" s="190" t="s">
        <v>123</v>
      </c>
      <c r="D469" s="191"/>
      <c r="E469" s="176"/>
      <c r="F469" s="177"/>
      <c r="G469" s="192"/>
      <c r="H469" s="179"/>
      <c r="I469" s="339" t="e">
        <f>IF(#REF!="",#REF!*#REF!,IF(#REF!=0,#REF!*#REF!,#REF!*#REF!*#REF!))</f>
        <v>#REF!</v>
      </c>
      <c r="J469" s="180" t="e">
        <f>#REF!*#REF!</f>
        <v>#REF!</v>
      </c>
      <c r="K469" s="178" t="e">
        <f>#REF!*mo</f>
        <v>#REF!</v>
      </c>
      <c r="L469" s="178" t="e">
        <f t="shared" si="55"/>
        <v>#REF!</v>
      </c>
      <c r="M469" s="178" t="e">
        <f>#REF!*#REF!</f>
        <v>#REF!</v>
      </c>
      <c r="N469" s="178" t="e">
        <f>#REF!+K469+#REF!</f>
        <v>#REF!</v>
      </c>
      <c r="O469" s="181" t="e">
        <f t="shared" si="56"/>
        <v>#REF!</v>
      </c>
    </row>
    <row r="470" spans="1:15" s="193" customFormat="1" outlineLevel="2">
      <c r="A470" s="155"/>
      <c r="B470" s="156"/>
      <c r="C470" s="190"/>
      <c r="D470" s="191"/>
      <c r="E470" s="176"/>
      <c r="F470" s="177"/>
      <c r="G470" s="192"/>
      <c r="H470" s="179"/>
      <c r="I470" s="339" t="e">
        <f>IF(#REF!="",#REF!*#REF!,IF(#REF!=0,#REF!*#REF!,#REF!*#REF!*#REF!))</f>
        <v>#REF!</v>
      </c>
      <c r="J470" s="180" t="e">
        <f>#REF!*#REF!</f>
        <v>#REF!</v>
      </c>
      <c r="K470" s="178" t="e">
        <f>#REF!*mo</f>
        <v>#REF!</v>
      </c>
      <c r="L470" s="178" t="e">
        <f t="shared" si="55"/>
        <v>#REF!</v>
      </c>
      <c r="M470" s="178" t="e">
        <f>#REF!*#REF!</f>
        <v>#REF!</v>
      </c>
      <c r="N470" s="178" t="e">
        <f>#REF!+K470+#REF!</f>
        <v>#REF!</v>
      </c>
      <c r="O470" s="181" t="e">
        <f t="shared" si="56"/>
        <v>#REF!</v>
      </c>
    </row>
    <row r="471" spans="1:15" s="193" customFormat="1" outlineLevel="2">
      <c r="A471" s="155"/>
      <c r="B471" s="156" t="s">
        <v>1005</v>
      </c>
      <c r="C471" s="190" t="s">
        <v>795</v>
      </c>
      <c r="D471" s="191"/>
      <c r="E471" s="176"/>
      <c r="F471" s="177"/>
      <c r="G471" s="192"/>
      <c r="H471" s="179"/>
      <c r="I471" s="339" t="e">
        <f>IF(#REF!="",#REF!*#REF!,IF(#REF!=0,#REF!*#REF!,#REF!*#REF!*#REF!))</f>
        <v>#REF!</v>
      </c>
      <c r="J471" s="180" t="e">
        <f>#REF!*#REF!</f>
        <v>#REF!</v>
      </c>
      <c r="K471" s="178" t="e">
        <f>#REF!*mo</f>
        <v>#REF!</v>
      </c>
      <c r="L471" s="178" t="e">
        <f>J471*mo</f>
        <v>#REF!</v>
      </c>
      <c r="M471" s="178" t="e">
        <f>#REF!*#REF!</f>
        <v>#REF!</v>
      </c>
      <c r="N471" s="178" t="e">
        <f>#REF!+K471+#REF!</f>
        <v>#REF!</v>
      </c>
      <c r="O471" s="181" t="e">
        <f>M471+L471+I471</f>
        <v>#REF!</v>
      </c>
    </row>
    <row r="472" spans="1:15" s="193" customFormat="1" outlineLevel="2">
      <c r="A472" s="155"/>
      <c r="B472" s="197" t="s">
        <v>905</v>
      </c>
      <c r="C472" s="190"/>
      <c r="D472" s="191"/>
      <c r="E472" s="176"/>
      <c r="F472" s="177"/>
      <c r="G472" s="192"/>
      <c r="H472" s="179"/>
      <c r="I472" s="339"/>
      <c r="J472" s="180"/>
      <c r="K472" s="178"/>
      <c r="L472" s="178"/>
      <c r="M472" s="178"/>
      <c r="N472" s="178"/>
      <c r="O472" s="181"/>
    </row>
    <row r="473" spans="1:15" s="193" customFormat="1" outlineLevel="2">
      <c r="A473" s="155"/>
      <c r="B473" s="197" t="s">
        <v>906</v>
      </c>
      <c r="C473" s="190"/>
      <c r="D473" s="191"/>
      <c r="E473" s="176"/>
      <c r="F473" s="177"/>
      <c r="G473" s="192"/>
      <c r="H473" s="179"/>
      <c r="I473" s="339"/>
      <c r="J473" s="180"/>
      <c r="K473" s="178"/>
      <c r="L473" s="178"/>
      <c r="M473" s="178"/>
      <c r="N473" s="178"/>
      <c r="O473" s="181"/>
    </row>
    <row r="474" spans="1:15" s="193" customFormat="1" outlineLevel="2">
      <c r="A474" s="155"/>
      <c r="B474" s="197" t="s">
        <v>1006</v>
      </c>
      <c r="C474" s="190"/>
      <c r="D474" s="191"/>
      <c r="E474" s="176"/>
      <c r="F474" s="177"/>
      <c r="G474" s="192"/>
      <c r="H474" s="179"/>
      <c r="I474" s="339"/>
      <c r="J474" s="180"/>
      <c r="K474" s="178"/>
      <c r="L474" s="178"/>
      <c r="M474" s="178"/>
      <c r="N474" s="178"/>
      <c r="O474" s="181"/>
    </row>
    <row r="475" spans="1:15" s="193" customFormat="1" outlineLevel="2">
      <c r="A475" s="155"/>
      <c r="B475" s="197" t="s">
        <v>907</v>
      </c>
      <c r="C475" s="190"/>
      <c r="D475" s="191"/>
      <c r="E475" s="176"/>
      <c r="F475" s="177"/>
      <c r="G475" s="192"/>
      <c r="H475" s="179"/>
      <c r="I475" s="339"/>
      <c r="J475" s="180"/>
      <c r="K475" s="178"/>
      <c r="L475" s="178"/>
      <c r="M475" s="178"/>
      <c r="N475" s="178"/>
      <c r="O475" s="181"/>
    </row>
    <row r="476" spans="1:15" s="193" customFormat="1" outlineLevel="2">
      <c r="A476" s="155"/>
      <c r="B476" s="237"/>
      <c r="C476" s="190"/>
      <c r="D476" s="191"/>
      <c r="E476" s="176"/>
      <c r="F476" s="177"/>
      <c r="G476" s="192"/>
      <c r="H476" s="179"/>
      <c r="I476" s="339"/>
      <c r="J476" s="180"/>
      <c r="K476" s="178"/>
      <c r="L476" s="178"/>
      <c r="M476" s="178"/>
      <c r="N476" s="178"/>
      <c r="O476" s="181"/>
    </row>
    <row r="477" spans="1:15" s="193" customFormat="1" outlineLevel="1">
      <c r="A477" s="157" t="str">
        <f>$A$413&amp;".2"</f>
        <v>5.2.2</v>
      </c>
      <c r="B477" s="210" t="s">
        <v>1007</v>
      </c>
      <c r="C477" s="190"/>
      <c r="D477" s="191"/>
      <c r="E477" s="176"/>
      <c r="F477" s="177"/>
      <c r="G477" s="192">
        <f>SUM(F478:F486)</f>
        <v>0</v>
      </c>
      <c r="H477" s="179"/>
      <c r="I477" s="339" t="e">
        <f>IF(#REF!="",#REF!*#REF!,IF(#REF!=0,#REF!*#REF!,#REF!*#REF!*#REF!))</f>
        <v>#REF!</v>
      </c>
      <c r="J477" s="180" t="e">
        <f>#REF!*#REF!</f>
        <v>#REF!</v>
      </c>
      <c r="K477" s="178" t="e">
        <f>#REF!*mo</f>
        <v>#REF!</v>
      </c>
      <c r="L477" s="178" t="e">
        <f t="shared" ref="L477:L484" si="64">J477*mo</f>
        <v>#REF!</v>
      </c>
      <c r="M477" s="178" t="e">
        <f>#REF!*#REF!</f>
        <v>#REF!</v>
      </c>
      <c r="N477" s="178" t="e">
        <f>#REF!+K477+#REF!</f>
        <v>#REF!</v>
      </c>
      <c r="O477" s="181" t="e">
        <f t="shared" ref="O477:O484" si="65">M477+L477+I477</f>
        <v>#REF!</v>
      </c>
    </row>
    <row r="478" spans="1:15" s="193" customFormat="1" outlineLevel="2">
      <c r="A478" s="211"/>
      <c r="B478" s="210"/>
      <c r="C478" s="190"/>
      <c r="D478" s="191"/>
      <c r="E478" s="176"/>
      <c r="F478" s="177"/>
      <c r="G478" s="192"/>
      <c r="H478" s="179"/>
      <c r="I478" s="339" t="e">
        <f>IF(#REF!="",#REF!*#REF!,IF(#REF!=0,#REF!*#REF!,#REF!*#REF!*#REF!))</f>
        <v>#REF!</v>
      </c>
      <c r="J478" s="180" t="e">
        <f>#REF!*#REF!</f>
        <v>#REF!</v>
      </c>
      <c r="K478" s="178" t="e">
        <f>#REF!*mo</f>
        <v>#REF!</v>
      </c>
      <c r="L478" s="178" t="e">
        <f t="shared" si="64"/>
        <v>#REF!</v>
      </c>
      <c r="M478" s="178" t="e">
        <f>#REF!*#REF!</f>
        <v>#REF!</v>
      </c>
      <c r="N478" s="178" t="e">
        <f>#REF!+K478+#REF!</f>
        <v>#REF!</v>
      </c>
      <c r="O478" s="181" t="e">
        <f t="shared" si="65"/>
        <v>#REF!</v>
      </c>
    </row>
    <row r="479" spans="1:15" s="193" customFormat="1" outlineLevel="2">
      <c r="A479" s="211"/>
      <c r="B479" s="212" t="s">
        <v>1008</v>
      </c>
      <c r="C479" s="190" t="s">
        <v>795</v>
      </c>
      <c r="D479" s="191"/>
      <c r="E479" s="176"/>
      <c r="F479" s="177"/>
      <c r="G479" s="192"/>
      <c r="H479" s="179"/>
      <c r="I479" s="339" t="e">
        <f>IF(#REF!="",#REF!*#REF!,IF(#REF!=0,#REF!*#REF!,#REF!*#REF!*#REF!))</f>
        <v>#REF!</v>
      </c>
      <c r="J479" s="180" t="e">
        <f>#REF!*#REF!</f>
        <v>#REF!</v>
      </c>
      <c r="K479" s="178" t="e">
        <f>#REF!*mo</f>
        <v>#REF!</v>
      </c>
      <c r="L479" s="178" t="e">
        <f t="shared" si="64"/>
        <v>#REF!</v>
      </c>
      <c r="M479" s="178" t="e">
        <f>#REF!*#REF!</f>
        <v>#REF!</v>
      </c>
      <c r="N479" s="178" t="e">
        <f>#REF!+K479+#REF!</f>
        <v>#REF!</v>
      </c>
      <c r="O479" s="181" t="e">
        <f t="shared" si="65"/>
        <v>#REF!</v>
      </c>
    </row>
    <row r="480" spans="1:15" s="193" customFormat="1" outlineLevel="2">
      <c r="A480" s="211"/>
      <c r="B480" s="212" t="s">
        <v>1009</v>
      </c>
      <c r="C480" s="190" t="s">
        <v>795</v>
      </c>
      <c r="D480" s="191"/>
      <c r="E480" s="176"/>
      <c r="F480" s="177"/>
      <c r="G480" s="192"/>
      <c r="H480" s="179"/>
      <c r="I480" s="339" t="e">
        <f>IF(#REF!="",#REF!*#REF!,IF(#REF!=0,#REF!*#REF!,#REF!*#REF!*#REF!))</f>
        <v>#REF!</v>
      </c>
      <c r="J480" s="180" t="e">
        <f>#REF!*#REF!</f>
        <v>#REF!</v>
      </c>
      <c r="K480" s="178" t="e">
        <f>#REF!*mo</f>
        <v>#REF!</v>
      </c>
      <c r="L480" s="178" t="e">
        <f t="shared" si="64"/>
        <v>#REF!</v>
      </c>
      <c r="M480" s="178" t="e">
        <f>#REF!*#REF!</f>
        <v>#REF!</v>
      </c>
      <c r="N480" s="178" t="e">
        <f>#REF!+K480+#REF!</f>
        <v>#REF!</v>
      </c>
      <c r="O480" s="181" t="e">
        <f t="shared" si="65"/>
        <v>#REF!</v>
      </c>
    </row>
    <row r="481" spans="1:15" s="193" customFormat="1" outlineLevel="2">
      <c r="A481" s="211"/>
      <c r="B481" s="212" t="s">
        <v>1010</v>
      </c>
      <c r="C481" s="190" t="s">
        <v>795</v>
      </c>
      <c r="D481" s="191"/>
      <c r="E481" s="176"/>
      <c r="F481" s="177"/>
      <c r="G481" s="192"/>
      <c r="H481" s="179"/>
      <c r="I481" s="339" t="e">
        <f>IF(#REF!="",#REF!*#REF!,IF(#REF!=0,#REF!*#REF!,#REF!*#REF!*#REF!))</f>
        <v>#REF!</v>
      </c>
      <c r="J481" s="180" t="e">
        <f>#REF!*#REF!</f>
        <v>#REF!</v>
      </c>
      <c r="K481" s="178" t="e">
        <f>#REF!*mo</f>
        <v>#REF!</v>
      </c>
      <c r="L481" s="178" t="e">
        <f t="shared" si="64"/>
        <v>#REF!</v>
      </c>
      <c r="M481" s="178" t="e">
        <f>#REF!*#REF!</f>
        <v>#REF!</v>
      </c>
      <c r="N481" s="178" t="e">
        <f>#REF!+K481+#REF!</f>
        <v>#REF!</v>
      </c>
      <c r="O481" s="181" t="e">
        <f t="shared" si="65"/>
        <v>#REF!</v>
      </c>
    </row>
    <row r="482" spans="1:15" s="193" customFormat="1" outlineLevel="2">
      <c r="A482" s="211"/>
      <c r="B482" s="212" t="s">
        <v>1011</v>
      </c>
      <c r="C482" s="190" t="s">
        <v>795</v>
      </c>
      <c r="D482" s="191"/>
      <c r="E482" s="176"/>
      <c r="F482" s="177"/>
      <c r="G482" s="192"/>
      <c r="H482" s="179"/>
      <c r="I482" s="339" t="e">
        <f>IF(#REF!="",#REF!*#REF!,IF(#REF!=0,#REF!*#REF!,#REF!*#REF!*#REF!))</f>
        <v>#REF!</v>
      </c>
      <c r="J482" s="180" t="e">
        <f>#REF!*#REF!</f>
        <v>#REF!</v>
      </c>
      <c r="K482" s="178" t="e">
        <f>#REF!*mo</f>
        <v>#REF!</v>
      </c>
      <c r="L482" s="178" t="e">
        <f t="shared" si="64"/>
        <v>#REF!</v>
      </c>
      <c r="M482" s="178" t="e">
        <f>#REF!*#REF!</f>
        <v>#REF!</v>
      </c>
      <c r="N482" s="178" t="e">
        <f>#REF!+K482+#REF!</f>
        <v>#REF!</v>
      </c>
      <c r="O482" s="181" t="e">
        <f t="shared" si="65"/>
        <v>#REF!</v>
      </c>
    </row>
    <row r="483" spans="1:15" s="193" customFormat="1" outlineLevel="2">
      <c r="A483" s="211"/>
      <c r="B483" s="212" t="s">
        <v>912</v>
      </c>
      <c r="C483" s="190" t="s">
        <v>795</v>
      </c>
      <c r="D483" s="191"/>
      <c r="E483" s="176"/>
      <c r="F483" s="177"/>
      <c r="G483" s="192"/>
      <c r="H483" s="179"/>
      <c r="I483" s="339" t="e">
        <f>IF(#REF!="",#REF!*#REF!,IF(#REF!=0,#REF!*#REF!,#REF!*#REF!*#REF!))</f>
        <v>#REF!</v>
      </c>
      <c r="J483" s="180" t="e">
        <f>#REF!*#REF!</f>
        <v>#REF!</v>
      </c>
      <c r="K483" s="178" t="e">
        <f>#REF!*mo</f>
        <v>#REF!</v>
      </c>
      <c r="L483" s="178" t="e">
        <f t="shared" si="64"/>
        <v>#REF!</v>
      </c>
      <c r="M483" s="178" t="e">
        <f>#REF!*#REF!</f>
        <v>#REF!</v>
      </c>
      <c r="N483" s="178" t="e">
        <f>#REF!+K483+#REF!</f>
        <v>#REF!</v>
      </c>
      <c r="O483" s="181" t="e">
        <f t="shared" si="65"/>
        <v>#REF!</v>
      </c>
    </row>
    <row r="484" spans="1:15" s="193" customFormat="1" outlineLevel="2">
      <c r="A484" s="211"/>
      <c r="B484" s="212"/>
      <c r="C484" s="190"/>
      <c r="D484" s="191"/>
      <c r="E484" s="176"/>
      <c r="F484" s="177"/>
      <c r="G484" s="192"/>
      <c r="H484" s="179"/>
      <c r="I484" s="339" t="e">
        <f>IF(#REF!="",#REF!*#REF!,IF(#REF!=0,#REF!*#REF!,#REF!*#REF!*#REF!))</f>
        <v>#REF!</v>
      </c>
      <c r="J484" s="180" t="e">
        <f>#REF!*#REF!</f>
        <v>#REF!</v>
      </c>
      <c r="K484" s="178" t="e">
        <f>#REF!*mo</f>
        <v>#REF!</v>
      </c>
      <c r="L484" s="178" t="e">
        <f t="shared" si="64"/>
        <v>#REF!</v>
      </c>
      <c r="M484" s="178" t="e">
        <f>#REF!*#REF!</f>
        <v>#REF!</v>
      </c>
      <c r="N484" s="178" t="e">
        <f>#REF!+K484+#REF!</f>
        <v>#REF!</v>
      </c>
      <c r="O484" s="181" t="e">
        <f t="shared" si="65"/>
        <v>#REF!</v>
      </c>
    </row>
    <row r="485" spans="1:15" s="193" customFormat="1" outlineLevel="1">
      <c r="A485" s="155"/>
      <c r="B485" s="198" t="str">
        <f>"Total "&amp;B413</f>
        <v>Total DISTRIBUTION EF</v>
      </c>
      <c r="C485" s="190"/>
      <c r="D485" s="191"/>
      <c r="E485" s="176"/>
      <c r="F485" s="177"/>
      <c r="G485" s="192"/>
      <c r="H485" s="179">
        <f>SUM(G414:G486)</f>
        <v>0</v>
      </c>
      <c r="I485" s="339" t="e">
        <f>IF(#REF!="",#REF!*#REF!,IF(#REF!=0,#REF!*#REF!,#REF!*#REF!*#REF!))</f>
        <v>#REF!</v>
      </c>
      <c r="J485" s="180" t="e">
        <f>#REF!*#REF!</f>
        <v>#REF!</v>
      </c>
      <c r="K485" s="178" t="e">
        <f>#REF!*mo</f>
        <v>#REF!</v>
      </c>
      <c r="L485" s="178" t="e">
        <f t="shared" si="55"/>
        <v>#REF!</v>
      </c>
      <c r="M485" s="178" t="e">
        <f>#REF!*#REF!</f>
        <v>#REF!</v>
      </c>
      <c r="N485" s="178" t="e">
        <f>#REF!+K485+#REF!</f>
        <v>#REF!</v>
      </c>
      <c r="O485" s="181" t="e">
        <f t="shared" si="56"/>
        <v>#REF!</v>
      </c>
    </row>
    <row r="486" spans="1:15" s="193" customFormat="1" outlineLevel="1">
      <c r="A486" s="155"/>
      <c r="B486" s="198"/>
      <c r="C486" s="190"/>
      <c r="D486" s="191"/>
      <c r="E486" s="176"/>
      <c r="F486" s="177"/>
      <c r="G486" s="192"/>
      <c r="H486" s="235"/>
      <c r="I486" s="339"/>
      <c r="J486" s="180"/>
      <c r="K486" s="178"/>
      <c r="L486" s="178"/>
      <c r="M486" s="178"/>
      <c r="N486" s="178"/>
      <c r="O486" s="181"/>
    </row>
    <row r="487" spans="1:15" s="209" customFormat="1" outlineLevel="1">
      <c r="A487" s="157" t="str">
        <f>$A$384&amp;".3"</f>
        <v>5.3</v>
      </c>
      <c r="B487" s="158" t="s">
        <v>1012</v>
      </c>
      <c r="C487" s="195"/>
      <c r="D487" s="170"/>
      <c r="E487" s="176"/>
      <c r="F487" s="177"/>
      <c r="G487" s="192"/>
      <c r="H487" s="196"/>
      <c r="I487" s="339" t="e">
        <f>IF(#REF!="",#REF!*#REF!,IF(#REF!=0,#REF!*#REF!,#REF!*#REF!*#REF!))</f>
        <v>#REF!</v>
      </c>
      <c r="J487" s="180" t="e">
        <f>#REF!*#REF!</f>
        <v>#REF!</v>
      </c>
      <c r="K487" s="178" t="e">
        <f>#REF!*mo</f>
        <v>#REF!</v>
      </c>
      <c r="L487" s="178" t="e">
        <f t="shared" si="55"/>
        <v>#REF!</v>
      </c>
      <c r="M487" s="178" t="e">
        <f>#REF!*#REF!</f>
        <v>#REF!</v>
      </c>
      <c r="N487" s="178" t="e">
        <f>#REF!+K487+#REF!</f>
        <v>#REF!</v>
      </c>
      <c r="O487" s="181" t="e">
        <f t="shared" si="56"/>
        <v>#REF!</v>
      </c>
    </row>
    <row r="488" spans="1:15" s="209" customFormat="1" outlineLevel="1">
      <c r="A488" s="157" t="str">
        <f>$A$487&amp;".1"</f>
        <v>5.3.1</v>
      </c>
      <c r="B488" s="158" t="s">
        <v>1013</v>
      </c>
      <c r="C488" s="195"/>
      <c r="D488" s="170"/>
      <c r="E488" s="176"/>
      <c r="F488" s="177"/>
      <c r="G488" s="192">
        <f>SUM(F489:F497)</f>
        <v>0</v>
      </c>
      <c r="H488" s="179"/>
      <c r="I488" s="339" t="e">
        <f>IF(#REF!="",#REF!*#REF!,IF(#REF!=0,#REF!*#REF!,#REF!*#REF!*#REF!))</f>
        <v>#REF!</v>
      </c>
      <c r="J488" s="180" t="e">
        <f>#REF!*#REF!</f>
        <v>#REF!</v>
      </c>
      <c r="K488" s="178" t="e">
        <f>#REF!*mo</f>
        <v>#REF!</v>
      </c>
      <c r="L488" s="178" t="e">
        <f t="shared" si="55"/>
        <v>#REF!</v>
      </c>
      <c r="M488" s="178" t="e">
        <f>#REF!*#REF!</f>
        <v>#REF!</v>
      </c>
      <c r="N488" s="178" t="e">
        <f>#REF!+K488+#REF!</f>
        <v>#REF!</v>
      </c>
      <c r="O488" s="181" t="e">
        <f t="shared" si="56"/>
        <v>#REF!</v>
      </c>
    </row>
    <row r="489" spans="1:15" s="193" customFormat="1" outlineLevel="2">
      <c r="A489" s="155"/>
      <c r="B489" s="156"/>
      <c r="C489" s="190"/>
      <c r="D489" s="191"/>
      <c r="E489" s="176"/>
      <c r="F489" s="177"/>
      <c r="G489" s="192"/>
      <c r="H489" s="179"/>
      <c r="I489" s="339" t="e">
        <f>IF(#REF!="",#REF!*#REF!,IF(#REF!=0,#REF!*#REF!,#REF!*#REF!*#REF!))</f>
        <v>#REF!</v>
      </c>
      <c r="J489" s="180" t="e">
        <f>#REF!*#REF!</f>
        <v>#REF!</v>
      </c>
      <c r="K489" s="178" t="e">
        <f>#REF!*mo</f>
        <v>#REF!</v>
      </c>
      <c r="L489" s="178" t="e">
        <f t="shared" si="55"/>
        <v>#REF!</v>
      </c>
      <c r="M489" s="178" t="e">
        <f>#REF!*#REF!</f>
        <v>#REF!</v>
      </c>
      <c r="N489" s="178" t="e">
        <f>#REF!+K489+#REF!</f>
        <v>#REF!</v>
      </c>
      <c r="O489" s="181" t="e">
        <f t="shared" si="56"/>
        <v>#REF!</v>
      </c>
    </row>
    <row r="490" spans="1:15" s="193" customFormat="1" outlineLevel="2">
      <c r="A490" s="155"/>
      <c r="B490" s="233" t="s">
        <v>1014</v>
      </c>
      <c r="C490" s="190"/>
      <c r="D490" s="191"/>
      <c r="E490" s="176"/>
      <c r="F490" s="177"/>
      <c r="G490" s="192"/>
      <c r="H490" s="179"/>
      <c r="I490" s="339" t="e">
        <f>IF(#REF!="",#REF!*#REF!,IF(#REF!=0,#REF!*#REF!,#REF!*#REF!*#REF!))</f>
        <v>#REF!</v>
      </c>
      <c r="J490" s="180" t="e">
        <f>#REF!*#REF!</f>
        <v>#REF!</v>
      </c>
      <c r="K490" s="178" t="e">
        <f>#REF!*mo</f>
        <v>#REF!</v>
      </c>
      <c r="L490" s="178" t="e">
        <f t="shared" si="55"/>
        <v>#REF!</v>
      </c>
      <c r="M490" s="178" t="e">
        <f>#REF!*#REF!</f>
        <v>#REF!</v>
      </c>
      <c r="N490" s="178" t="e">
        <f>#REF!+K490+#REF!</f>
        <v>#REF!</v>
      </c>
      <c r="O490" s="181" t="e">
        <f t="shared" si="56"/>
        <v>#REF!</v>
      </c>
    </row>
    <row r="491" spans="1:15" s="193" customFormat="1" outlineLevel="2">
      <c r="A491" s="155"/>
      <c r="B491" s="212" t="s">
        <v>875</v>
      </c>
      <c r="C491" s="190" t="s">
        <v>93</v>
      </c>
      <c r="D491" s="191"/>
      <c r="E491" s="176"/>
      <c r="F491" s="177"/>
      <c r="G491" s="192"/>
      <c r="H491" s="179"/>
      <c r="I491" s="339" t="e">
        <f>IF(#REF!="",#REF!*#REF!,IF(#REF!=0,#REF!*#REF!,#REF!*#REF!*#REF!))</f>
        <v>#REF!</v>
      </c>
      <c r="J491" s="180" t="e">
        <f>#REF!*#REF!</f>
        <v>#REF!</v>
      </c>
      <c r="K491" s="178" t="e">
        <f>#REF!*mo</f>
        <v>#REF!</v>
      </c>
      <c r="L491" s="178" t="e">
        <f t="shared" si="55"/>
        <v>#REF!</v>
      </c>
      <c r="M491" s="178" t="e">
        <f>#REF!*#REF!</f>
        <v>#REF!</v>
      </c>
      <c r="N491" s="178" t="e">
        <f>#REF!+K491+#REF!</f>
        <v>#REF!</v>
      </c>
      <c r="O491" s="181" t="e">
        <f t="shared" si="56"/>
        <v>#REF!</v>
      </c>
    </row>
    <row r="492" spans="1:15" s="193" customFormat="1" outlineLevel="2">
      <c r="A492" s="155"/>
      <c r="B492" s="212" t="s">
        <v>876</v>
      </c>
      <c r="C492" s="190" t="s">
        <v>93</v>
      </c>
      <c r="D492" s="191"/>
      <c r="E492" s="176"/>
      <c r="F492" s="177"/>
      <c r="G492" s="192"/>
      <c r="H492" s="179"/>
      <c r="I492" s="339" t="e">
        <f>IF(#REF!="",#REF!*#REF!,IF(#REF!=0,#REF!*#REF!,#REF!*#REF!*#REF!))</f>
        <v>#REF!</v>
      </c>
      <c r="J492" s="180" t="e">
        <f>#REF!*#REF!</f>
        <v>#REF!</v>
      </c>
      <c r="K492" s="178" t="e">
        <f>#REF!*mo</f>
        <v>#REF!</v>
      </c>
      <c r="L492" s="178" t="e">
        <f t="shared" si="55"/>
        <v>#REF!</v>
      </c>
      <c r="M492" s="178" t="e">
        <f>#REF!*#REF!</f>
        <v>#REF!</v>
      </c>
      <c r="N492" s="178" t="e">
        <f>#REF!+K492+#REF!</f>
        <v>#REF!</v>
      </c>
      <c r="O492" s="181" t="e">
        <f t="shared" si="56"/>
        <v>#REF!</v>
      </c>
    </row>
    <row r="493" spans="1:15" s="193" customFormat="1" outlineLevel="2">
      <c r="A493" s="155"/>
      <c r="B493" s="212" t="s">
        <v>877</v>
      </c>
      <c r="C493" s="190" t="s">
        <v>93</v>
      </c>
      <c r="D493" s="191"/>
      <c r="E493" s="176"/>
      <c r="F493" s="177"/>
      <c r="G493" s="192"/>
      <c r="H493" s="179"/>
      <c r="I493" s="339" t="e">
        <f>IF(#REF!="",#REF!*#REF!,IF(#REF!=0,#REF!*#REF!,#REF!*#REF!*#REF!))</f>
        <v>#REF!</v>
      </c>
      <c r="J493" s="180" t="e">
        <f>#REF!*#REF!</f>
        <v>#REF!</v>
      </c>
      <c r="K493" s="178" t="e">
        <f>#REF!*mo</f>
        <v>#REF!</v>
      </c>
      <c r="L493" s="178" t="e">
        <f t="shared" ref="L493:L502" si="66">J493*mo</f>
        <v>#REF!</v>
      </c>
      <c r="M493" s="178" t="e">
        <f>#REF!*#REF!</f>
        <v>#REF!</v>
      </c>
      <c r="N493" s="178" t="e">
        <f>#REF!+K493+#REF!</f>
        <v>#REF!</v>
      </c>
      <c r="O493" s="181" t="e">
        <f t="shared" ref="O493:O502" si="67">M493+L493+I493</f>
        <v>#REF!</v>
      </c>
    </row>
    <row r="494" spans="1:15" s="193" customFormat="1" outlineLevel="2">
      <c r="A494" s="155"/>
      <c r="B494" s="212" t="s">
        <v>878</v>
      </c>
      <c r="C494" s="190" t="s">
        <v>93</v>
      </c>
      <c r="D494" s="191"/>
      <c r="E494" s="176"/>
      <c r="F494" s="177"/>
      <c r="G494" s="192"/>
      <c r="H494" s="179"/>
      <c r="I494" s="339" t="e">
        <f>IF(#REF!="",#REF!*#REF!,IF(#REF!=0,#REF!*#REF!,#REF!*#REF!*#REF!))</f>
        <v>#REF!</v>
      </c>
      <c r="J494" s="180" t="e">
        <f>#REF!*#REF!</f>
        <v>#REF!</v>
      </c>
      <c r="K494" s="178" t="e">
        <f>#REF!*mo</f>
        <v>#REF!</v>
      </c>
      <c r="L494" s="178" t="e">
        <f t="shared" si="66"/>
        <v>#REF!</v>
      </c>
      <c r="M494" s="178" t="e">
        <f>#REF!*#REF!</f>
        <v>#REF!</v>
      </c>
      <c r="N494" s="178" t="e">
        <f>#REF!+K494+#REF!</f>
        <v>#REF!</v>
      </c>
      <c r="O494" s="181" t="e">
        <f t="shared" si="67"/>
        <v>#REF!</v>
      </c>
    </row>
    <row r="495" spans="1:15" s="193" customFormat="1" outlineLevel="2">
      <c r="A495" s="155"/>
      <c r="B495" s="212" t="s">
        <v>879</v>
      </c>
      <c r="C495" s="190" t="s">
        <v>93</v>
      </c>
      <c r="D495" s="191"/>
      <c r="E495" s="176"/>
      <c r="F495" s="177"/>
      <c r="G495" s="192"/>
      <c r="H495" s="179"/>
      <c r="I495" s="339" t="e">
        <f>IF(#REF!="",#REF!*#REF!,IF(#REF!=0,#REF!*#REF!,#REF!*#REF!*#REF!))</f>
        <v>#REF!</v>
      </c>
      <c r="J495" s="180" t="e">
        <f>#REF!*#REF!</f>
        <v>#REF!</v>
      </c>
      <c r="K495" s="178" t="e">
        <f>#REF!*mo</f>
        <v>#REF!</v>
      </c>
      <c r="L495" s="178" t="e">
        <f t="shared" si="66"/>
        <v>#REF!</v>
      </c>
      <c r="M495" s="178" t="e">
        <f>#REF!*#REF!</f>
        <v>#REF!</v>
      </c>
      <c r="N495" s="178" t="e">
        <f>#REF!+K495+#REF!</f>
        <v>#REF!</v>
      </c>
      <c r="O495" s="181" t="e">
        <f t="shared" si="67"/>
        <v>#REF!</v>
      </c>
    </row>
    <row r="496" spans="1:15" s="193" customFormat="1" outlineLevel="2">
      <c r="A496" s="155"/>
      <c r="B496" s="156"/>
      <c r="C496" s="190"/>
      <c r="D496" s="191"/>
      <c r="E496" s="176"/>
      <c r="F496" s="177"/>
      <c r="G496" s="192"/>
      <c r="H496" s="179"/>
      <c r="I496" s="339" t="e">
        <f>IF(#REF!="",#REF!*#REF!,IF(#REF!=0,#REF!*#REF!,#REF!*#REF!*#REF!))</f>
        <v>#REF!</v>
      </c>
      <c r="J496" s="180" t="e">
        <f>#REF!*#REF!</f>
        <v>#REF!</v>
      </c>
      <c r="K496" s="178" t="e">
        <f>#REF!*mo</f>
        <v>#REF!</v>
      </c>
      <c r="L496" s="178" t="e">
        <f t="shared" si="66"/>
        <v>#REF!</v>
      </c>
      <c r="M496" s="178" t="e">
        <f>#REF!*#REF!</f>
        <v>#REF!</v>
      </c>
      <c r="N496" s="178" t="e">
        <f>#REF!+K496+#REF!</f>
        <v>#REF!</v>
      </c>
      <c r="O496" s="181" t="e">
        <f t="shared" si="67"/>
        <v>#REF!</v>
      </c>
    </row>
    <row r="497" spans="1:15" s="209" customFormat="1" outlineLevel="1">
      <c r="A497" s="157" t="str">
        <f>$A$487&amp;".2"</f>
        <v>5.3.2</v>
      </c>
      <c r="B497" s="158" t="s">
        <v>1015</v>
      </c>
      <c r="C497" s="195"/>
      <c r="D497" s="170"/>
      <c r="E497" s="176"/>
      <c r="F497" s="177"/>
      <c r="G497" s="192">
        <f>SUM(F498:F502)</f>
        <v>0</v>
      </c>
      <c r="H497" s="179"/>
      <c r="I497" s="339" t="e">
        <f>IF(#REF!="",#REF!*#REF!,IF(#REF!=0,#REF!*#REF!,#REF!*#REF!*#REF!))</f>
        <v>#REF!</v>
      </c>
      <c r="J497" s="180" t="e">
        <f>#REF!*#REF!</f>
        <v>#REF!</v>
      </c>
      <c r="K497" s="178" t="e">
        <f>#REF!*mo</f>
        <v>#REF!</v>
      </c>
      <c r="L497" s="178" t="e">
        <f t="shared" si="66"/>
        <v>#REF!</v>
      </c>
      <c r="M497" s="178" t="e">
        <f>#REF!*#REF!</f>
        <v>#REF!</v>
      </c>
      <c r="N497" s="178" t="e">
        <f>#REF!+K497+#REF!</f>
        <v>#REF!</v>
      </c>
      <c r="O497" s="181" t="e">
        <f t="shared" si="67"/>
        <v>#REF!</v>
      </c>
    </row>
    <row r="498" spans="1:15" s="193" customFormat="1" outlineLevel="2">
      <c r="A498" s="155"/>
      <c r="B498" s="156"/>
      <c r="C498" s="190"/>
      <c r="D498" s="191"/>
      <c r="E498" s="176"/>
      <c r="F498" s="177"/>
      <c r="G498" s="192"/>
      <c r="H498" s="179"/>
      <c r="I498" s="339" t="e">
        <f>IF(#REF!="",#REF!*#REF!,IF(#REF!=0,#REF!*#REF!,#REF!*#REF!*#REF!))</f>
        <v>#REF!</v>
      </c>
      <c r="J498" s="180" t="e">
        <f>#REF!*#REF!</f>
        <v>#REF!</v>
      </c>
      <c r="K498" s="178" t="e">
        <f>#REF!*mo</f>
        <v>#REF!</v>
      </c>
      <c r="L498" s="178" t="e">
        <f t="shared" si="66"/>
        <v>#REF!</v>
      </c>
      <c r="M498" s="178" t="e">
        <f>#REF!*#REF!</f>
        <v>#REF!</v>
      </c>
      <c r="N498" s="178" t="e">
        <f>#REF!+K498+#REF!</f>
        <v>#REF!</v>
      </c>
      <c r="O498" s="181" t="e">
        <f t="shared" si="67"/>
        <v>#REF!</v>
      </c>
    </row>
    <row r="499" spans="1:15" s="193" customFormat="1" outlineLevel="2">
      <c r="A499" s="155"/>
      <c r="B499" s="236" t="s">
        <v>1016</v>
      </c>
      <c r="C499" s="190" t="s">
        <v>93</v>
      </c>
      <c r="D499" s="191"/>
      <c r="E499" s="176"/>
      <c r="F499" s="177"/>
      <c r="G499" s="192"/>
      <c r="H499" s="179"/>
      <c r="I499" s="339" t="e">
        <f>IF(#REF!="",#REF!*#REF!,IF(#REF!=0,#REF!*#REF!,#REF!*#REF!*#REF!))</f>
        <v>#REF!</v>
      </c>
      <c r="J499" s="180" t="e">
        <f>#REF!*#REF!</f>
        <v>#REF!</v>
      </c>
      <c r="K499" s="178" t="e">
        <f>#REF!*mo</f>
        <v>#REF!</v>
      </c>
      <c r="L499" s="178" t="e">
        <f t="shared" si="66"/>
        <v>#REF!</v>
      </c>
      <c r="M499" s="178" t="e">
        <f>#REF!*#REF!</f>
        <v>#REF!</v>
      </c>
      <c r="N499" s="178" t="e">
        <f>#REF!+K499+#REF!</f>
        <v>#REF!</v>
      </c>
      <c r="O499" s="181" t="e">
        <f t="shared" si="67"/>
        <v>#REF!</v>
      </c>
    </row>
    <row r="500" spans="1:15" s="193" customFormat="1" outlineLevel="2">
      <c r="A500" s="155"/>
      <c r="B500" s="236" t="s">
        <v>1017</v>
      </c>
      <c r="C500" s="190" t="s">
        <v>93</v>
      </c>
      <c r="D500" s="191"/>
      <c r="E500" s="176"/>
      <c r="F500" s="177"/>
      <c r="G500" s="192"/>
      <c r="H500" s="179"/>
      <c r="I500" s="339" t="e">
        <f>IF(#REF!="",#REF!*#REF!,IF(#REF!=0,#REF!*#REF!,#REF!*#REF!*#REF!))</f>
        <v>#REF!</v>
      </c>
      <c r="J500" s="180" t="e">
        <f>#REF!*#REF!</f>
        <v>#REF!</v>
      </c>
      <c r="K500" s="178" t="e">
        <f>#REF!*mo</f>
        <v>#REF!</v>
      </c>
      <c r="L500" s="178" t="e">
        <f t="shared" si="66"/>
        <v>#REF!</v>
      </c>
      <c r="M500" s="178" t="e">
        <f>#REF!*#REF!</f>
        <v>#REF!</v>
      </c>
      <c r="N500" s="178" t="e">
        <f>#REF!+K500+#REF!</f>
        <v>#REF!</v>
      </c>
      <c r="O500" s="181" t="e">
        <f t="shared" si="67"/>
        <v>#REF!</v>
      </c>
    </row>
    <row r="501" spans="1:15" s="193" customFormat="1" outlineLevel="1">
      <c r="A501" s="155"/>
      <c r="B501" s="198" t="str">
        <f>"Total "&amp;B487</f>
        <v>Total ATTENTES ET POINTS DE PUISAGE</v>
      </c>
      <c r="C501" s="190"/>
      <c r="D501" s="191"/>
      <c r="E501" s="176"/>
      <c r="F501" s="177"/>
      <c r="G501" s="192"/>
      <c r="H501" s="179">
        <f>SUM(G488:G502)</f>
        <v>0</v>
      </c>
      <c r="I501" s="339" t="e">
        <f>IF(#REF!="",#REF!*#REF!,IF(#REF!=0,#REF!*#REF!,#REF!*#REF!*#REF!))</f>
        <v>#REF!</v>
      </c>
      <c r="J501" s="180" t="e">
        <f>#REF!*#REF!</f>
        <v>#REF!</v>
      </c>
      <c r="K501" s="178" t="e">
        <f>#REF!*mo</f>
        <v>#REF!</v>
      </c>
      <c r="L501" s="178" t="e">
        <f t="shared" si="66"/>
        <v>#REF!</v>
      </c>
      <c r="M501" s="178" t="e">
        <f>#REF!*#REF!</f>
        <v>#REF!</v>
      </c>
      <c r="N501" s="178" t="e">
        <f>#REF!+K501+#REF!</f>
        <v>#REF!</v>
      </c>
      <c r="O501" s="181" t="e">
        <f t="shared" si="67"/>
        <v>#REF!</v>
      </c>
    </row>
    <row r="502" spans="1:15" s="193" customFormat="1" outlineLevel="1">
      <c r="A502" s="155"/>
      <c r="B502" s="156"/>
      <c r="C502" s="190"/>
      <c r="D502" s="191"/>
      <c r="E502" s="176"/>
      <c r="F502" s="177"/>
      <c r="G502" s="192"/>
      <c r="H502" s="179"/>
      <c r="I502" s="339" t="e">
        <f>IF(#REF!="",#REF!*#REF!,IF(#REF!=0,#REF!*#REF!,#REF!*#REF!*#REF!))</f>
        <v>#REF!</v>
      </c>
      <c r="J502" s="180" t="e">
        <f>#REF!*#REF!</f>
        <v>#REF!</v>
      </c>
      <c r="K502" s="178" t="e">
        <f>#REF!*mo</f>
        <v>#REF!</v>
      </c>
      <c r="L502" s="178" t="e">
        <f t="shared" si="66"/>
        <v>#REF!</v>
      </c>
      <c r="M502" s="178" t="e">
        <f>#REF!*#REF!</f>
        <v>#REF!</v>
      </c>
      <c r="N502" s="178" t="e">
        <f>#REF!+K502+#REF!</f>
        <v>#REF!</v>
      </c>
      <c r="O502" s="181" t="e">
        <f t="shared" si="67"/>
        <v>#REF!</v>
      </c>
    </row>
    <row r="503" spans="1:15" s="194" customFormat="1" ht="12.6">
      <c r="A503" s="153">
        <v>6</v>
      </c>
      <c r="B503" s="154" t="s">
        <v>1018</v>
      </c>
      <c r="C503" s="182"/>
      <c r="D503" s="183"/>
      <c r="E503" s="184"/>
      <c r="F503" s="185"/>
      <c r="G503" s="186"/>
      <c r="H503" s="187">
        <f>SUM(H504:H572)</f>
        <v>0</v>
      </c>
      <c r="I503" s="344" t="e">
        <f>IF(#REF!="",#REF!*#REF!,IF(#REF!=0,#REF!*#REF!,#REF!*#REF!*#REF!))</f>
        <v>#REF!</v>
      </c>
      <c r="J503" s="188"/>
      <c r="K503" s="186"/>
      <c r="L503" s="186"/>
      <c r="M503" s="186"/>
      <c r="N503" s="186"/>
      <c r="O503" s="187"/>
    </row>
    <row r="504" spans="1:15" s="193" customFormat="1" outlineLevel="1">
      <c r="A504" s="155"/>
      <c r="B504" s="156"/>
      <c r="C504" s="190"/>
      <c r="D504" s="191"/>
      <c r="E504" s="176"/>
      <c r="F504" s="177"/>
      <c r="G504" s="192"/>
      <c r="H504" s="179"/>
      <c r="I504" s="339" t="e">
        <f>IF(#REF!="",#REF!*#REF!,IF(#REF!=0,#REF!*#REF!,#REF!*#REF!*#REF!))</f>
        <v>#REF!</v>
      </c>
      <c r="J504" s="180" t="e">
        <f>#REF!*#REF!</f>
        <v>#REF!</v>
      </c>
      <c r="K504" s="178" t="e">
        <f>#REF!*mo</f>
        <v>#REF!</v>
      </c>
      <c r="L504" s="178" t="e">
        <f>J504*mo</f>
        <v>#REF!</v>
      </c>
      <c r="M504" s="178" t="e">
        <f>#REF!*#REF!</f>
        <v>#REF!</v>
      </c>
      <c r="N504" s="178" t="e">
        <f>#REF!+K504+#REF!</f>
        <v>#REF!</v>
      </c>
      <c r="O504" s="181" t="e">
        <f>M504+L504+I504</f>
        <v>#REF!</v>
      </c>
    </row>
    <row r="505" spans="1:15" s="193" customFormat="1" outlineLevel="1">
      <c r="A505" s="155"/>
      <c r="B505" s="198"/>
      <c r="C505" s="190"/>
      <c r="D505" s="191"/>
      <c r="E505" s="176"/>
      <c r="F505" s="177"/>
      <c r="G505" s="192"/>
      <c r="H505" s="235"/>
      <c r="I505" s="339" t="e">
        <f>IF(#REF!="",#REF!*#REF!,IF(#REF!=0,#REF!*#REF!,#REF!*#REF!*#REF!))</f>
        <v>#REF!</v>
      </c>
      <c r="J505" s="180" t="e">
        <f>#REF!*#REF!</f>
        <v>#REF!</v>
      </c>
      <c r="K505" s="178" t="e">
        <f>#REF!*mo</f>
        <v>#REF!</v>
      </c>
      <c r="L505" s="178" t="e">
        <f t="shared" ref="L505:L506" si="68">J505*mo</f>
        <v>#REF!</v>
      </c>
      <c r="M505" s="178" t="e">
        <f>#REF!*#REF!</f>
        <v>#REF!</v>
      </c>
      <c r="N505" s="178" t="e">
        <f>#REF!+K505+#REF!</f>
        <v>#REF!</v>
      </c>
      <c r="O505" s="181" t="e">
        <f t="shared" ref="O505:O552" si="69">M505+L505+I505</f>
        <v>#REF!</v>
      </c>
    </row>
    <row r="506" spans="1:15" s="209" customFormat="1" outlineLevel="1">
      <c r="A506" s="157" t="str">
        <f>$A$503&amp;".1"</f>
        <v>6.1</v>
      </c>
      <c r="B506" s="158" t="s">
        <v>1019</v>
      </c>
      <c r="C506" s="195"/>
      <c r="D506" s="170"/>
      <c r="E506" s="176"/>
      <c r="F506" s="177"/>
      <c r="G506" s="192"/>
      <c r="H506" s="196"/>
      <c r="I506" s="339" t="e">
        <f>IF(#REF!="",#REF!*#REF!,IF(#REF!=0,#REF!*#REF!,#REF!*#REF!*#REF!))</f>
        <v>#REF!</v>
      </c>
      <c r="J506" s="180" t="e">
        <f>#REF!*#REF!</f>
        <v>#REF!</v>
      </c>
      <c r="K506" s="178" t="e">
        <f>#REF!*mo</f>
        <v>#REF!</v>
      </c>
      <c r="L506" s="178" t="e">
        <f t="shared" si="68"/>
        <v>#REF!</v>
      </c>
      <c r="M506" s="178" t="e">
        <f>#REF!*#REF!</f>
        <v>#REF!</v>
      </c>
      <c r="N506" s="178" t="e">
        <f>#REF!+K506+#REF!</f>
        <v>#REF!</v>
      </c>
      <c r="O506" s="181" t="e">
        <f t="shared" si="69"/>
        <v>#REF!</v>
      </c>
    </row>
    <row r="507" spans="1:15" s="209" customFormat="1" outlineLevel="1">
      <c r="A507" s="157" t="str">
        <f>A503&amp;".2"</f>
        <v>6.2</v>
      </c>
      <c r="B507" s="158" t="s">
        <v>1020</v>
      </c>
      <c r="C507" s="195"/>
      <c r="D507" s="170"/>
      <c r="E507" s="176"/>
      <c r="F507" s="177"/>
      <c r="G507" s="192">
        <f>SUM(F508:F561)</f>
        <v>0</v>
      </c>
      <c r="H507" s="179"/>
      <c r="I507" s="339" t="e">
        <f>IF(#REF!="",#REF!*#REF!,IF(#REF!=0,#REF!*#REF!,#REF!*#REF!*#REF!))</f>
        <v>#REF!</v>
      </c>
      <c r="J507" s="180" t="e">
        <f>#REF!*#REF!</f>
        <v>#REF!</v>
      </c>
      <c r="K507" s="178" t="e">
        <f>#REF!*mo</f>
        <v>#REF!</v>
      </c>
      <c r="L507" s="178" t="e">
        <f t="shared" ref="L507:L552" si="70">J507*mo</f>
        <v>#REF!</v>
      </c>
      <c r="M507" s="178" t="e">
        <f>#REF!*#REF!</f>
        <v>#REF!</v>
      </c>
      <c r="N507" s="178" t="e">
        <f>#REF!+K507+#REF!</f>
        <v>#REF!</v>
      </c>
      <c r="O507" s="181" t="e">
        <f t="shared" si="69"/>
        <v>#REF!</v>
      </c>
    </row>
    <row r="508" spans="1:15" s="209" customFormat="1" outlineLevel="2">
      <c r="A508" s="157"/>
      <c r="B508" s="158"/>
      <c r="C508" s="195"/>
      <c r="D508" s="170"/>
      <c r="E508" s="176"/>
      <c r="F508" s="177"/>
      <c r="G508" s="192"/>
      <c r="H508" s="179"/>
      <c r="I508" s="339"/>
      <c r="J508" s="180"/>
      <c r="K508" s="178"/>
      <c r="L508" s="178"/>
      <c r="M508" s="178"/>
      <c r="N508" s="178"/>
      <c r="O508" s="181"/>
    </row>
    <row r="509" spans="1:15" s="193" customFormat="1" outlineLevel="2">
      <c r="A509" s="238"/>
      <c r="B509" s="236" t="s">
        <v>1021</v>
      </c>
      <c r="C509" s="190"/>
      <c r="D509" s="191"/>
      <c r="E509" s="176"/>
      <c r="F509" s="177"/>
      <c r="G509" s="192"/>
      <c r="H509" s="179"/>
      <c r="I509" s="339" t="e">
        <f>IF(#REF!="",#REF!*#REF!,IF(#REF!=0,#REF!*#REF!,#REF!*#REF!*#REF!))</f>
        <v>#REF!</v>
      </c>
      <c r="J509" s="180" t="e">
        <f>#REF!*#REF!</f>
        <v>#REF!</v>
      </c>
      <c r="K509" s="178" t="e">
        <f>#REF!*mo</f>
        <v>#REF!</v>
      </c>
      <c r="L509" s="178" t="e">
        <f t="shared" ref="L509:L515" si="71">J509*mo</f>
        <v>#REF!</v>
      </c>
      <c r="M509" s="178" t="e">
        <f>#REF!*#REF!</f>
        <v>#REF!</v>
      </c>
      <c r="N509" s="178" t="e">
        <f>#REF!+K509+#REF!</f>
        <v>#REF!</v>
      </c>
      <c r="O509" s="181" t="e">
        <f t="shared" ref="O509:O515" si="72">M509+L509+I509</f>
        <v>#REF!</v>
      </c>
    </row>
    <row r="510" spans="1:15" s="193" customFormat="1" outlineLevel="2">
      <c r="A510" s="238"/>
      <c r="B510" s="212" t="s">
        <v>996</v>
      </c>
      <c r="C510" s="190" t="s">
        <v>123</v>
      </c>
      <c r="D510" s="191"/>
      <c r="E510" s="176"/>
      <c r="F510" s="177"/>
      <c r="G510" s="192"/>
      <c r="H510" s="179"/>
      <c r="I510" s="339" t="e">
        <f>IF(#REF!="",#REF!*#REF!,IF(#REF!=0,#REF!*#REF!,#REF!*#REF!*#REF!))</f>
        <v>#REF!</v>
      </c>
      <c r="J510" s="180" t="e">
        <f>#REF!*#REF!</f>
        <v>#REF!</v>
      </c>
      <c r="K510" s="178" t="e">
        <f>#REF!*mo</f>
        <v>#REF!</v>
      </c>
      <c r="L510" s="178" t="e">
        <f t="shared" si="71"/>
        <v>#REF!</v>
      </c>
      <c r="M510" s="178" t="e">
        <f>#REF!*#REF!</f>
        <v>#REF!</v>
      </c>
      <c r="N510" s="178" t="e">
        <f>#REF!+K510+#REF!</f>
        <v>#REF!</v>
      </c>
      <c r="O510" s="181" t="e">
        <f t="shared" si="72"/>
        <v>#REF!</v>
      </c>
    </row>
    <row r="511" spans="1:15" s="193" customFormat="1" outlineLevel="2">
      <c r="A511" s="238"/>
      <c r="B511" s="212" t="s">
        <v>997</v>
      </c>
      <c r="C511" s="190" t="s">
        <v>123</v>
      </c>
      <c r="D511" s="191"/>
      <c r="E511" s="176"/>
      <c r="F511" s="177"/>
      <c r="G511" s="192"/>
      <c r="H511" s="179"/>
      <c r="I511" s="339" t="e">
        <f>IF(#REF!="",#REF!*#REF!,IF(#REF!=0,#REF!*#REF!,#REF!*#REF!*#REF!))</f>
        <v>#REF!</v>
      </c>
      <c r="J511" s="180" t="e">
        <f>#REF!*#REF!</f>
        <v>#REF!</v>
      </c>
      <c r="K511" s="178" t="e">
        <f>#REF!*mo</f>
        <v>#REF!</v>
      </c>
      <c r="L511" s="178" t="e">
        <f t="shared" si="71"/>
        <v>#REF!</v>
      </c>
      <c r="M511" s="178" t="e">
        <f>#REF!*#REF!</f>
        <v>#REF!</v>
      </c>
      <c r="N511" s="178" t="e">
        <f>#REF!+K511+#REF!</f>
        <v>#REF!</v>
      </c>
      <c r="O511" s="181" t="e">
        <f t="shared" si="72"/>
        <v>#REF!</v>
      </c>
    </row>
    <row r="512" spans="1:15" s="193" customFormat="1" outlineLevel="2">
      <c r="A512" s="238"/>
      <c r="B512" s="212" t="s">
        <v>998</v>
      </c>
      <c r="C512" s="190" t="s">
        <v>123</v>
      </c>
      <c r="D512" s="191"/>
      <c r="E512" s="176"/>
      <c r="F512" s="177"/>
      <c r="G512" s="192"/>
      <c r="H512" s="179"/>
      <c r="I512" s="339" t="e">
        <f>IF(#REF!="",#REF!*#REF!,IF(#REF!=0,#REF!*#REF!,#REF!*#REF!*#REF!))</f>
        <v>#REF!</v>
      </c>
      <c r="J512" s="180" t="e">
        <f>#REF!*#REF!</f>
        <v>#REF!</v>
      </c>
      <c r="K512" s="178" t="e">
        <f>#REF!*mo</f>
        <v>#REF!</v>
      </c>
      <c r="L512" s="178" t="e">
        <f t="shared" si="71"/>
        <v>#REF!</v>
      </c>
      <c r="M512" s="178" t="e">
        <f>#REF!*#REF!</f>
        <v>#REF!</v>
      </c>
      <c r="N512" s="178" t="e">
        <f>#REF!+K512+#REF!</f>
        <v>#REF!</v>
      </c>
      <c r="O512" s="181" t="e">
        <f t="shared" si="72"/>
        <v>#REF!</v>
      </c>
    </row>
    <row r="513" spans="1:15" s="193" customFormat="1" outlineLevel="2">
      <c r="A513" s="238"/>
      <c r="B513" s="212" t="s">
        <v>999</v>
      </c>
      <c r="C513" s="190" t="s">
        <v>123</v>
      </c>
      <c r="D513" s="191"/>
      <c r="E513" s="176"/>
      <c r="F513" s="177"/>
      <c r="G513" s="192"/>
      <c r="H513" s="179"/>
      <c r="I513" s="339" t="e">
        <f>IF(#REF!="",#REF!*#REF!,IF(#REF!=0,#REF!*#REF!,#REF!*#REF!*#REF!))</f>
        <v>#REF!</v>
      </c>
      <c r="J513" s="180" t="e">
        <f>#REF!*#REF!</f>
        <v>#REF!</v>
      </c>
      <c r="K513" s="178" t="e">
        <f>#REF!*mo</f>
        <v>#REF!</v>
      </c>
      <c r="L513" s="178" t="e">
        <f t="shared" si="71"/>
        <v>#REF!</v>
      </c>
      <c r="M513" s="178" t="e">
        <f>#REF!*#REF!</f>
        <v>#REF!</v>
      </c>
      <c r="N513" s="178" t="e">
        <f>#REF!+K513+#REF!</f>
        <v>#REF!</v>
      </c>
      <c r="O513" s="181" t="e">
        <f t="shared" si="72"/>
        <v>#REF!</v>
      </c>
    </row>
    <row r="514" spans="1:15" s="193" customFormat="1" outlineLevel="2">
      <c r="A514" s="238"/>
      <c r="B514" s="212" t="s">
        <v>894</v>
      </c>
      <c r="C514" s="190" t="s">
        <v>123</v>
      </c>
      <c r="D514" s="191"/>
      <c r="E514" s="176"/>
      <c r="F514" s="177"/>
      <c r="G514" s="192"/>
      <c r="H514" s="179"/>
      <c r="I514" s="339" t="e">
        <f>IF(#REF!="",#REF!*#REF!,IF(#REF!=0,#REF!*#REF!,#REF!*#REF!*#REF!))</f>
        <v>#REF!</v>
      </c>
      <c r="J514" s="180" t="e">
        <f>#REF!*#REF!</f>
        <v>#REF!</v>
      </c>
      <c r="K514" s="178" t="e">
        <f>#REF!*mo</f>
        <v>#REF!</v>
      </c>
      <c r="L514" s="178" t="e">
        <f t="shared" si="71"/>
        <v>#REF!</v>
      </c>
      <c r="M514" s="178" t="e">
        <f>#REF!*#REF!</f>
        <v>#REF!</v>
      </c>
      <c r="N514" s="178" t="e">
        <f>#REF!+K514+#REF!</f>
        <v>#REF!</v>
      </c>
      <c r="O514" s="181" t="e">
        <f t="shared" si="72"/>
        <v>#REF!</v>
      </c>
    </row>
    <row r="515" spans="1:15" s="193" customFormat="1" outlineLevel="2">
      <c r="A515" s="238"/>
      <c r="B515" s="212" t="s">
        <v>1000</v>
      </c>
      <c r="C515" s="190" t="s">
        <v>123</v>
      </c>
      <c r="D515" s="191"/>
      <c r="E515" s="176"/>
      <c r="F515" s="177"/>
      <c r="G515" s="192"/>
      <c r="H515" s="179"/>
      <c r="I515" s="339" t="e">
        <f>IF(#REF!="",#REF!*#REF!,IF(#REF!=0,#REF!*#REF!,#REF!*#REF!*#REF!))</f>
        <v>#REF!</v>
      </c>
      <c r="J515" s="180" t="e">
        <f>#REF!*#REF!</f>
        <v>#REF!</v>
      </c>
      <c r="K515" s="178" t="e">
        <f>#REF!*mo</f>
        <v>#REF!</v>
      </c>
      <c r="L515" s="178" t="e">
        <f t="shared" si="71"/>
        <v>#REF!</v>
      </c>
      <c r="M515" s="178" t="e">
        <f>#REF!*#REF!</f>
        <v>#REF!</v>
      </c>
      <c r="N515" s="178" t="e">
        <f>#REF!+K515+#REF!</f>
        <v>#REF!</v>
      </c>
      <c r="O515" s="181" t="e">
        <f t="shared" si="72"/>
        <v>#REF!</v>
      </c>
    </row>
    <row r="516" spans="1:15" s="193" customFormat="1" outlineLevel="2">
      <c r="A516" s="155"/>
      <c r="B516" s="156"/>
      <c r="C516" s="190"/>
      <c r="D516" s="191"/>
      <c r="E516" s="176"/>
      <c r="F516" s="177"/>
      <c r="G516" s="192"/>
      <c r="H516" s="179"/>
      <c r="I516" s="339" t="e">
        <f>IF(#REF!="",#REF!*#REF!,IF(#REF!=0,#REF!*#REF!,#REF!*#REF!*#REF!))</f>
        <v>#REF!</v>
      </c>
      <c r="J516" s="180" t="e">
        <f>#REF!*#REF!</f>
        <v>#REF!</v>
      </c>
      <c r="K516" s="178" t="e">
        <f>#REF!*mo</f>
        <v>#REF!</v>
      </c>
      <c r="L516" s="178" t="e">
        <f t="shared" si="70"/>
        <v>#REF!</v>
      </c>
      <c r="M516" s="178" t="e">
        <f>#REF!*#REF!</f>
        <v>#REF!</v>
      </c>
      <c r="N516" s="178" t="e">
        <f>#REF!+K516+#REF!</f>
        <v>#REF!</v>
      </c>
      <c r="O516" s="181" t="e">
        <f t="shared" si="69"/>
        <v>#REF!</v>
      </c>
    </row>
    <row r="517" spans="1:15" s="193" customFormat="1" outlineLevel="2">
      <c r="A517" s="238"/>
      <c r="B517" s="236" t="s">
        <v>994</v>
      </c>
      <c r="C517" s="190"/>
      <c r="D517" s="191"/>
      <c r="E517" s="176"/>
      <c r="F517" s="177"/>
      <c r="G517" s="192"/>
      <c r="H517" s="179"/>
      <c r="I517" s="339" t="e">
        <f>IF(#REF!="",#REF!*#REF!,IF(#REF!=0,#REF!*#REF!,#REF!*#REF!*#REF!))</f>
        <v>#REF!</v>
      </c>
      <c r="J517" s="180" t="e">
        <f>#REF!*#REF!</f>
        <v>#REF!</v>
      </c>
      <c r="K517" s="178" t="e">
        <f>#REF!*mo</f>
        <v>#REF!</v>
      </c>
      <c r="L517" s="178" t="e">
        <f t="shared" ref="L517" si="73">J517*mo</f>
        <v>#REF!</v>
      </c>
      <c r="M517" s="178" t="e">
        <f>#REF!*#REF!</f>
        <v>#REF!</v>
      </c>
      <c r="N517" s="178" t="e">
        <f>#REF!+K517+#REF!</f>
        <v>#REF!</v>
      </c>
      <c r="O517" s="181" t="e">
        <f t="shared" si="69"/>
        <v>#REF!</v>
      </c>
    </row>
    <row r="518" spans="1:15" s="193" customFormat="1" outlineLevel="2">
      <c r="A518" s="238"/>
      <c r="B518" s="212" t="s">
        <v>996</v>
      </c>
      <c r="C518" s="190" t="s">
        <v>123</v>
      </c>
      <c r="D518" s="191"/>
      <c r="E518" s="176"/>
      <c r="F518" s="177"/>
      <c r="G518" s="192"/>
      <c r="H518" s="179"/>
      <c r="I518" s="339" t="e">
        <f>IF(#REF!="",#REF!*#REF!,IF(#REF!=0,#REF!*#REF!,#REF!*#REF!*#REF!))</f>
        <v>#REF!</v>
      </c>
      <c r="J518" s="180" t="e">
        <f>#REF!*#REF!</f>
        <v>#REF!</v>
      </c>
      <c r="K518" s="178" t="e">
        <f>#REF!*mo</f>
        <v>#REF!</v>
      </c>
      <c r="L518" s="178" t="e">
        <f t="shared" ref="L518:L523" si="74">J518*mo</f>
        <v>#REF!</v>
      </c>
      <c r="M518" s="178" t="e">
        <f>#REF!*#REF!</f>
        <v>#REF!</v>
      </c>
      <c r="N518" s="178" t="e">
        <f>#REF!+K518+#REF!</f>
        <v>#REF!</v>
      </c>
      <c r="O518" s="181" t="e">
        <f t="shared" si="69"/>
        <v>#REF!</v>
      </c>
    </row>
    <row r="519" spans="1:15" s="193" customFormat="1" outlineLevel="2">
      <c r="A519" s="238"/>
      <c r="B519" s="212" t="s">
        <v>997</v>
      </c>
      <c r="C519" s="190" t="s">
        <v>123</v>
      </c>
      <c r="D519" s="191"/>
      <c r="E519" s="176"/>
      <c r="F519" s="177"/>
      <c r="G519" s="192"/>
      <c r="H519" s="179"/>
      <c r="I519" s="339" t="e">
        <f>IF(#REF!="",#REF!*#REF!,IF(#REF!=0,#REF!*#REF!,#REF!*#REF!*#REF!))</f>
        <v>#REF!</v>
      </c>
      <c r="J519" s="180" t="e">
        <f>#REF!*#REF!</f>
        <v>#REF!</v>
      </c>
      <c r="K519" s="178" t="e">
        <f>#REF!*mo</f>
        <v>#REF!</v>
      </c>
      <c r="L519" s="178" t="e">
        <f t="shared" si="74"/>
        <v>#REF!</v>
      </c>
      <c r="M519" s="178" t="e">
        <f>#REF!*#REF!</f>
        <v>#REF!</v>
      </c>
      <c r="N519" s="178" t="e">
        <f>#REF!+K519+#REF!</f>
        <v>#REF!</v>
      </c>
      <c r="O519" s="181" t="e">
        <f t="shared" si="69"/>
        <v>#REF!</v>
      </c>
    </row>
    <row r="520" spans="1:15" s="193" customFormat="1" outlineLevel="2">
      <c r="A520" s="238"/>
      <c r="B520" s="212" t="s">
        <v>998</v>
      </c>
      <c r="C520" s="190" t="s">
        <v>123</v>
      </c>
      <c r="D520" s="191"/>
      <c r="E520" s="176"/>
      <c r="F520" s="177"/>
      <c r="G520" s="192"/>
      <c r="H520" s="179"/>
      <c r="I520" s="339" t="e">
        <f>IF(#REF!="",#REF!*#REF!,IF(#REF!=0,#REF!*#REF!,#REF!*#REF!*#REF!))</f>
        <v>#REF!</v>
      </c>
      <c r="J520" s="180" t="e">
        <f>#REF!*#REF!</f>
        <v>#REF!</v>
      </c>
      <c r="K520" s="178" t="e">
        <f>#REF!*mo</f>
        <v>#REF!</v>
      </c>
      <c r="L520" s="178" t="e">
        <f t="shared" si="74"/>
        <v>#REF!</v>
      </c>
      <c r="M520" s="178" t="e">
        <f>#REF!*#REF!</f>
        <v>#REF!</v>
      </c>
      <c r="N520" s="178" t="e">
        <f>#REF!+K520+#REF!</f>
        <v>#REF!</v>
      </c>
      <c r="O520" s="181" t="e">
        <f t="shared" si="69"/>
        <v>#REF!</v>
      </c>
    </row>
    <row r="521" spans="1:15" s="193" customFormat="1" outlineLevel="2">
      <c r="A521" s="238"/>
      <c r="B521" s="212" t="s">
        <v>999</v>
      </c>
      <c r="C521" s="190" t="s">
        <v>123</v>
      </c>
      <c r="D521" s="191"/>
      <c r="E521" s="176"/>
      <c r="F521" s="177"/>
      <c r="G521" s="192"/>
      <c r="H521" s="179"/>
      <c r="I521" s="339" t="e">
        <f>IF(#REF!="",#REF!*#REF!,IF(#REF!=0,#REF!*#REF!,#REF!*#REF!*#REF!))</f>
        <v>#REF!</v>
      </c>
      <c r="J521" s="180" t="e">
        <f>#REF!*#REF!</f>
        <v>#REF!</v>
      </c>
      <c r="K521" s="178" t="e">
        <f>#REF!*mo</f>
        <v>#REF!</v>
      </c>
      <c r="L521" s="178" t="e">
        <f t="shared" si="74"/>
        <v>#REF!</v>
      </c>
      <c r="M521" s="178" t="e">
        <f>#REF!*#REF!</f>
        <v>#REF!</v>
      </c>
      <c r="N521" s="178" t="e">
        <f>#REF!+K521+#REF!</f>
        <v>#REF!</v>
      </c>
      <c r="O521" s="181" t="e">
        <f t="shared" si="69"/>
        <v>#REF!</v>
      </c>
    </row>
    <row r="522" spans="1:15" s="193" customFormat="1" outlineLevel="2">
      <c r="A522" s="238"/>
      <c r="B522" s="212" t="s">
        <v>894</v>
      </c>
      <c r="C522" s="190" t="s">
        <v>123</v>
      </c>
      <c r="D522" s="191"/>
      <c r="E522" s="176"/>
      <c r="F522" s="177"/>
      <c r="G522" s="192"/>
      <c r="H522" s="179"/>
      <c r="I522" s="339" t="e">
        <f>IF(#REF!="",#REF!*#REF!,IF(#REF!=0,#REF!*#REF!,#REF!*#REF!*#REF!))</f>
        <v>#REF!</v>
      </c>
      <c r="J522" s="180" t="e">
        <f>#REF!*#REF!</f>
        <v>#REF!</v>
      </c>
      <c r="K522" s="178" t="e">
        <f>#REF!*mo</f>
        <v>#REF!</v>
      </c>
      <c r="L522" s="178" t="e">
        <f t="shared" si="74"/>
        <v>#REF!</v>
      </c>
      <c r="M522" s="178" t="e">
        <f>#REF!*#REF!</f>
        <v>#REF!</v>
      </c>
      <c r="N522" s="178" t="e">
        <f>#REF!+K522+#REF!</f>
        <v>#REF!</v>
      </c>
      <c r="O522" s="181" t="e">
        <f t="shared" si="69"/>
        <v>#REF!</v>
      </c>
    </row>
    <row r="523" spans="1:15" s="193" customFormat="1" outlineLevel="2">
      <c r="A523" s="238"/>
      <c r="B523" s="212" t="s">
        <v>1000</v>
      </c>
      <c r="C523" s="190" t="s">
        <v>123</v>
      </c>
      <c r="D523" s="191"/>
      <c r="E523" s="176"/>
      <c r="F523" s="177"/>
      <c r="G523" s="192"/>
      <c r="H523" s="179"/>
      <c r="I523" s="339" t="e">
        <f>IF(#REF!="",#REF!*#REF!,IF(#REF!=0,#REF!*#REF!,#REF!*#REF!*#REF!))</f>
        <v>#REF!</v>
      </c>
      <c r="J523" s="180" t="e">
        <f>#REF!*#REF!</f>
        <v>#REF!</v>
      </c>
      <c r="K523" s="178" t="e">
        <f>#REF!*mo</f>
        <v>#REF!</v>
      </c>
      <c r="L523" s="178" t="e">
        <f t="shared" si="74"/>
        <v>#REF!</v>
      </c>
      <c r="M523" s="178" t="e">
        <f>#REF!*#REF!</f>
        <v>#REF!</v>
      </c>
      <c r="N523" s="178" t="e">
        <f>#REF!+K523+#REF!</f>
        <v>#REF!</v>
      </c>
      <c r="O523" s="181" t="e">
        <f t="shared" si="69"/>
        <v>#REF!</v>
      </c>
    </row>
    <row r="524" spans="1:15" s="193" customFormat="1" outlineLevel="2">
      <c r="A524" s="155"/>
      <c r="B524" s="212" t="s">
        <v>1000</v>
      </c>
      <c r="C524" s="190" t="s">
        <v>123</v>
      </c>
      <c r="D524" s="191"/>
      <c r="E524" s="176"/>
      <c r="F524" s="177"/>
      <c r="G524" s="192"/>
      <c r="H524" s="179"/>
      <c r="I524" s="339" t="e">
        <f>IF(#REF!="",#REF!*#REF!,IF(#REF!=0,#REF!*#REF!,#REF!*#REF!*#REF!))</f>
        <v>#REF!</v>
      </c>
      <c r="J524" s="180" t="e">
        <f>#REF!*#REF!</f>
        <v>#REF!</v>
      </c>
      <c r="K524" s="178" t="e">
        <f>#REF!*mo</f>
        <v>#REF!</v>
      </c>
      <c r="L524" s="178" t="e">
        <f t="shared" si="70"/>
        <v>#REF!</v>
      </c>
      <c r="M524" s="178" t="e">
        <f>#REF!*#REF!</f>
        <v>#REF!</v>
      </c>
      <c r="N524" s="178" t="e">
        <f>#REF!+K524+#REF!</f>
        <v>#REF!</v>
      </c>
      <c r="O524" s="181" t="e">
        <f t="shared" si="69"/>
        <v>#REF!</v>
      </c>
    </row>
    <row r="525" spans="1:15" s="193" customFormat="1" outlineLevel="2">
      <c r="A525" s="155"/>
      <c r="B525" s="212"/>
      <c r="C525" s="190"/>
      <c r="D525" s="191"/>
      <c r="E525" s="176"/>
      <c r="F525" s="177"/>
      <c r="G525" s="192"/>
      <c r="H525" s="179"/>
      <c r="I525" s="339" t="e">
        <f>IF(#REF!="",#REF!*#REF!,IF(#REF!=0,#REF!*#REF!,#REF!*#REF!*#REF!))</f>
        <v>#REF!</v>
      </c>
      <c r="J525" s="180" t="e">
        <f>#REF!*#REF!</f>
        <v>#REF!</v>
      </c>
      <c r="K525" s="178" t="e">
        <f>#REF!*mo</f>
        <v>#REF!</v>
      </c>
      <c r="L525" s="178" t="e">
        <f t="shared" si="70"/>
        <v>#REF!</v>
      </c>
      <c r="M525" s="178" t="e">
        <f>#REF!*#REF!</f>
        <v>#REF!</v>
      </c>
      <c r="N525" s="178" t="e">
        <f>#REF!+K525+#REF!</f>
        <v>#REF!</v>
      </c>
      <c r="O525" s="181" t="e">
        <f t="shared" si="69"/>
        <v>#REF!</v>
      </c>
    </row>
    <row r="526" spans="1:15" s="193" customFormat="1" outlineLevel="2">
      <c r="A526" s="155"/>
      <c r="B526" s="236" t="s">
        <v>1022</v>
      </c>
      <c r="C526" s="190"/>
      <c r="D526" s="191"/>
      <c r="E526" s="176"/>
      <c r="F526" s="177"/>
      <c r="G526" s="192"/>
      <c r="H526" s="179"/>
      <c r="I526" s="339" t="e">
        <f>IF(#REF!="",#REF!*#REF!,IF(#REF!=0,#REF!*#REF!,#REF!*#REF!*#REF!))</f>
        <v>#REF!</v>
      </c>
      <c r="J526" s="180" t="e">
        <f>#REF!*#REF!</f>
        <v>#REF!</v>
      </c>
      <c r="K526" s="178" t="e">
        <f>#REF!*mo</f>
        <v>#REF!</v>
      </c>
      <c r="L526" s="178" t="e">
        <f t="shared" si="70"/>
        <v>#REF!</v>
      </c>
      <c r="M526" s="178" t="e">
        <f>#REF!*#REF!</f>
        <v>#REF!</v>
      </c>
      <c r="N526" s="178" t="e">
        <f>#REF!+K526+#REF!</f>
        <v>#REF!</v>
      </c>
      <c r="O526" s="181" t="e">
        <f t="shared" si="69"/>
        <v>#REF!</v>
      </c>
    </row>
    <row r="527" spans="1:15" s="193" customFormat="1" outlineLevel="2">
      <c r="A527" s="155"/>
      <c r="B527" s="212" t="s">
        <v>999</v>
      </c>
      <c r="C527" s="190" t="s">
        <v>123</v>
      </c>
      <c r="D527" s="191"/>
      <c r="E527" s="176"/>
      <c r="F527" s="177"/>
      <c r="G527" s="192"/>
      <c r="H527" s="179"/>
      <c r="I527" s="339" t="e">
        <f>IF(#REF!="",#REF!*#REF!,IF(#REF!=0,#REF!*#REF!,#REF!*#REF!*#REF!))</f>
        <v>#REF!</v>
      </c>
      <c r="J527" s="180" t="e">
        <f>#REF!*#REF!</f>
        <v>#REF!</v>
      </c>
      <c r="K527" s="178" t="e">
        <f>#REF!*mo</f>
        <v>#REF!</v>
      </c>
      <c r="L527" s="178" t="e">
        <f t="shared" si="70"/>
        <v>#REF!</v>
      </c>
      <c r="M527" s="178" t="e">
        <f>#REF!*#REF!</f>
        <v>#REF!</v>
      </c>
      <c r="N527" s="178" t="e">
        <f>#REF!+K527+#REF!</f>
        <v>#REF!</v>
      </c>
      <c r="O527" s="181" t="e">
        <f t="shared" si="69"/>
        <v>#REF!</v>
      </c>
    </row>
    <row r="528" spans="1:15" s="193" customFormat="1" outlineLevel="2">
      <c r="A528" s="155"/>
      <c r="B528" s="212" t="s">
        <v>894</v>
      </c>
      <c r="C528" s="190" t="s">
        <v>123</v>
      </c>
      <c r="D528" s="191"/>
      <c r="E528" s="176"/>
      <c r="F528" s="177"/>
      <c r="G528" s="192"/>
      <c r="H528" s="179"/>
      <c r="I528" s="339" t="e">
        <f>IF(#REF!="",#REF!*#REF!,IF(#REF!=0,#REF!*#REF!,#REF!*#REF!*#REF!))</f>
        <v>#REF!</v>
      </c>
      <c r="J528" s="180" t="e">
        <f>#REF!*#REF!</f>
        <v>#REF!</v>
      </c>
      <c r="K528" s="178" t="e">
        <f>#REF!*mo</f>
        <v>#REF!</v>
      </c>
      <c r="L528" s="178" t="e">
        <f t="shared" ref="L528" si="75">J528*mo</f>
        <v>#REF!</v>
      </c>
      <c r="M528" s="178" t="e">
        <f>#REF!*#REF!</f>
        <v>#REF!</v>
      </c>
      <c r="N528" s="178" t="e">
        <f>#REF!+K528+#REF!</f>
        <v>#REF!</v>
      </c>
      <c r="O528" s="181" t="e">
        <f t="shared" si="69"/>
        <v>#REF!</v>
      </c>
    </row>
    <row r="529" spans="1:15" s="193" customFormat="1" outlineLevel="2">
      <c r="A529" s="155"/>
      <c r="B529" s="212"/>
      <c r="C529" s="190"/>
      <c r="D529" s="191"/>
      <c r="E529" s="176"/>
      <c r="F529" s="177"/>
      <c r="G529" s="192"/>
      <c r="H529" s="179"/>
      <c r="I529" s="339" t="e">
        <f>IF(#REF!="",#REF!*#REF!,IF(#REF!=0,#REF!*#REF!,#REF!*#REF!*#REF!))</f>
        <v>#REF!</v>
      </c>
      <c r="J529" s="180" t="e">
        <f>#REF!*#REF!</f>
        <v>#REF!</v>
      </c>
      <c r="K529" s="178" t="e">
        <f>#REF!*mo</f>
        <v>#REF!</v>
      </c>
      <c r="L529" s="178" t="e">
        <f t="shared" si="70"/>
        <v>#REF!</v>
      </c>
      <c r="M529" s="178" t="e">
        <f>#REF!*#REF!</f>
        <v>#REF!</v>
      </c>
      <c r="N529" s="178" t="e">
        <f>#REF!+K529+#REF!</f>
        <v>#REF!</v>
      </c>
      <c r="O529" s="181" t="e">
        <f t="shared" si="69"/>
        <v>#REF!</v>
      </c>
    </row>
    <row r="530" spans="1:15" s="193" customFormat="1" outlineLevel="2">
      <c r="A530" s="155"/>
      <c r="B530" s="233" t="s">
        <v>892</v>
      </c>
      <c r="C530" s="190"/>
      <c r="D530" s="191"/>
      <c r="E530" s="176"/>
      <c r="F530" s="177"/>
      <c r="G530" s="192"/>
      <c r="H530" s="179"/>
      <c r="I530" s="339" t="e">
        <f>IF(#REF!="",#REF!*#REF!,IF(#REF!=0,#REF!*#REF!,#REF!*#REF!*#REF!))</f>
        <v>#REF!</v>
      </c>
      <c r="J530" s="180" t="e">
        <f>#REF!*#REF!</f>
        <v>#REF!</v>
      </c>
      <c r="K530" s="178" t="e">
        <f>#REF!*mo</f>
        <v>#REF!</v>
      </c>
      <c r="L530" s="178" t="e">
        <f t="shared" si="70"/>
        <v>#REF!</v>
      </c>
      <c r="M530" s="178" t="e">
        <f>#REF!*#REF!</f>
        <v>#REF!</v>
      </c>
      <c r="N530" s="178" t="e">
        <f>#REF!+K530+#REF!</f>
        <v>#REF!</v>
      </c>
      <c r="O530" s="181" t="e">
        <f t="shared" si="69"/>
        <v>#REF!</v>
      </c>
    </row>
    <row r="531" spans="1:15" s="193" customFormat="1" outlineLevel="2">
      <c r="A531" s="155"/>
      <c r="B531" s="212" t="s">
        <v>995</v>
      </c>
      <c r="C531" s="190" t="s">
        <v>93</v>
      </c>
      <c r="D531" s="191"/>
      <c r="E531" s="176"/>
      <c r="F531" s="177"/>
      <c r="G531" s="192"/>
      <c r="H531" s="179"/>
      <c r="I531" s="339" t="e">
        <f>IF(#REF!="",#REF!*#REF!,IF(#REF!=0,#REF!*#REF!,#REF!*#REF!*#REF!))</f>
        <v>#REF!</v>
      </c>
      <c r="J531" s="180" t="e">
        <f>#REF!*#REF!</f>
        <v>#REF!</v>
      </c>
      <c r="K531" s="178" t="e">
        <f>#REF!*mo</f>
        <v>#REF!</v>
      </c>
      <c r="L531" s="178" t="e">
        <f t="shared" si="70"/>
        <v>#REF!</v>
      </c>
      <c r="M531" s="178" t="e">
        <f>#REF!*#REF!</f>
        <v>#REF!</v>
      </c>
      <c r="N531" s="178" t="e">
        <f>#REF!+K531+#REF!</f>
        <v>#REF!</v>
      </c>
      <c r="O531" s="181" t="e">
        <f t="shared" si="69"/>
        <v>#REF!</v>
      </c>
    </row>
    <row r="532" spans="1:15" s="193" customFormat="1" outlineLevel="2">
      <c r="A532" s="155"/>
      <c r="B532" s="212" t="s">
        <v>996</v>
      </c>
      <c r="C532" s="190" t="s">
        <v>93</v>
      </c>
      <c r="D532" s="191"/>
      <c r="E532" s="176"/>
      <c r="F532" s="177"/>
      <c r="G532" s="192"/>
      <c r="H532" s="179"/>
      <c r="I532" s="339" t="e">
        <f>IF(#REF!="",#REF!*#REF!,IF(#REF!=0,#REF!*#REF!,#REF!*#REF!*#REF!))</f>
        <v>#REF!</v>
      </c>
      <c r="J532" s="180" t="e">
        <f>#REF!*#REF!</f>
        <v>#REF!</v>
      </c>
      <c r="K532" s="178" t="e">
        <f>#REF!*mo</f>
        <v>#REF!</v>
      </c>
      <c r="L532" s="178" t="e">
        <f t="shared" si="70"/>
        <v>#REF!</v>
      </c>
      <c r="M532" s="178" t="e">
        <f>#REF!*#REF!</f>
        <v>#REF!</v>
      </c>
      <c r="N532" s="178" t="e">
        <f>#REF!+K532+#REF!</f>
        <v>#REF!</v>
      </c>
      <c r="O532" s="181" t="e">
        <f t="shared" si="69"/>
        <v>#REF!</v>
      </c>
    </row>
    <row r="533" spans="1:15" s="193" customFormat="1" outlineLevel="2">
      <c r="A533" s="155"/>
      <c r="B533" s="212" t="s">
        <v>997</v>
      </c>
      <c r="C533" s="190" t="s">
        <v>93</v>
      </c>
      <c r="D533" s="191"/>
      <c r="E533" s="176"/>
      <c r="F533" s="177"/>
      <c r="G533" s="192"/>
      <c r="H533" s="179"/>
      <c r="I533" s="339" t="e">
        <f>IF(#REF!="",#REF!*#REF!,IF(#REF!=0,#REF!*#REF!,#REF!*#REF!*#REF!))</f>
        <v>#REF!</v>
      </c>
      <c r="J533" s="180" t="e">
        <f>#REF!*#REF!</f>
        <v>#REF!</v>
      </c>
      <c r="K533" s="178" t="e">
        <f>#REF!*mo</f>
        <v>#REF!</v>
      </c>
      <c r="L533" s="178" t="e">
        <f t="shared" si="70"/>
        <v>#REF!</v>
      </c>
      <c r="M533" s="178" t="e">
        <f>#REF!*#REF!</f>
        <v>#REF!</v>
      </c>
      <c r="N533" s="178" t="e">
        <f>#REF!+K533+#REF!</f>
        <v>#REF!</v>
      </c>
      <c r="O533" s="181" t="e">
        <f t="shared" si="69"/>
        <v>#REF!</v>
      </c>
    </row>
    <row r="534" spans="1:15" s="193" customFormat="1" outlineLevel="2">
      <c r="A534" s="155"/>
      <c r="B534" s="212" t="s">
        <v>998</v>
      </c>
      <c r="C534" s="190" t="s">
        <v>93</v>
      </c>
      <c r="D534" s="191"/>
      <c r="E534" s="176"/>
      <c r="F534" s="177"/>
      <c r="G534" s="192"/>
      <c r="H534" s="179"/>
      <c r="I534" s="339" t="e">
        <f>IF(#REF!="",#REF!*#REF!,IF(#REF!=0,#REF!*#REF!,#REF!*#REF!*#REF!))</f>
        <v>#REF!</v>
      </c>
      <c r="J534" s="180" t="e">
        <f>#REF!*#REF!</f>
        <v>#REF!</v>
      </c>
      <c r="K534" s="178" t="e">
        <f>#REF!*mo</f>
        <v>#REF!</v>
      </c>
      <c r="L534" s="178" t="e">
        <f t="shared" si="70"/>
        <v>#REF!</v>
      </c>
      <c r="M534" s="178" t="e">
        <f>#REF!*#REF!</f>
        <v>#REF!</v>
      </c>
      <c r="N534" s="178" t="e">
        <f>#REF!+K534+#REF!</f>
        <v>#REF!</v>
      </c>
      <c r="O534" s="181" t="e">
        <f t="shared" si="69"/>
        <v>#REF!</v>
      </c>
    </row>
    <row r="535" spans="1:15" s="193" customFormat="1" outlineLevel="2">
      <c r="A535" s="155"/>
      <c r="B535" s="212" t="s">
        <v>999</v>
      </c>
      <c r="C535" s="190" t="s">
        <v>93</v>
      </c>
      <c r="D535" s="191"/>
      <c r="E535" s="176"/>
      <c r="F535" s="177"/>
      <c r="G535" s="192"/>
      <c r="H535" s="179"/>
      <c r="I535" s="339" t="e">
        <f>IF(#REF!="",#REF!*#REF!,IF(#REF!=0,#REF!*#REF!,#REF!*#REF!*#REF!))</f>
        <v>#REF!</v>
      </c>
      <c r="J535" s="180" t="e">
        <f>#REF!*#REF!</f>
        <v>#REF!</v>
      </c>
      <c r="K535" s="178" t="e">
        <f>#REF!*mo</f>
        <v>#REF!</v>
      </c>
      <c r="L535" s="178" t="e">
        <f t="shared" si="70"/>
        <v>#REF!</v>
      </c>
      <c r="M535" s="178" t="e">
        <f>#REF!*#REF!</f>
        <v>#REF!</v>
      </c>
      <c r="N535" s="178" t="e">
        <f>#REF!+K535+#REF!</f>
        <v>#REF!</v>
      </c>
      <c r="O535" s="181" t="e">
        <f t="shared" si="69"/>
        <v>#REF!</v>
      </c>
    </row>
    <row r="536" spans="1:15" s="193" customFormat="1" outlineLevel="2">
      <c r="A536" s="155"/>
      <c r="B536" s="212" t="s">
        <v>894</v>
      </c>
      <c r="C536" s="190" t="s">
        <v>93</v>
      </c>
      <c r="D536" s="191"/>
      <c r="E536" s="176"/>
      <c r="F536" s="177"/>
      <c r="G536" s="192"/>
      <c r="H536" s="179"/>
      <c r="I536" s="339" t="e">
        <f>IF(#REF!="",#REF!*#REF!,IF(#REF!=0,#REF!*#REF!,#REF!*#REF!*#REF!))</f>
        <v>#REF!</v>
      </c>
      <c r="J536" s="180" t="e">
        <f>#REF!*#REF!</f>
        <v>#REF!</v>
      </c>
      <c r="K536" s="178" t="e">
        <f>#REF!*mo</f>
        <v>#REF!</v>
      </c>
      <c r="L536" s="178" t="e">
        <f t="shared" si="70"/>
        <v>#REF!</v>
      </c>
      <c r="M536" s="178" t="e">
        <f>#REF!*#REF!</f>
        <v>#REF!</v>
      </c>
      <c r="N536" s="178" t="e">
        <f>#REF!+K536+#REF!</f>
        <v>#REF!</v>
      </c>
      <c r="O536" s="181" t="e">
        <f t="shared" si="69"/>
        <v>#REF!</v>
      </c>
    </row>
    <row r="537" spans="1:15" s="193" customFormat="1" outlineLevel="2">
      <c r="A537" s="155"/>
      <c r="B537" s="212"/>
      <c r="C537" s="190"/>
      <c r="D537" s="191"/>
      <c r="E537" s="176"/>
      <c r="F537" s="177"/>
      <c r="G537" s="192"/>
      <c r="H537" s="179"/>
      <c r="I537" s="339" t="e">
        <f>IF(#REF!="",#REF!*#REF!,IF(#REF!=0,#REF!*#REF!,#REF!*#REF!*#REF!))</f>
        <v>#REF!</v>
      </c>
      <c r="J537" s="180" t="e">
        <f>#REF!*#REF!</f>
        <v>#REF!</v>
      </c>
      <c r="K537" s="178" t="e">
        <f>#REF!*mo</f>
        <v>#REF!</v>
      </c>
      <c r="L537" s="178" t="e">
        <f t="shared" si="70"/>
        <v>#REF!</v>
      </c>
      <c r="M537" s="178" t="e">
        <f>#REF!*#REF!</f>
        <v>#REF!</v>
      </c>
      <c r="N537" s="178" t="e">
        <f>#REF!+K537+#REF!</f>
        <v>#REF!</v>
      </c>
      <c r="O537" s="181" t="e">
        <f t="shared" si="69"/>
        <v>#REF!</v>
      </c>
    </row>
    <row r="538" spans="1:15" s="193" customFormat="1" outlineLevel="2">
      <c r="A538" s="155"/>
      <c r="B538" s="233" t="s">
        <v>893</v>
      </c>
      <c r="C538" s="190"/>
      <c r="D538" s="191"/>
      <c r="E538" s="176"/>
      <c r="F538" s="177"/>
      <c r="G538" s="192"/>
      <c r="H538" s="179"/>
      <c r="I538" s="339" t="e">
        <f>IF(#REF!="",#REF!*#REF!,IF(#REF!=0,#REF!*#REF!,#REF!*#REF!*#REF!))</f>
        <v>#REF!</v>
      </c>
      <c r="J538" s="180" t="e">
        <f>#REF!*#REF!</f>
        <v>#REF!</v>
      </c>
      <c r="K538" s="178" t="e">
        <f>#REF!*mo</f>
        <v>#REF!</v>
      </c>
      <c r="L538" s="178" t="e">
        <f t="shared" si="70"/>
        <v>#REF!</v>
      </c>
      <c r="M538" s="178" t="e">
        <f>#REF!*#REF!</f>
        <v>#REF!</v>
      </c>
      <c r="N538" s="178" t="e">
        <f>#REF!+K538+#REF!</f>
        <v>#REF!</v>
      </c>
      <c r="O538" s="181" t="e">
        <f t="shared" si="69"/>
        <v>#REF!</v>
      </c>
    </row>
    <row r="539" spans="1:15" s="193" customFormat="1" outlineLevel="2">
      <c r="A539" s="155"/>
      <c r="B539" s="212" t="s">
        <v>995</v>
      </c>
      <c r="C539" s="190" t="s">
        <v>93</v>
      </c>
      <c r="D539" s="191"/>
      <c r="E539" s="176"/>
      <c r="F539" s="177"/>
      <c r="G539" s="192"/>
      <c r="H539" s="179"/>
      <c r="I539" s="339" t="e">
        <f>IF(#REF!="",#REF!*#REF!,IF(#REF!=0,#REF!*#REF!,#REF!*#REF!*#REF!))</f>
        <v>#REF!</v>
      </c>
      <c r="J539" s="180" t="e">
        <f>#REF!*#REF!</f>
        <v>#REF!</v>
      </c>
      <c r="K539" s="178" t="e">
        <f>#REF!*mo</f>
        <v>#REF!</v>
      </c>
      <c r="L539" s="178" t="e">
        <f t="shared" si="70"/>
        <v>#REF!</v>
      </c>
      <c r="M539" s="178" t="e">
        <f>#REF!*#REF!</f>
        <v>#REF!</v>
      </c>
      <c r="N539" s="178" t="e">
        <f>#REF!+K539+#REF!</f>
        <v>#REF!</v>
      </c>
      <c r="O539" s="181" t="e">
        <f t="shared" si="69"/>
        <v>#REF!</v>
      </c>
    </row>
    <row r="540" spans="1:15" s="193" customFormat="1" outlineLevel="2">
      <c r="A540" s="155"/>
      <c r="B540" s="212" t="s">
        <v>996</v>
      </c>
      <c r="C540" s="190" t="s">
        <v>93</v>
      </c>
      <c r="D540" s="191"/>
      <c r="E540" s="176"/>
      <c r="F540" s="177"/>
      <c r="G540" s="192"/>
      <c r="H540" s="179"/>
      <c r="I540" s="339" t="e">
        <f>IF(#REF!="",#REF!*#REF!,IF(#REF!=0,#REF!*#REF!,#REF!*#REF!*#REF!))</f>
        <v>#REF!</v>
      </c>
      <c r="J540" s="180" t="e">
        <f>#REF!*#REF!</f>
        <v>#REF!</v>
      </c>
      <c r="K540" s="178" t="e">
        <f>#REF!*mo</f>
        <v>#REF!</v>
      </c>
      <c r="L540" s="178" t="e">
        <f t="shared" si="70"/>
        <v>#REF!</v>
      </c>
      <c r="M540" s="178" t="e">
        <f>#REF!*#REF!</f>
        <v>#REF!</v>
      </c>
      <c r="N540" s="178" t="e">
        <f>#REF!+K540+#REF!</f>
        <v>#REF!</v>
      </c>
      <c r="O540" s="181" t="e">
        <f t="shared" si="69"/>
        <v>#REF!</v>
      </c>
    </row>
    <row r="541" spans="1:15" s="193" customFormat="1" outlineLevel="2">
      <c r="A541" s="155"/>
      <c r="B541" s="212" t="s">
        <v>997</v>
      </c>
      <c r="C541" s="190" t="s">
        <v>93</v>
      </c>
      <c r="D541" s="191"/>
      <c r="E541" s="176"/>
      <c r="F541" s="177"/>
      <c r="G541" s="192"/>
      <c r="H541" s="179"/>
      <c r="I541" s="339" t="e">
        <f>IF(#REF!="",#REF!*#REF!,IF(#REF!=0,#REF!*#REF!,#REF!*#REF!*#REF!))</f>
        <v>#REF!</v>
      </c>
      <c r="J541" s="180" t="e">
        <f>#REF!*#REF!</f>
        <v>#REF!</v>
      </c>
      <c r="K541" s="178" t="e">
        <f>#REF!*mo</f>
        <v>#REF!</v>
      </c>
      <c r="L541" s="178" t="e">
        <f t="shared" si="70"/>
        <v>#REF!</v>
      </c>
      <c r="M541" s="178" t="e">
        <f>#REF!*#REF!</f>
        <v>#REF!</v>
      </c>
      <c r="N541" s="178" t="e">
        <f>#REF!+K541+#REF!</f>
        <v>#REF!</v>
      </c>
      <c r="O541" s="181" t="e">
        <f t="shared" si="69"/>
        <v>#REF!</v>
      </c>
    </row>
    <row r="542" spans="1:15" s="193" customFormat="1" outlineLevel="2">
      <c r="A542" s="155"/>
      <c r="B542" s="212" t="s">
        <v>998</v>
      </c>
      <c r="C542" s="190" t="s">
        <v>93</v>
      </c>
      <c r="D542" s="191"/>
      <c r="E542" s="176"/>
      <c r="F542" s="177"/>
      <c r="G542" s="192"/>
      <c r="H542" s="179"/>
      <c r="I542" s="339" t="e">
        <f>IF(#REF!="",#REF!*#REF!,IF(#REF!=0,#REF!*#REF!,#REF!*#REF!*#REF!))</f>
        <v>#REF!</v>
      </c>
      <c r="J542" s="180" t="e">
        <f>#REF!*#REF!</f>
        <v>#REF!</v>
      </c>
      <c r="K542" s="178" t="e">
        <f>#REF!*mo</f>
        <v>#REF!</v>
      </c>
      <c r="L542" s="178" t="e">
        <f t="shared" si="70"/>
        <v>#REF!</v>
      </c>
      <c r="M542" s="178" t="e">
        <f>#REF!*#REF!</f>
        <v>#REF!</v>
      </c>
      <c r="N542" s="178" t="e">
        <f>#REF!+K542+#REF!</f>
        <v>#REF!</v>
      </c>
      <c r="O542" s="181" t="e">
        <f t="shared" si="69"/>
        <v>#REF!</v>
      </c>
    </row>
    <row r="543" spans="1:15" s="193" customFormat="1" outlineLevel="2">
      <c r="A543" s="155"/>
      <c r="B543" s="212" t="s">
        <v>999</v>
      </c>
      <c r="C543" s="190" t="s">
        <v>93</v>
      </c>
      <c r="D543" s="191"/>
      <c r="E543" s="176"/>
      <c r="F543" s="177"/>
      <c r="G543" s="192"/>
      <c r="H543" s="179"/>
      <c r="I543" s="339" t="e">
        <f>IF(#REF!="",#REF!*#REF!,IF(#REF!=0,#REF!*#REF!,#REF!*#REF!*#REF!))</f>
        <v>#REF!</v>
      </c>
      <c r="J543" s="180" t="e">
        <f>#REF!*#REF!</f>
        <v>#REF!</v>
      </c>
      <c r="K543" s="178" t="e">
        <f>#REF!*mo</f>
        <v>#REF!</v>
      </c>
      <c r="L543" s="178" t="e">
        <f t="shared" si="70"/>
        <v>#REF!</v>
      </c>
      <c r="M543" s="178" t="e">
        <f>#REF!*#REF!</f>
        <v>#REF!</v>
      </c>
      <c r="N543" s="178" t="e">
        <f>#REF!+K543+#REF!</f>
        <v>#REF!</v>
      </c>
      <c r="O543" s="181" t="e">
        <f t="shared" si="69"/>
        <v>#REF!</v>
      </c>
    </row>
    <row r="544" spans="1:15" s="193" customFormat="1" outlineLevel="2">
      <c r="A544" s="155"/>
      <c r="B544" s="212" t="s">
        <v>894</v>
      </c>
      <c r="C544" s="190" t="s">
        <v>93</v>
      </c>
      <c r="D544" s="191"/>
      <c r="E544" s="176"/>
      <c r="F544" s="177"/>
      <c r="G544" s="192"/>
      <c r="H544" s="179"/>
      <c r="I544" s="339" t="e">
        <f>IF(#REF!="",#REF!*#REF!,IF(#REF!=0,#REF!*#REF!,#REF!*#REF!*#REF!))</f>
        <v>#REF!</v>
      </c>
      <c r="J544" s="180" t="e">
        <f>#REF!*#REF!</f>
        <v>#REF!</v>
      </c>
      <c r="K544" s="178" t="e">
        <f>#REF!*mo</f>
        <v>#REF!</v>
      </c>
      <c r="L544" s="178" t="e">
        <f t="shared" si="70"/>
        <v>#REF!</v>
      </c>
      <c r="M544" s="178" t="e">
        <f>#REF!*#REF!</f>
        <v>#REF!</v>
      </c>
      <c r="N544" s="178" t="e">
        <f>#REF!+K544+#REF!</f>
        <v>#REF!</v>
      </c>
      <c r="O544" s="181" t="e">
        <f t="shared" si="69"/>
        <v>#REF!</v>
      </c>
    </row>
    <row r="545" spans="1:15" s="193" customFormat="1" outlineLevel="2">
      <c r="A545" s="155"/>
      <c r="B545" s="212" t="s">
        <v>1000</v>
      </c>
      <c r="C545" s="190" t="s">
        <v>93</v>
      </c>
      <c r="D545" s="191"/>
      <c r="E545" s="176"/>
      <c r="F545" s="177"/>
      <c r="G545" s="192"/>
      <c r="H545" s="179"/>
      <c r="I545" s="339" t="e">
        <f>IF(#REF!="",#REF!*#REF!,IF(#REF!=0,#REF!*#REF!,#REF!*#REF!*#REF!))</f>
        <v>#REF!</v>
      </c>
      <c r="J545" s="180" t="e">
        <f>#REF!*#REF!</f>
        <v>#REF!</v>
      </c>
      <c r="K545" s="178" t="e">
        <f>#REF!*mo</f>
        <v>#REF!</v>
      </c>
      <c r="L545" s="178" t="e">
        <f t="shared" si="70"/>
        <v>#REF!</v>
      </c>
      <c r="M545" s="178" t="e">
        <f>#REF!*#REF!</f>
        <v>#REF!</v>
      </c>
      <c r="N545" s="178" t="e">
        <f>#REF!+K545+#REF!</f>
        <v>#REF!</v>
      </c>
      <c r="O545" s="181" t="e">
        <f t="shared" si="69"/>
        <v>#REF!</v>
      </c>
    </row>
    <row r="546" spans="1:15" s="193" customFormat="1" outlineLevel="2">
      <c r="A546" s="155"/>
      <c r="B546" s="233"/>
      <c r="C546" s="190"/>
      <c r="D546" s="191"/>
      <c r="E546" s="176"/>
      <c r="F546" s="177"/>
      <c r="G546" s="192"/>
      <c r="H546" s="179"/>
      <c r="I546" s="339" t="e">
        <f>IF(#REF!="",#REF!*#REF!,IF(#REF!=0,#REF!*#REF!,#REF!*#REF!*#REF!))</f>
        <v>#REF!</v>
      </c>
      <c r="J546" s="180" t="e">
        <f>#REF!*#REF!</f>
        <v>#REF!</v>
      </c>
      <c r="K546" s="178" t="e">
        <f>#REF!*mo</f>
        <v>#REF!</v>
      </c>
      <c r="L546" s="178" t="e">
        <f t="shared" si="70"/>
        <v>#REF!</v>
      </c>
      <c r="M546" s="178" t="e">
        <f>#REF!*#REF!</f>
        <v>#REF!</v>
      </c>
      <c r="N546" s="178" t="e">
        <f>#REF!+K546+#REF!</f>
        <v>#REF!</v>
      </c>
      <c r="O546" s="181" t="e">
        <f t="shared" si="69"/>
        <v>#REF!</v>
      </c>
    </row>
    <row r="547" spans="1:15" s="193" customFormat="1" outlineLevel="2">
      <c r="A547" s="155"/>
      <c r="B547" s="233" t="s">
        <v>1023</v>
      </c>
      <c r="C547" s="190" t="s">
        <v>123</v>
      </c>
      <c r="D547" s="191"/>
      <c r="E547" s="176"/>
      <c r="F547" s="177"/>
      <c r="G547" s="192"/>
      <c r="H547" s="179"/>
      <c r="I547" s="339" t="e">
        <f>IF(#REF!="",#REF!*#REF!,IF(#REF!=0,#REF!*#REF!,#REF!*#REF!*#REF!))</f>
        <v>#REF!</v>
      </c>
      <c r="J547" s="180" t="e">
        <f>#REF!*#REF!</f>
        <v>#REF!</v>
      </c>
      <c r="K547" s="178" t="e">
        <f>#REF!*mo</f>
        <v>#REF!</v>
      </c>
      <c r="L547" s="178" t="e">
        <f t="shared" si="70"/>
        <v>#REF!</v>
      </c>
      <c r="M547" s="178" t="e">
        <f>#REF!*#REF!</f>
        <v>#REF!</v>
      </c>
      <c r="N547" s="178" t="e">
        <f>#REF!+K547+#REF!</f>
        <v>#REF!</v>
      </c>
      <c r="O547" s="181" t="e">
        <f t="shared" si="69"/>
        <v>#REF!</v>
      </c>
    </row>
    <row r="548" spans="1:15" s="193" customFormat="1" outlineLevel="2">
      <c r="A548" s="155"/>
      <c r="B548" s="212"/>
      <c r="C548" s="190"/>
      <c r="D548" s="191"/>
      <c r="E548" s="176"/>
      <c r="F548" s="177"/>
      <c r="G548" s="192"/>
      <c r="H548" s="179"/>
      <c r="I548" s="339" t="e">
        <f>IF(#REF!="",#REF!*#REF!,IF(#REF!=0,#REF!*#REF!,#REF!*#REF!*#REF!))</f>
        <v>#REF!</v>
      </c>
      <c r="J548" s="180" t="e">
        <f>#REF!*#REF!</f>
        <v>#REF!</v>
      </c>
      <c r="K548" s="178" t="e">
        <f>#REF!*mo</f>
        <v>#REF!</v>
      </c>
      <c r="L548" s="178" t="e">
        <f t="shared" si="70"/>
        <v>#REF!</v>
      </c>
      <c r="M548" s="178" t="e">
        <f>#REF!*#REF!</f>
        <v>#REF!</v>
      </c>
      <c r="N548" s="178" t="e">
        <f>#REF!+K548+#REF!</f>
        <v>#REF!</v>
      </c>
      <c r="O548" s="181" t="e">
        <f t="shared" si="69"/>
        <v>#REF!</v>
      </c>
    </row>
    <row r="549" spans="1:15" s="193" customFormat="1" outlineLevel="2">
      <c r="A549" s="155"/>
      <c r="B549" s="233" t="s">
        <v>1024</v>
      </c>
      <c r="C549" s="190" t="s">
        <v>93</v>
      </c>
      <c r="D549" s="191"/>
      <c r="E549" s="176"/>
      <c r="F549" s="177"/>
      <c r="G549" s="192"/>
      <c r="H549" s="179"/>
      <c r="I549" s="339" t="e">
        <f>IF(#REF!="",#REF!*#REF!,IF(#REF!=0,#REF!*#REF!,#REF!*#REF!*#REF!))</f>
        <v>#REF!</v>
      </c>
      <c r="J549" s="180" t="e">
        <f>#REF!*#REF!</f>
        <v>#REF!</v>
      </c>
      <c r="K549" s="178" t="e">
        <f>#REF!*mo</f>
        <v>#REF!</v>
      </c>
      <c r="L549" s="178" t="e">
        <f t="shared" si="70"/>
        <v>#REF!</v>
      </c>
      <c r="M549" s="178" t="e">
        <f>#REF!*#REF!</f>
        <v>#REF!</v>
      </c>
      <c r="N549" s="178" t="e">
        <f>#REF!+K549+#REF!</f>
        <v>#REF!</v>
      </c>
      <c r="O549" s="181" t="e">
        <f t="shared" si="69"/>
        <v>#REF!</v>
      </c>
    </row>
    <row r="550" spans="1:15" s="193" customFormat="1" outlineLevel="2">
      <c r="A550" s="155"/>
      <c r="B550" s="212"/>
      <c r="C550" s="190"/>
      <c r="D550" s="191"/>
      <c r="E550" s="176"/>
      <c r="F550" s="177"/>
      <c r="G550" s="192"/>
      <c r="H550" s="179"/>
      <c r="I550" s="339" t="e">
        <f>IF(#REF!="",#REF!*#REF!,IF(#REF!=0,#REF!*#REF!,#REF!*#REF!*#REF!))</f>
        <v>#REF!</v>
      </c>
      <c r="J550" s="180" t="e">
        <f>#REF!*#REF!</f>
        <v>#REF!</v>
      </c>
      <c r="K550" s="178" t="e">
        <f>#REF!*mo</f>
        <v>#REF!</v>
      </c>
      <c r="L550" s="178" t="e">
        <f t="shared" si="70"/>
        <v>#REF!</v>
      </c>
      <c r="M550" s="178" t="e">
        <f>#REF!*#REF!</f>
        <v>#REF!</v>
      </c>
      <c r="N550" s="178" t="e">
        <f>#REF!+K550+#REF!</f>
        <v>#REF!</v>
      </c>
      <c r="O550" s="181" t="e">
        <f t="shared" si="69"/>
        <v>#REF!</v>
      </c>
    </row>
    <row r="551" spans="1:15" s="193" customFormat="1" ht="13.5" customHeight="1" outlineLevel="2">
      <c r="A551" s="155"/>
      <c r="B551" s="234" t="s">
        <v>1025</v>
      </c>
      <c r="C551" s="190" t="s">
        <v>93</v>
      </c>
      <c r="D551" s="191"/>
      <c r="E551" s="176"/>
      <c r="F551" s="177"/>
      <c r="G551" s="192"/>
      <c r="H551" s="179"/>
      <c r="I551" s="339" t="e">
        <f>IF(#REF!="",#REF!*#REF!,IF(#REF!=0,#REF!*#REF!,#REF!*#REF!*#REF!))</f>
        <v>#REF!</v>
      </c>
      <c r="J551" s="180" t="e">
        <f>#REF!*#REF!</f>
        <v>#REF!</v>
      </c>
      <c r="K551" s="178" t="e">
        <f>#REF!*mo</f>
        <v>#REF!</v>
      </c>
      <c r="L551" s="178" t="e">
        <f t="shared" si="70"/>
        <v>#REF!</v>
      </c>
      <c r="M551" s="178" t="e">
        <f>#REF!*#REF!</f>
        <v>#REF!</v>
      </c>
      <c r="N551" s="178" t="e">
        <f>#REF!+K551+#REF!</f>
        <v>#REF!</v>
      </c>
      <c r="O551" s="181" t="e">
        <f t="shared" si="69"/>
        <v>#REF!</v>
      </c>
    </row>
    <row r="552" spans="1:15" s="193" customFormat="1" ht="13.5" customHeight="1" outlineLevel="2">
      <c r="A552" s="155"/>
      <c r="B552" s="234" t="s">
        <v>1026</v>
      </c>
      <c r="C552" s="190" t="s">
        <v>93</v>
      </c>
      <c r="D552" s="191"/>
      <c r="E552" s="176"/>
      <c r="F552" s="177"/>
      <c r="G552" s="192"/>
      <c r="H552" s="179"/>
      <c r="I552" s="339" t="e">
        <f>IF(#REF!="",#REF!*#REF!,IF(#REF!=0,#REF!*#REF!,#REF!*#REF!*#REF!))</f>
        <v>#REF!</v>
      </c>
      <c r="J552" s="180" t="e">
        <f>#REF!*#REF!</f>
        <v>#REF!</v>
      </c>
      <c r="K552" s="178" t="e">
        <f>#REF!*mo</f>
        <v>#REF!</v>
      </c>
      <c r="L552" s="178" t="e">
        <f t="shared" si="70"/>
        <v>#REF!</v>
      </c>
      <c r="M552" s="178" t="e">
        <f>#REF!*#REF!</f>
        <v>#REF!</v>
      </c>
      <c r="N552" s="178" t="e">
        <f>#REF!+K552+#REF!</f>
        <v>#REF!</v>
      </c>
      <c r="O552" s="181" t="e">
        <f t="shared" si="69"/>
        <v>#REF!</v>
      </c>
    </row>
    <row r="553" spans="1:15" s="193" customFormat="1" ht="13.5" customHeight="1" outlineLevel="2">
      <c r="A553" s="155"/>
      <c r="B553" s="234"/>
      <c r="C553" s="190"/>
      <c r="D553" s="191"/>
      <c r="E553" s="176"/>
      <c r="F553" s="177"/>
      <c r="G553" s="192"/>
      <c r="H553" s="179"/>
      <c r="I553" s="339"/>
      <c r="J553" s="180"/>
      <c r="K553" s="178"/>
      <c r="L553" s="178"/>
      <c r="M553" s="178"/>
      <c r="N553" s="178"/>
      <c r="O553" s="181"/>
    </row>
    <row r="554" spans="1:15" s="193" customFormat="1" outlineLevel="2">
      <c r="A554" s="155"/>
      <c r="B554" s="239" t="s">
        <v>1027</v>
      </c>
      <c r="C554" s="190"/>
      <c r="D554" s="191"/>
      <c r="E554" s="176"/>
      <c r="F554" s="177"/>
      <c r="G554" s="192"/>
      <c r="H554" s="179"/>
      <c r="I554" s="339"/>
      <c r="J554" s="180"/>
      <c r="K554" s="178"/>
      <c r="L554" s="178"/>
      <c r="M554" s="178"/>
      <c r="N554" s="178"/>
      <c r="O554" s="181"/>
    </row>
    <row r="555" spans="1:15" s="193" customFormat="1" outlineLevel="2">
      <c r="A555" s="155"/>
      <c r="B555" s="234" t="s">
        <v>1028</v>
      </c>
      <c r="C555" s="190" t="s">
        <v>93</v>
      </c>
      <c r="D555" s="191"/>
      <c r="E555" s="176"/>
      <c r="F555" s="177"/>
      <c r="G555" s="192"/>
      <c r="H555" s="179"/>
      <c r="I555" s="339" t="e">
        <f>IF(#REF!="",#REF!*#REF!,IF(#REF!=0,#REF!*#REF!,#REF!*#REF!*#REF!))</f>
        <v>#REF!</v>
      </c>
      <c r="J555" s="180" t="e">
        <f>#REF!*#REF!</f>
        <v>#REF!</v>
      </c>
      <c r="K555" s="178" t="e">
        <f>#REF!*mo</f>
        <v>#REF!</v>
      </c>
      <c r="L555" s="178" t="e">
        <f t="shared" ref="L555:L558" si="76">J555*mo</f>
        <v>#REF!</v>
      </c>
      <c r="M555" s="178" t="e">
        <f>#REF!*#REF!</f>
        <v>#REF!</v>
      </c>
      <c r="N555" s="178" t="e">
        <f>#REF!+K555+#REF!</f>
        <v>#REF!</v>
      </c>
      <c r="O555" s="181" t="e">
        <f t="shared" ref="O555:O558" si="77">M555+L555+I555</f>
        <v>#REF!</v>
      </c>
    </row>
    <row r="556" spans="1:15" s="193" customFormat="1" outlineLevel="2">
      <c r="A556" s="155"/>
      <c r="B556" s="234" t="s">
        <v>1029</v>
      </c>
      <c r="C556" s="190" t="s">
        <v>93</v>
      </c>
      <c r="D556" s="191"/>
      <c r="E556" s="176"/>
      <c r="F556" s="177"/>
      <c r="G556" s="192"/>
      <c r="H556" s="179"/>
      <c r="I556" s="339" t="e">
        <f>IF(#REF!="",#REF!*#REF!,IF(#REF!=0,#REF!*#REF!,#REF!*#REF!*#REF!))</f>
        <v>#REF!</v>
      </c>
      <c r="J556" s="180" t="e">
        <f>#REF!*#REF!</f>
        <v>#REF!</v>
      </c>
      <c r="K556" s="178" t="e">
        <f>#REF!*mo</f>
        <v>#REF!</v>
      </c>
      <c r="L556" s="178" t="e">
        <f t="shared" ref="L556" si="78">J556*mo</f>
        <v>#REF!</v>
      </c>
      <c r="M556" s="178" t="e">
        <f>#REF!*#REF!</f>
        <v>#REF!</v>
      </c>
      <c r="N556" s="178" t="e">
        <f>#REF!+K556+#REF!</f>
        <v>#REF!</v>
      </c>
      <c r="O556" s="181" t="e">
        <f t="shared" si="77"/>
        <v>#REF!</v>
      </c>
    </row>
    <row r="557" spans="1:15" s="193" customFormat="1" outlineLevel="2">
      <c r="A557" s="155"/>
      <c r="B557" s="197" t="s">
        <v>905</v>
      </c>
      <c r="C557" s="190" t="s">
        <v>93</v>
      </c>
      <c r="D557" s="191"/>
      <c r="E557" s="176"/>
      <c r="F557" s="177"/>
      <c r="G557" s="192"/>
      <c r="H557" s="179"/>
      <c r="I557" s="339" t="e">
        <f>IF(#REF!="",#REF!*#REF!,IF(#REF!=0,#REF!*#REF!,#REF!*#REF!*#REF!))</f>
        <v>#REF!</v>
      </c>
      <c r="J557" s="180" t="e">
        <f>#REF!*#REF!</f>
        <v>#REF!</v>
      </c>
      <c r="K557" s="178" t="e">
        <f>#REF!*mo</f>
        <v>#REF!</v>
      </c>
      <c r="L557" s="178" t="e">
        <f t="shared" si="76"/>
        <v>#REF!</v>
      </c>
      <c r="M557" s="178" t="e">
        <f>#REF!*#REF!</f>
        <v>#REF!</v>
      </c>
      <c r="N557" s="178" t="e">
        <f>#REF!+K557+#REF!</f>
        <v>#REF!</v>
      </c>
      <c r="O557" s="181" t="e">
        <f t="shared" si="77"/>
        <v>#REF!</v>
      </c>
    </row>
    <row r="558" spans="1:15" s="193" customFormat="1" outlineLevel="2">
      <c r="A558" s="155"/>
      <c r="B558" s="197" t="s">
        <v>906</v>
      </c>
      <c r="C558" s="190" t="s">
        <v>93</v>
      </c>
      <c r="D558" s="191"/>
      <c r="E558" s="176"/>
      <c r="F558" s="177"/>
      <c r="G558" s="192"/>
      <c r="H558" s="179"/>
      <c r="I558" s="339" t="e">
        <f>IF(#REF!="",#REF!*#REF!,IF(#REF!=0,#REF!*#REF!,#REF!*#REF!*#REF!))</f>
        <v>#REF!</v>
      </c>
      <c r="J558" s="180" t="e">
        <f>#REF!*#REF!</f>
        <v>#REF!</v>
      </c>
      <c r="K558" s="178" t="e">
        <f>#REF!*mo</f>
        <v>#REF!</v>
      </c>
      <c r="L558" s="178" t="e">
        <f t="shared" si="76"/>
        <v>#REF!</v>
      </c>
      <c r="M558" s="178" t="e">
        <f>#REF!*#REF!</f>
        <v>#REF!</v>
      </c>
      <c r="N558" s="178" t="e">
        <f>#REF!+K558+#REF!</f>
        <v>#REF!</v>
      </c>
      <c r="O558" s="181" t="e">
        <f t="shared" si="77"/>
        <v>#REF!</v>
      </c>
    </row>
    <row r="559" spans="1:15" s="193" customFormat="1" outlineLevel="2">
      <c r="A559" s="155"/>
      <c r="B559" s="197"/>
      <c r="C559" s="190"/>
      <c r="D559" s="191"/>
      <c r="E559" s="176"/>
      <c r="F559" s="177"/>
      <c r="G559" s="192"/>
      <c r="H559" s="179"/>
      <c r="I559" s="339"/>
      <c r="J559" s="180"/>
      <c r="K559" s="178"/>
      <c r="L559" s="178"/>
      <c r="M559" s="178"/>
      <c r="N559" s="178"/>
      <c r="O559" s="181"/>
    </row>
    <row r="560" spans="1:15" s="193" customFormat="1" outlineLevel="2">
      <c r="A560" s="155"/>
      <c r="B560" s="197" t="s">
        <v>1030</v>
      </c>
      <c r="C560" s="190" t="s">
        <v>93</v>
      </c>
      <c r="D560" s="191"/>
      <c r="E560" s="176"/>
      <c r="F560" s="177"/>
      <c r="G560" s="192"/>
      <c r="H560" s="179"/>
      <c r="I560" s="339" t="e">
        <f>IF(#REF!="",#REF!*#REF!,IF(#REF!=0,#REF!*#REF!,#REF!*#REF!*#REF!))</f>
        <v>#REF!</v>
      </c>
      <c r="J560" s="180" t="e">
        <f>#REF!*#REF!</f>
        <v>#REF!</v>
      </c>
      <c r="K560" s="178" t="e">
        <f>#REF!*mo</f>
        <v>#REF!</v>
      </c>
      <c r="L560" s="178" t="e">
        <f t="shared" ref="L560" si="79">J560*mo</f>
        <v>#REF!</v>
      </c>
      <c r="M560" s="178" t="e">
        <f>#REF!*#REF!</f>
        <v>#REF!</v>
      </c>
      <c r="N560" s="178" t="e">
        <f>#REF!+K560+#REF!</f>
        <v>#REF!</v>
      </c>
      <c r="O560" s="181" t="e">
        <f t="shared" ref="O560:O572" si="80">M560+L560+I560</f>
        <v>#REF!</v>
      </c>
    </row>
    <row r="561" spans="1:15" s="193" customFormat="1" outlineLevel="2">
      <c r="A561" s="155"/>
      <c r="B561" s="156"/>
      <c r="C561" s="190"/>
      <c r="D561" s="191"/>
      <c r="E561" s="176"/>
      <c r="F561" s="177"/>
      <c r="G561" s="192"/>
      <c r="H561" s="179"/>
      <c r="I561" s="339" t="e">
        <f>IF(#REF!="",#REF!*#REF!,IF(#REF!=0,#REF!*#REF!,#REF!*#REF!*#REF!))</f>
        <v>#REF!</v>
      </c>
      <c r="J561" s="180" t="e">
        <f>#REF!*#REF!</f>
        <v>#REF!</v>
      </c>
      <c r="K561" s="178" t="e">
        <f>#REF!*mo</f>
        <v>#REF!</v>
      </c>
      <c r="L561" s="178" t="e">
        <f t="shared" ref="L561:L571" si="81">J561*mo</f>
        <v>#REF!</v>
      </c>
      <c r="M561" s="178" t="e">
        <f>#REF!*#REF!</f>
        <v>#REF!</v>
      </c>
      <c r="N561" s="178" t="e">
        <f>#REF!+K561+#REF!</f>
        <v>#REF!</v>
      </c>
      <c r="O561" s="181" t="e">
        <f t="shared" si="80"/>
        <v>#REF!</v>
      </c>
    </row>
    <row r="562" spans="1:15" s="193" customFormat="1" outlineLevel="1">
      <c r="A562" s="157" t="str">
        <f>A503&amp;".3"</f>
        <v>6.3</v>
      </c>
      <c r="B562" s="210" t="s">
        <v>1031</v>
      </c>
      <c r="C562" s="190"/>
      <c r="D562" s="191"/>
      <c r="E562" s="176"/>
      <c r="F562" s="177"/>
      <c r="G562" s="192">
        <f>SUM(F563:F571)</f>
        <v>0</v>
      </c>
      <c r="H562" s="179"/>
      <c r="I562" s="339" t="e">
        <f>IF(#REF!="",#REF!*#REF!,IF(#REF!=0,#REF!*#REF!,#REF!*#REF!*#REF!))</f>
        <v>#REF!</v>
      </c>
      <c r="J562" s="180" t="e">
        <f>#REF!*#REF!</f>
        <v>#REF!</v>
      </c>
      <c r="K562" s="178" t="e">
        <f>#REF!*mo</f>
        <v>#REF!</v>
      </c>
      <c r="L562" s="178" t="e">
        <f t="shared" si="81"/>
        <v>#REF!</v>
      </c>
      <c r="M562" s="178" t="e">
        <f>#REF!*#REF!</f>
        <v>#REF!</v>
      </c>
      <c r="N562" s="178" t="e">
        <f>#REF!+K562+#REF!</f>
        <v>#REF!</v>
      </c>
      <c r="O562" s="181" t="e">
        <f t="shared" si="80"/>
        <v>#REF!</v>
      </c>
    </row>
    <row r="563" spans="1:15" s="193" customFormat="1" outlineLevel="2">
      <c r="A563" s="211"/>
      <c r="B563" s="210"/>
      <c r="C563" s="190"/>
      <c r="D563" s="191"/>
      <c r="E563" s="176"/>
      <c r="F563" s="177"/>
      <c r="G563" s="192"/>
      <c r="H563" s="179"/>
      <c r="I563" s="339" t="e">
        <f>IF(#REF!="",#REF!*#REF!,IF(#REF!=0,#REF!*#REF!,#REF!*#REF!*#REF!))</f>
        <v>#REF!</v>
      </c>
      <c r="J563" s="180" t="e">
        <f>#REF!*#REF!</f>
        <v>#REF!</v>
      </c>
      <c r="K563" s="178" t="e">
        <f>#REF!*mo</f>
        <v>#REF!</v>
      </c>
      <c r="L563" s="178" t="e">
        <f t="shared" si="81"/>
        <v>#REF!</v>
      </c>
      <c r="M563" s="178" t="e">
        <f>#REF!*#REF!</f>
        <v>#REF!</v>
      </c>
      <c r="N563" s="178" t="e">
        <f>#REF!+K563+#REF!</f>
        <v>#REF!</v>
      </c>
      <c r="O563" s="181" t="e">
        <f t="shared" si="80"/>
        <v>#REF!</v>
      </c>
    </row>
    <row r="564" spans="1:15" s="193" customFormat="1" outlineLevel="2">
      <c r="A564" s="211"/>
      <c r="B564" s="212" t="s">
        <v>1008</v>
      </c>
      <c r="C564" s="190" t="s">
        <v>795</v>
      </c>
      <c r="D564" s="191"/>
      <c r="E564" s="176"/>
      <c r="F564" s="177"/>
      <c r="G564" s="192"/>
      <c r="H564" s="179"/>
      <c r="I564" s="339" t="e">
        <f>IF(#REF!="",#REF!*#REF!,IF(#REF!=0,#REF!*#REF!,#REF!*#REF!*#REF!))</f>
        <v>#REF!</v>
      </c>
      <c r="J564" s="180" t="e">
        <f>#REF!*#REF!</f>
        <v>#REF!</v>
      </c>
      <c r="K564" s="178" t="e">
        <f>#REF!*mo</f>
        <v>#REF!</v>
      </c>
      <c r="L564" s="178" t="e">
        <f t="shared" si="81"/>
        <v>#REF!</v>
      </c>
      <c r="M564" s="178" t="e">
        <f>#REF!*#REF!</f>
        <v>#REF!</v>
      </c>
      <c r="N564" s="178" t="e">
        <f>#REF!+K564+#REF!</f>
        <v>#REF!</v>
      </c>
      <c r="O564" s="181" t="e">
        <f t="shared" si="80"/>
        <v>#REF!</v>
      </c>
    </row>
    <row r="565" spans="1:15" s="193" customFormat="1" outlineLevel="2">
      <c r="A565" s="211"/>
      <c r="B565" s="212" t="s">
        <v>1009</v>
      </c>
      <c r="C565" s="190" t="s">
        <v>795</v>
      </c>
      <c r="D565" s="191"/>
      <c r="E565" s="176"/>
      <c r="F565" s="177"/>
      <c r="G565" s="192"/>
      <c r="H565" s="179"/>
      <c r="I565" s="339" t="e">
        <f>IF(#REF!="",#REF!*#REF!,IF(#REF!=0,#REF!*#REF!,#REF!*#REF!*#REF!))</f>
        <v>#REF!</v>
      </c>
      <c r="J565" s="180" t="e">
        <f>#REF!*#REF!</f>
        <v>#REF!</v>
      </c>
      <c r="K565" s="178" t="e">
        <f>#REF!*mo</f>
        <v>#REF!</v>
      </c>
      <c r="L565" s="178" t="e">
        <f t="shared" si="81"/>
        <v>#REF!</v>
      </c>
      <c r="M565" s="178" t="e">
        <f>#REF!*#REF!</f>
        <v>#REF!</v>
      </c>
      <c r="N565" s="178" t="e">
        <f>#REF!+K565+#REF!</f>
        <v>#REF!</v>
      </c>
      <c r="O565" s="181" t="e">
        <f t="shared" si="80"/>
        <v>#REF!</v>
      </c>
    </row>
    <row r="566" spans="1:15" s="193" customFormat="1" outlineLevel="2">
      <c r="A566" s="211"/>
      <c r="B566" s="212" t="s">
        <v>1010</v>
      </c>
      <c r="C566" s="190" t="s">
        <v>795</v>
      </c>
      <c r="D566" s="191"/>
      <c r="E566" s="176"/>
      <c r="F566" s="177"/>
      <c r="G566" s="192"/>
      <c r="H566" s="179"/>
      <c r="I566" s="339" t="e">
        <f>IF(#REF!="",#REF!*#REF!,IF(#REF!=0,#REF!*#REF!,#REF!*#REF!*#REF!))</f>
        <v>#REF!</v>
      </c>
      <c r="J566" s="180" t="e">
        <f>#REF!*#REF!</f>
        <v>#REF!</v>
      </c>
      <c r="K566" s="178" t="e">
        <f>#REF!*mo</f>
        <v>#REF!</v>
      </c>
      <c r="L566" s="178" t="e">
        <f t="shared" si="81"/>
        <v>#REF!</v>
      </c>
      <c r="M566" s="178" t="e">
        <f>#REF!*#REF!</f>
        <v>#REF!</v>
      </c>
      <c r="N566" s="178" t="e">
        <f>#REF!+K566+#REF!</f>
        <v>#REF!</v>
      </c>
      <c r="O566" s="181" t="e">
        <f t="shared" si="80"/>
        <v>#REF!</v>
      </c>
    </row>
    <row r="567" spans="1:15" s="193" customFormat="1" outlineLevel="2">
      <c r="A567" s="211"/>
      <c r="B567" s="212" t="s">
        <v>1011</v>
      </c>
      <c r="C567" s="190" t="s">
        <v>795</v>
      </c>
      <c r="D567" s="191"/>
      <c r="E567" s="176"/>
      <c r="F567" s="177"/>
      <c r="G567" s="192"/>
      <c r="H567" s="179"/>
      <c r="I567" s="339" t="e">
        <f>IF(#REF!="",#REF!*#REF!,IF(#REF!=0,#REF!*#REF!,#REF!*#REF!*#REF!))</f>
        <v>#REF!</v>
      </c>
      <c r="J567" s="180" t="e">
        <f>#REF!*#REF!</f>
        <v>#REF!</v>
      </c>
      <c r="K567" s="178" t="e">
        <f>#REF!*mo</f>
        <v>#REF!</v>
      </c>
      <c r="L567" s="178" t="e">
        <f t="shared" si="81"/>
        <v>#REF!</v>
      </c>
      <c r="M567" s="178" t="e">
        <f>#REF!*#REF!</f>
        <v>#REF!</v>
      </c>
      <c r="N567" s="178" t="e">
        <f>#REF!+K567+#REF!</f>
        <v>#REF!</v>
      </c>
      <c r="O567" s="181" t="e">
        <f t="shared" si="80"/>
        <v>#REF!</v>
      </c>
    </row>
    <row r="568" spans="1:15" s="193" customFormat="1" outlineLevel="2">
      <c r="A568" s="211"/>
      <c r="B568" s="212" t="s">
        <v>912</v>
      </c>
      <c r="C568" s="190" t="s">
        <v>801</v>
      </c>
      <c r="D568" s="191"/>
      <c r="E568" s="176"/>
      <c r="F568" s="177"/>
      <c r="G568" s="192"/>
      <c r="H568" s="179"/>
      <c r="I568" s="339" t="e">
        <f>IF(#REF!="",#REF!*#REF!,IF(#REF!=0,#REF!*#REF!,#REF!*#REF!*#REF!))</f>
        <v>#REF!</v>
      </c>
      <c r="J568" s="180" t="e">
        <f>#REF!*#REF!</f>
        <v>#REF!</v>
      </c>
      <c r="K568" s="178" t="e">
        <f>#REF!*mo</f>
        <v>#REF!</v>
      </c>
      <c r="L568" s="178" t="e">
        <f t="shared" si="81"/>
        <v>#REF!</v>
      </c>
      <c r="M568" s="178" t="e">
        <f>#REF!*#REF!</f>
        <v>#REF!</v>
      </c>
      <c r="N568" s="178" t="e">
        <f>#REF!+K568+#REF!</f>
        <v>#REF!</v>
      </c>
      <c r="O568" s="181" t="e">
        <f t="shared" si="80"/>
        <v>#REF!</v>
      </c>
    </row>
    <row r="569" spans="1:15" s="193" customFormat="1" outlineLevel="1">
      <c r="A569" s="211"/>
      <c r="B569" s="212"/>
      <c r="C569" s="190"/>
      <c r="D569" s="191"/>
      <c r="E569" s="176"/>
      <c r="F569" s="177"/>
      <c r="G569" s="192"/>
      <c r="H569" s="179"/>
      <c r="I569" s="339" t="e">
        <f>IF(#REF!="",#REF!*#REF!,IF(#REF!=0,#REF!*#REF!,#REF!*#REF!*#REF!))</f>
        <v>#REF!</v>
      </c>
      <c r="J569" s="180" t="e">
        <f>#REF!*#REF!</f>
        <v>#REF!</v>
      </c>
      <c r="K569" s="178" t="e">
        <f>#REF!*mo</f>
        <v>#REF!</v>
      </c>
      <c r="L569" s="178" t="e">
        <f t="shared" si="81"/>
        <v>#REF!</v>
      </c>
      <c r="M569" s="178" t="e">
        <f>#REF!*#REF!</f>
        <v>#REF!</v>
      </c>
      <c r="N569" s="178" t="e">
        <f>#REF!+K569+#REF!</f>
        <v>#REF!</v>
      </c>
      <c r="O569" s="181" t="e">
        <f t="shared" si="80"/>
        <v>#REF!</v>
      </c>
    </row>
    <row r="570" spans="1:15" s="193" customFormat="1" outlineLevel="1">
      <c r="A570" s="155"/>
      <c r="B570" s="198" t="str">
        <f>"Total "&amp;B503</f>
        <v>Total EAU CHAUDE SANITAIRE</v>
      </c>
      <c r="C570" s="190"/>
      <c r="D570" s="191"/>
      <c r="E570" s="176"/>
      <c r="F570" s="177"/>
      <c r="G570" s="192"/>
      <c r="H570" s="179">
        <f>SUM(G507:G571)</f>
        <v>0</v>
      </c>
      <c r="I570" s="339" t="e">
        <f>IF(#REF!="",#REF!*#REF!,IF(#REF!=0,#REF!*#REF!,#REF!*#REF!*#REF!))</f>
        <v>#REF!</v>
      </c>
      <c r="J570" s="180" t="e">
        <f>#REF!*#REF!</f>
        <v>#REF!</v>
      </c>
      <c r="K570" s="178" t="e">
        <f>#REF!*mo</f>
        <v>#REF!</v>
      </c>
      <c r="L570" s="178" t="e">
        <f t="shared" si="81"/>
        <v>#REF!</v>
      </c>
      <c r="M570" s="178" t="e">
        <f>#REF!*#REF!</f>
        <v>#REF!</v>
      </c>
      <c r="N570" s="178" t="e">
        <f>#REF!+K570+#REF!</f>
        <v>#REF!</v>
      </c>
      <c r="O570" s="181" t="e">
        <f t="shared" si="80"/>
        <v>#REF!</v>
      </c>
    </row>
    <row r="571" spans="1:15" s="193" customFormat="1" outlineLevel="1">
      <c r="A571" s="155"/>
      <c r="B571" s="156"/>
      <c r="C571" s="190"/>
      <c r="D571" s="191"/>
      <c r="E571" s="176"/>
      <c r="F571" s="177"/>
      <c r="G571" s="192"/>
      <c r="H571" s="179"/>
      <c r="I571" s="339" t="e">
        <f>IF(#REF!="",#REF!*#REF!,IF(#REF!=0,#REF!*#REF!,#REF!*#REF!*#REF!))</f>
        <v>#REF!</v>
      </c>
      <c r="J571" s="180" t="e">
        <f>#REF!*#REF!</f>
        <v>#REF!</v>
      </c>
      <c r="K571" s="178" t="e">
        <f>#REF!*mo</f>
        <v>#REF!</v>
      </c>
      <c r="L571" s="178" t="e">
        <f t="shared" si="81"/>
        <v>#REF!</v>
      </c>
      <c r="M571" s="178" t="e">
        <f>#REF!*#REF!</f>
        <v>#REF!</v>
      </c>
      <c r="N571" s="178" t="e">
        <f>#REF!+K571+#REF!</f>
        <v>#REF!</v>
      </c>
      <c r="O571" s="181" t="e">
        <f t="shared" si="80"/>
        <v>#REF!</v>
      </c>
    </row>
    <row r="572" spans="1:15" s="193" customFormat="1" outlineLevel="1">
      <c r="A572" s="155"/>
      <c r="B572" s="156"/>
      <c r="C572" s="190"/>
      <c r="D572" s="191"/>
      <c r="E572" s="176"/>
      <c r="F572" s="177"/>
      <c r="G572" s="192"/>
      <c r="H572" s="179"/>
      <c r="I572" s="339" t="e">
        <f>IF(#REF!="",#REF!*#REF!,IF(#REF!=0,#REF!*#REF!,#REF!*#REF!*#REF!))</f>
        <v>#REF!</v>
      </c>
      <c r="J572" s="180" t="e">
        <f>#REF!*#REF!</f>
        <v>#REF!</v>
      </c>
      <c r="K572" s="178" t="e">
        <f>#REF!*mo</f>
        <v>#REF!</v>
      </c>
      <c r="L572" s="178" t="e">
        <f t="shared" ref="L572" si="82">J572*mo</f>
        <v>#REF!</v>
      </c>
      <c r="M572" s="178" t="e">
        <f>#REF!*#REF!</f>
        <v>#REF!</v>
      </c>
      <c r="N572" s="178" t="e">
        <f>#REF!+K572+#REF!</f>
        <v>#REF!</v>
      </c>
      <c r="O572" s="181" t="e">
        <f t="shared" si="80"/>
        <v>#REF!</v>
      </c>
    </row>
    <row r="573" spans="1:15" s="194" customFormat="1" ht="12.6">
      <c r="A573" s="153">
        <v>7</v>
      </c>
      <c r="B573" s="154" t="s">
        <v>1032</v>
      </c>
      <c r="C573" s="182"/>
      <c r="D573" s="183"/>
      <c r="E573" s="184"/>
      <c r="F573" s="185"/>
      <c r="G573" s="186"/>
      <c r="H573" s="187">
        <f>SUM(H574:H774)</f>
        <v>0</v>
      </c>
      <c r="I573" s="344" t="e">
        <f>IF(#REF!="",#REF!*#REF!,IF(#REF!=0,#REF!*#REF!,#REF!*#REF!*#REF!))</f>
        <v>#REF!</v>
      </c>
      <c r="J573" s="188"/>
      <c r="K573" s="186"/>
      <c r="L573" s="186"/>
      <c r="M573" s="186"/>
      <c r="N573" s="186"/>
      <c r="O573" s="187"/>
    </row>
    <row r="574" spans="1:15" s="193" customFormat="1" outlineLevel="1">
      <c r="A574" s="155"/>
      <c r="B574" s="156"/>
      <c r="C574" s="190"/>
      <c r="D574" s="191"/>
      <c r="E574" s="176"/>
      <c r="F574" s="177"/>
      <c r="G574" s="192"/>
      <c r="H574" s="179"/>
      <c r="I574" s="339" t="e">
        <f>IF(#REF!="",#REF!*#REF!,IF(#REF!=0,#REF!*#REF!,#REF!*#REF!*#REF!))</f>
        <v>#REF!</v>
      </c>
      <c r="J574" s="180" t="e">
        <f>#REF!*#REF!</f>
        <v>#REF!</v>
      </c>
      <c r="K574" s="178" t="e">
        <f>#REF!*mo</f>
        <v>#REF!</v>
      </c>
      <c r="L574" s="178" t="e">
        <f>J574*mo</f>
        <v>#REF!</v>
      </c>
      <c r="M574" s="178" t="e">
        <f>#REF!*#REF!</f>
        <v>#REF!</v>
      </c>
      <c r="N574" s="178" t="e">
        <f>#REF!+K574+#REF!</f>
        <v>#REF!</v>
      </c>
      <c r="O574" s="181" t="e">
        <f>M574+L574+I574</f>
        <v>#REF!</v>
      </c>
    </row>
    <row r="575" spans="1:15" s="209" customFormat="1" outlineLevel="1">
      <c r="A575" s="157" t="str">
        <f>$A$573&amp;".1"</f>
        <v>7.1</v>
      </c>
      <c r="B575" s="158" t="s">
        <v>1033</v>
      </c>
      <c r="C575" s="195"/>
      <c r="D575" s="170"/>
      <c r="E575" s="176"/>
      <c r="F575" s="177"/>
      <c r="G575" s="192"/>
      <c r="H575" s="196"/>
      <c r="I575" s="339" t="e">
        <f>IF(#REF!="",#REF!*#REF!,IF(#REF!=0,#REF!*#REF!,#REF!*#REF!*#REF!))</f>
        <v>#REF!</v>
      </c>
      <c r="J575" s="180" t="e">
        <f>#REF!*#REF!</f>
        <v>#REF!</v>
      </c>
      <c r="K575" s="178" t="e">
        <f>#REF!*mo</f>
        <v>#REF!</v>
      </c>
      <c r="L575" s="178" t="e">
        <f t="shared" ref="L575:L654" si="83">J575*mo</f>
        <v>#REF!</v>
      </c>
      <c r="M575" s="178" t="e">
        <f>#REF!*#REF!</f>
        <v>#REF!</v>
      </c>
      <c r="N575" s="178" t="e">
        <f>#REF!+K575+#REF!</f>
        <v>#REF!</v>
      </c>
      <c r="O575" s="181" t="e">
        <f t="shared" ref="O575:O654" si="84">M575+L575+I575</f>
        <v>#REF!</v>
      </c>
    </row>
    <row r="576" spans="1:15" s="209" customFormat="1" outlineLevel="1">
      <c r="A576" s="240" t="str">
        <f>$A$575&amp;".1"</f>
        <v>7.1.1</v>
      </c>
      <c r="B576" s="241" t="s">
        <v>1034</v>
      </c>
      <c r="C576" s="195"/>
      <c r="D576" s="170"/>
      <c r="E576" s="242"/>
      <c r="F576" s="243"/>
      <c r="G576" s="192">
        <f>SUM(F577:F582)</f>
        <v>0</v>
      </c>
      <c r="H576" s="179"/>
      <c r="I576" s="345" t="e">
        <f>IF(#REF!="",#REF!*#REF!,IF(#REF!=0,#REF!*#REF!,#REF!*#REF!*#REF!))</f>
        <v>#REF!</v>
      </c>
      <c r="J576" s="244" t="e">
        <f>#REF!*#REF!</f>
        <v>#REF!</v>
      </c>
      <c r="K576" s="192" t="e">
        <f>#REF!*mo</f>
        <v>#REF!</v>
      </c>
      <c r="L576" s="192" t="e">
        <f t="shared" si="83"/>
        <v>#REF!</v>
      </c>
      <c r="M576" s="192" t="e">
        <f>#REF!*#REF!</f>
        <v>#REF!</v>
      </c>
      <c r="N576" s="192" t="e">
        <f>#REF!+K576+#REF!</f>
        <v>#REF!</v>
      </c>
      <c r="O576" s="179" t="e">
        <f t="shared" si="84"/>
        <v>#REF!</v>
      </c>
    </row>
    <row r="577" spans="1:15" s="209" customFormat="1" outlineLevel="2">
      <c r="A577" s="238"/>
      <c r="B577" s="241"/>
      <c r="C577" s="195"/>
      <c r="D577" s="170"/>
      <c r="E577" s="242"/>
      <c r="F577" s="243"/>
      <c r="G577" s="192"/>
      <c r="H577" s="179"/>
      <c r="I577" s="345" t="e">
        <f>IF(#REF!="",#REF!*#REF!,IF(#REF!=0,#REF!*#REF!,#REF!*#REF!*#REF!))</f>
        <v>#REF!</v>
      </c>
      <c r="J577" s="244" t="e">
        <f>#REF!*#REF!</f>
        <v>#REF!</v>
      </c>
      <c r="K577" s="192" t="e">
        <f>#REF!*mo</f>
        <v>#REF!</v>
      </c>
      <c r="L577" s="192" t="e">
        <f t="shared" si="83"/>
        <v>#REF!</v>
      </c>
      <c r="M577" s="192" t="e">
        <f>#REF!*#REF!</f>
        <v>#REF!</v>
      </c>
      <c r="N577" s="192" t="e">
        <f>#REF!+K577+#REF!</f>
        <v>#REF!</v>
      </c>
      <c r="O577" s="179" t="e">
        <f t="shared" si="84"/>
        <v>#REF!</v>
      </c>
    </row>
    <row r="578" spans="1:15" s="209" customFormat="1" outlineLevel="2">
      <c r="A578" s="238"/>
      <c r="B578" s="236" t="s">
        <v>1035</v>
      </c>
      <c r="C578" s="190" t="s">
        <v>801</v>
      </c>
      <c r="D578" s="191"/>
      <c r="E578" s="176"/>
      <c r="F578" s="177"/>
      <c r="G578" s="178"/>
      <c r="H578" s="179"/>
      <c r="I578" s="345" t="e">
        <f>IF(#REF!="",#REF!*#REF!,IF(#REF!=0,#REF!*#REF!,#REF!*#REF!*#REF!))</f>
        <v>#REF!</v>
      </c>
      <c r="J578" s="244" t="e">
        <f>#REF!*#REF!</f>
        <v>#REF!</v>
      </c>
      <c r="K578" s="192" t="e">
        <f>#REF!*mo</f>
        <v>#REF!</v>
      </c>
      <c r="L578" s="192" t="e">
        <f t="shared" ref="L578" si="85">J578*mo</f>
        <v>#REF!</v>
      </c>
      <c r="M578" s="192" t="e">
        <f>#REF!*#REF!</f>
        <v>#REF!</v>
      </c>
      <c r="N578" s="192" t="e">
        <f>#REF!+K578+#REF!</f>
        <v>#REF!</v>
      </c>
      <c r="O578" s="179" t="e">
        <f t="shared" si="84"/>
        <v>#REF!</v>
      </c>
    </row>
    <row r="579" spans="1:15" s="209" customFormat="1" outlineLevel="2">
      <c r="A579" s="238"/>
      <c r="B579" s="236"/>
      <c r="C579" s="190"/>
      <c r="D579" s="191"/>
      <c r="E579" s="176"/>
      <c r="F579" s="177"/>
      <c r="G579" s="178"/>
      <c r="H579" s="179"/>
      <c r="I579" s="345"/>
      <c r="J579" s="244"/>
      <c r="K579" s="192"/>
      <c r="L579" s="192"/>
      <c r="M579" s="192"/>
      <c r="N579" s="192"/>
      <c r="O579" s="179"/>
    </row>
    <row r="580" spans="1:15" s="209" customFormat="1" outlineLevel="2">
      <c r="A580" s="238"/>
      <c r="B580" s="236" t="s">
        <v>1036</v>
      </c>
      <c r="C580" s="190" t="s">
        <v>93</v>
      </c>
      <c r="D580" s="191"/>
      <c r="E580" s="176"/>
      <c r="F580" s="177"/>
      <c r="G580" s="178"/>
      <c r="H580" s="179"/>
      <c r="I580" s="345" t="e">
        <f>IF(#REF!="",#REF!*#REF!,IF(#REF!=0,#REF!*#REF!,#REF!*#REF!*#REF!))</f>
        <v>#REF!</v>
      </c>
      <c r="J580" s="244" t="e">
        <f>#REF!*#REF!</f>
        <v>#REF!</v>
      </c>
      <c r="K580" s="192" t="e">
        <f>#REF!*mo</f>
        <v>#REF!</v>
      </c>
      <c r="L580" s="192" t="e">
        <f t="shared" si="83"/>
        <v>#REF!</v>
      </c>
      <c r="M580" s="192" t="e">
        <f>#REF!*#REF!</f>
        <v>#REF!</v>
      </c>
      <c r="N580" s="192" t="e">
        <f>#REF!+K580+#REF!</f>
        <v>#REF!</v>
      </c>
      <c r="O580" s="179" t="e">
        <f t="shared" si="84"/>
        <v>#REF!</v>
      </c>
    </row>
    <row r="581" spans="1:15" s="209" customFormat="1" outlineLevel="2">
      <c r="A581" s="238"/>
      <c r="B581" s="236" t="s">
        <v>1037</v>
      </c>
      <c r="C581" s="190" t="s">
        <v>70</v>
      </c>
      <c r="D581" s="191"/>
      <c r="E581" s="176"/>
      <c r="F581" s="177"/>
      <c r="G581" s="178"/>
      <c r="H581" s="179"/>
      <c r="I581" s="345" t="e">
        <f>IF(#REF!="",#REF!*#REF!,IF(#REF!=0,#REF!*#REF!,#REF!*#REF!*#REF!))</f>
        <v>#REF!</v>
      </c>
      <c r="J581" s="244" t="e">
        <f>#REF!*#REF!</f>
        <v>#REF!</v>
      </c>
      <c r="K581" s="192" t="e">
        <f>#REF!*mo</f>
        <v>#REF!</v>
      </c>
      <c r="L581" s="192" t="e">
        <f t="shared" ref="L581" si="86">J581*mo</f>
        <v>#REF!</v>
      </c>
      <c r="M581" s="192" t="e">
        <f>#REF!*#REF!</f>
        <v>#REF!</v>
      </c>
      <c r="N581" s="192" t="e">
        <f>#REF!+K581+#REF!</f>
        <v>#REF!</v>
      </c>
      <c r="O581" s="179" t="e">
        <f t="shared" si="84"/>
        <v>#REF!</v>
      </c>
    </row>
    <row r="582" spans="1:15" s="209" customFormat="1" outlineLevel="2">
      <c r="A582" s="238"/>
      <c r="B582" s="241"/>
      <c r="C582" s="190"/>
      <c r="D582" s="191"/>
      <c r="E582" s="176"/>
      <c r="F582" s="177"/>
      <c r="G582" s="178"/>
      <c r="H582" s="179"/>
      <c r="I582" s="345" t="e">
        <f>IF(#REF!="",#REF!*#REF!,IF(#REF!=0,#REF!*#REF!,#REF!*#REF!*#REF!))</f>
        <v>#REF!</v>
      </c>
      <c r="J582" s="244" t="e">
        <f>#REF!*#REF!</f>
        <v>#REF!</v>
      </c>
      <c r="K582" s="192" t="e">
        <f>#REF!*mo</f>
        <v>#REF!</v>
      </c>
      <c r="L582" s="192" t="e">
        <f t="shared" si="83"/>
        <v>#REF!</v>
      </c>
      <c r="M582" s="192" t="e">
        <f>#REF!*#REF!</f>
        <v>#REF!</v>
      </c>
      <c r="N582" s="192" t="e">
        <f>#REF!+K582+#REF!</f>
        <v>#REF!</v>
      </c>
      <c r="O582" s="179" t="e">
        <f t="shared" si="84"/>
        <v>#REF!</v>
      </c>
    </row>
    <row r="583" spans="1:15" s="209" customFormat="1" outlineLevel="1">
      <c r="A583" s="240" t="str">
        <f>$A$575&amp;".2"</f>
        <v>7.1.2</v>
      </c>
      <c r="B583" s="210" t="s">
        <v>1038</v>
      </c>
      <c r="C583" s="190"/>
      <c r="D583" s="191"/>
      <c r="E583" s="176"/>
      <c r="F583" s="177"/>
      <c r="G583" s="192">
        <f>SUM(F584:F607)</f>
        <v>0</v>
      </c>
      <c r="H583" s="179"/>
      <c r="I583" s="345" t="e">
        <f>IF(#REF!="",#REF!*#REF!,IF(#REF!=0,#REF!*#REF!,#REF!*#REF!*#REF!))</f>
        <v>#REF!</v>
      </c>
      <c r="J583" s="244" t="e">
        <f>#REF!*#REF!</f>
        <v>#REF!</v>
      </c>
      <c r="K583" s="192" t="e">
        <f>#REF!*mo</f>
        <v>#REF!</v>
      </c>
      <c r="L583" s="192" t="e">
        <f t="shared" si="83"/>
        <v>#REF!</v>
      </c>
      <c r="M583" s="192" t="e">
        <f>#REF!*#REF!</f>
        <v>#REF!</v>
      </c>
      <c r="N583" s="192" t="e">
        <f>#REF!+K583+#REF!</f>
        <v>#REF!</v>
      </c>
      <c r="O583" s="179" t="e">
        <f t="shared" si="84"/>
        <v>#REF!</v>
      </c>
    </row>
    <row r="584" spans="1:15" s="209" customFormat="1" outlineLevel="2">
      <c r="A584" s="240"/>
      <c r="B584" s="210"/>
      <c r="C584" s="190"/>
      <c r="D584" s="191"/>
      <c r="E584" s="176"/>
      <c r="F584" s="177"/>
      <c r="G584" s="192"/>
      <c r="H584" s="179"/>
      <c r="I584" s="345" t="e">
        <f>IF(#REF!="",#REF!*#REF!,IF(#REF!=0,#REF!*#REF!,#REF!*#REF!*#REF!))</f>
        <v>#REF!</v>
      </c>
      <c r="J584" s="244" t="e">
        <f>#REF!*#REF!</f>
        <v>#REF!</v>
      </c>
      <c r="K584" s="192" t="e">
        <f>#REF!*mo</f>
        <v>#REF!</v>
      </c>
      <c r="L584" s="192" t="e">
        <f t="shared" si="83"/>
        <v>#REF!</v>
      </c>
      <c r="M584" s="192" t="e">
        <f>#REF!*#REF!</f>
        <v>#REF!</v>
      </c>
      <c r="N584" s="192" t="e">
        <f>#REF!+K584+#REF!</f>
        <v>#REF!</v>
      </c>
      <c r="O584" s="179" t="e">
        <f t="shared" si="84"/>
        <v>#REF!</v>
      </c>
    </row>
    <row r="585" spans="1:15" s="209" customFormat="1" outlineLevel="2">
      <c r="A585" s="238"/>
      <c r="B585" s="245" t="s">
        <v>1039</v>
      </c>
      <c r="C585" s="190"/>
      <c r="D585" s="191"/>
      <c r="E585" s="176"/>
      <c r="F585" s="177"/>
      <c r="G585" s="192"/>
      <c r="H585" s="179"/>
      <c r="I585" s="345" t="e">
        <f>IF(#REF!="",#REF!*#REF!,IF(#REF!=0,#REF!*#REF!,#REF!*#REF!*#REF!))</f>
        <v>#REF!</v>
      </c>
      <c r="J585" s="244" t="e">
        <f>#REF!*#REF!</f>
        <v>#REF!</v>
      </c>
      <c r="K585" s="192" t="e">
        <f>#REF!*mo</f>
        <v>#REF!</v>
      </c>
      <c r="L585" s="192" t="e">
        <f t="shared" si="83"/>
        <v>#REF!</v>
      </c>
      <c r="M585" s="192" t="e">
        <f>#REF!*#REF!</f>
        <v>#REF!</v>
      </c>
      <c r="N585" s="192" t="e">
        <f>#REF!+K585+#REF!</f>
        <v>#REF!</v>
      </c>
      <c r="O585" s="179" t="e">
        <f t="shared" si="84"/>
        <v>#REF!</v>
      </c>
    </row>
    <row r="586" spans="1:15" s="209" customFormat="1" outlineLevel="2">
      <c r="A586" s="238"/>
      <c r="B586" s="212" t="s">
        <v>940</v>
      </c>
      <c r="C586" s="190" t="s">
        <v>123</v>
      </c>
      <c r="D586" s="191"/>
      <c r="E586" s="176"/>
      <c r="F586" s="177"/>
      <c r="G586" s="192"/>
      <c r="H586" s="179"/>
      <c r="I586" s="345" t="e">
        <f>IF(#REF!="",#REF!*#REF!,IF(#REF!=0,#REF!*#REF!,#REF!*#REF!*#REF!))</f>
        <v>#REF!</v>
      </c>
      <c r="J586" s="244" t="e">
        <f>#REF!*#REF!</f>
        <v>#REF!</v>
      </c>
      <c r="K586" s="192" t="e">
        <f>#REF!*mo</f>
        <v>#REF!</v>
      </c>
      <c r="L586" s="192" t="e">
        <f t="shared" si="83"/>
        <v>#REF!</v>
      </c>
      <c r="M586" s="192" t="e">
        <f>#REF!*#REF!</f>
        <v>#REF!</v>
      </c>
      <c r="N586" s="192" t="e">
        <f>#REF!+K586+#REF!</f>
        <v>#REF!</v>
      </c>
      <c r="O586" s="179" t="e">
        <f t="shared" si="84"/>
        <v>#REF!</v>
      </c>
    </row>
    <row r="587" spans="1:15" s="209" customFormat="1" outlineLevel="2">
      <c r="A587" s="238"/>
      <c r="B587" s="212" t="s">
        <v>942</v>
      </c>
      <c r="C587" s="190" t="s">
        <v>123</v>
      </c>
      <c r="D587" s="191"/>
      <c r="E587" s="176"/>
      <c r="F587" s="177"/>
      <c r="G587" s="192"/>
      <c r="H587" s="179"/>
      <c r="I587" s="345" t="e">
        <f>IF(#REF!="",#REF!*#REF!,IF(#REF!=0,#REF!*#REF!,#REF!*#REF!*#REF!))</f>
        <v>#REF!</v>
      </c>
      <c r="J587" s="244" t="e">
        <f>#REF!*#REF!</f>
        <v>#REF!</v>
      </c>
      <c r="K587" s="192" t="e">
        <f>#REF!*mo</f>
        <v>#REF!</v>
      </c>
      <c r="L587" s="192" t="e">
        <f t="shared" si="83"/>
        <v>#REF!</v>
      </c>
      <c r="M587" s="192" t="e">
        <f>#REF!*#REF!</f>
        <v>#REF!</v>
      </c>
      <c r="N587" s="192" t="e">
        <f>#REF!+K587+#REF!</f>
        <v>#REF!</v>
      </c>
      <c r="O587" s="179" t="e">
        <f t="shared" si="84"/>
        <v>#REF!</v>
      </c>
    </row>
    <row r="588" spans="1:15" s="209" customFormat="1" outlineLevel="2">
      <c r="A588" s="238"/>
      <c r="B588" s="212" t="s">
        <v>943</v>
      </c>
      <c r="C588" s="190" t="s">
        <v>123</v>
      </c>
      <c r="D588" s="191"/>
      <c r="E588" s="176"/>
      <c r="F588" s="177"/>
      <c r="G588" s="192"/>
      <c r="H588" s="179"/>
      <c r="I588" s="345" t="e">
        <f>IF(#REF!="",#REF!*#REF!,IF(#REF!=0,#REF!*#REF!,#REF!*#REF!*#REF!))</f>
        <v>#REF!</v>
      </c>
      <c r="J588" s="244" t="e">
        <f>#REF!*#REF!</f>
        <v>#REF!</v>
      </c>
      <c r="K588" s="192" t="e">
        <f>#REF!*mo</f>
        <v>#REF!</v>
      </c>
      <c r="L588" s="192" t="e">
        <f t="shared" si="83"/>
        <v>#REF!</v>
      </c>
      <c r="M588" s="192" t="e">
        <f>#REF!*#REF!</f>
        <v>#REF!</v>
      </c>
      <c r="N588" s="192" t="e">
        <f>#REF!+K588+#REF!</f>
        <v>#REF!</v>
      </c>
      <c r="O588" s="179" t="e">
        <f t="shared" si="84"/>
        <v>#REF!</v>
      </c>
    </row>
    <row r="589" spans="1:15" s="209" customFormat="1" outlineLevel="2">
      <c r="A589" s="238"/>
      <c r="B589" s="212" t="s">
        <v>868</v>
      </c>
      <c r="C589" s="190" t="s">
        <v>123</v>
      </c>
      <c r="D589" s="191"/>
      <c r="E589" s="176"/>
      <c r="F589" s="177"/>
      <c r="G589" s="192"/>
      <c r="H589" s="179"/>
      <c r="I589" s="345" t="e">
        <f>IF(#REF!="",#REF!*#REF!,IF(#REF!=0,#REF!*#REF!,#REF!*#REF!*#REF!))</f>
        <v>#REF!</v>
      </c>
      <c r="J589" s="244" t="e">
        <f>#REF!*#REF!</f>
        <v>#REF!</v>
      </c>
      <c r="K589" s="192" t="e">
        <f>#REF!*mo</f>
        <v>#REF!</v>
      </c>
      <c r="L589" s="192" t="e">
        <f t="shared" si="83"/>
        <v>#REF!</v>
      </c>
      <c r="M589" s="192" t="e">
        <f>#REF!*#REF!</f>
        <v>#REF!</v>
      </c>
      <c r="N589" s="192" t="e">
        <f>#REF!+K589+#REF!</f>
        <v>#REF!</v>
      </c>
      <c r="O589" s="179" t="e">
        <f t="shared" si="84"/>
        <v>#REF!</v>
      </c>
    </row>
    <row r="590" spans="1:15" s="209" customFormat="1" outlineLevel="2">
      <c r="A590" s="238"/>
      <c r="B590" s="212" t="s">
        <v>944</v>
      </c>
      <c r="C590" s="190" t="s">
        <v>123</v>
      </c>
      <c r="D590" s="191"/>
      <c r="E590" s="176"/>
      <c r="F590" s="177"/>
      <c r="G590" s="192"/>
      <c r="H590" s="179"/>
      <c r="I590" s="345" t="e">
        <f>IF(#REF!="",#REF!*#REF!,IF(#REF!=0,#REF!*#REF!,#REF!*#REF!*#REF!))</f>
        <v>#REF!</v>
      </c>
      <c r="J590" s="244" t="e">
        <f>#REF!*#REF!</f>
        <v>#REF!</v>
      </c>
      <c r="K590" s="192" t="e">
        <f>#REF!*mo</f>
        <v>#REF!</v>
      </c>
      <c r="L590" s="192" t="e">
        <f t="shared" si="83"/>
        <v>#REF!</v>
      </c>
      <c r="M590" s="192" t="e">
        <f>#REF!*#REF!</f>
        <v>#REF!</v>
      </c>
      <c r="N590" s="192" t="e">
        <f>#REF!+K590+#REF!</f>
        <v>#REF!</v>
      </c>
      <c r="O590" s="179" t="e">
        <f t="shared" si="84"/>
        <v>#REF!</v>
      </c>
    </row>
    <row r="591" spans="1:15" s="209" customFormat="1" outlineLevel="2">
      <c r="A591" s="238"/>
      <c r="B591" s="212" t="s">
        <v>1040</v>
      </c>
      <c r="C591" s="190" t="s">
        <v>123</v>
      </c>
      <c r="D591" s="191"/>
      <c r="E591" s="176"/>
      <c r="F591" s="177"/>
      <c r="G591" s="192"/>
      <c r="H591" s="179"/>
      <c r="I591" s="345" t="e">
        <f>IF(#REF!="",#REF!*#REF!,IF(#REF!=0,#REF!*#REF!,#REF!*#REF!*#REF!))</f>
        <v>#REF!</v>
      </c>
      <c r="J591" s="244" t="e">
        <f>#REF!*#REF!</f>
        <v>#REF!</v>
      </c>
      <c r="K591" s="192" t="e">
        <f>#REF!*mo</f>
        <v>#REF!</v>
      </c>
      <c r="L591" s="192" t="e">
        <f t="shared" si="83"/>
        <v>#REF!</v>
      </c>
      <c r="M591" s="192" t="e">
        <f>#REF!*#REF!</f>
        <v>#REF!</v>
      </c>
      <c r="N591" s="192" t="e">
        <f>#REF!+K591+#REF!</f>
        <v>#REF!</v>
      </c>
      <c r="O591" s="179" t="e">
        <f t="shared" si="84"/>
        <v>#REF!</v>
      </c>
    </row>
    <row r="592" spans="1:15" s="209" customFormat="1" outlineLevel="2">
      <c r="A592" s="238"/>
      <c r="B592" s="212" t="s">
        <v>870</v>
      </c>
      <c r="C592" s="190" t="s">
        <v>123</v>
      </c>
      <c r="D592" s="191"/>
      <c r="E592" s="176"/>
      <c r="F592" s="177"/>
      <c r="G592" s="192"/>
      <c r="H592" s="179"/>
      <c r="I592" s="345" t="e">
        <f>IF(#REF!="",#REF!*#REF!,IF(#REF!=0,#REF!*#REF!,#REF!*#REF!*#REF!))</f>
        <v>#REF!</v>
      </c>
      <c r="J592" s="244" t="e">
        <f>#REF!*#REF!</f>
        <v>#REF!</v>
      </c>
      <c r="K592" s="192" t="e">
        <f>#REF!*mo</f>
        <v>#REF!</v>
      </c>
      <c r="L592" s="192" t="e">
        <f t="shared" si="83"/>
        <v>#REF!</v>
      </c>
      <c r="M592" s="192" t="e">
        <f>#REF!*#REF!</f>
        <v>#REF!</v>
      </c>
      <c r="N592" s="192" t="e">
        <f>#REF!+K592+#REF!</f>
        <v>#REF!</v>
      </c>
      <c r="O592" s="179" t="e">
        <f t="shared" si="84"/>
        <v>#REF!</v>
      </c>
    </row>
    <row r="593" spans="1:15" s="209" customFormat="1" outlineLevel="2">
      <c r="A593" s="238"/>
      <c r="B593" s="212" t="s">
        <v>871</v>
      </c>
      <c r="C593" s="190" t="s">
        <v>123</v>
      </c>
      <c r="D593" s="191"/>
      <c r="E593" s="176"/>
      <c r="F593" s="177"/>
      <c r="G593" s="192"/>
      <c r="H593" s="179"/>
      <c r="I593" s="345" t="e">
        <f>IF(#REF!="",#REF!*#REF!,IF(#REF!=0,#REF!*#REF!,#REF!*#REF!*#REF!))</f>
        <v>#REF!</v>
      </c>
      <c r="J593" s="244" t="e">
        <f>#REF!*#REF!</f>
        <v>#REF!</v>
      </c>
      <c r="K593" s="192" t="e">
        <f>#REF!*mo</f>
        <v>#REF!</v>
      </c>
      <c r="L593" s="192" t="e">
        <f t="shared" si="83"/>
        <v>#REF!</v>
      </c>
      <c r="M593" s="192" t="e">
        <f>#REF!*#REF!</f>
        <v>#REF!</v>
      </c>
      <c r="N593" s="192" t="e">
        <f>#REF!+K593+#REF!</f>
        <v>#REF!</v>
      </c>
      <c r="O593" s="179" t="e">
        <f t="shared" si="84"/>
        <v>#REF!</v>
      </c>
    </row>
    <row r="594" spans="1:15" s="209" customFormat="1" outlineLevel="2">
      <c r="A594" s="238"/>
      <c r="B594" s="212" t="s">
        <v>1041</v>
      </c>
      <c r="C594" s="190" t="s">
        <v>123</v>
      </c>
      <c r="D594" s="191"/>
      <c r="E594" s="176"/>
      <c r="F594" s="177"/>
      <c r="G594" s="192"/>
      <c r="H594" s="179"/>
      <c r="I594" s="345" t="e">
        <f>IF(#REF!="",#REF!*#REF!,IF(#REF!=0,#REF!*#REF!,#REF!*#REF!*#REF!))</f>
        <v>#REF!</v>
      </c>
      <c r="J594" s="244" t="e">
        <f>#REF!*#REF!</f>
        <v>#REF!</v>
      </c>
      <c r="K594" s="192" t="e">
        <f>#REF!*mo</f>
        <v>#REF!</v>
      </c>
      <c r="L594" s="192" t="e">
        <f t="shared" si="83"/>
        <v>#REF!</v>
      </c>
      <c r="M594" s="192" t="e">
        <f>#REF!*#REF!</f>
        <v>#REF!</v>
      </c>
      <c r="N594" s="192" t="e">
        <f>#REF!+K594+#REF!</f>
        <v>#REF!</v>
      </c>
      <c r="O594" s="179" t="e">
        <f t="shared" si="84"/>
        <v>#REF!</v>
      </c>
    </row>
    <row r="595" spans="1:15" s="209" customFormat="1" outlineLevel="2">
      <c r="A595" s="238"/>
      <c r="B595" s="212" t="s">
        <v>874</v>
      </c>
      <c r="C595" s="190" t="s">
        <v>123</v>
      </c>
      <c r="D595" s="191"/>
      <c r="E595" s="176"/>
      <c r="F595" s="177"/>
      <c r="G595" s="192"/>
      <c r="H595" s="179"/>
      <c r="I595" s="345" t="e">
        <f>IF(#REF!="",#REF!*#REF!,IF(#REF!=0,#REF!*#REF!,#REF!*#REF!*#REF!))</f>
        <v>#REF!</v>
      </c>
      <c r="J595" s="244" t="e">
        <f>#REF!*#REF!</f>
        <v>#REF!</v>
      </c>
      <c r="K595" s="192" t="e">
        <f>#REF!*mo</f>
        <v>#REF!</v>
      </c>
      <c r="L595" s="192" t="e">
        <f t="shared" si="83"/>
        <v>#REF!</v>
      </c>
      <c r="M595" s="192" t="e">
        <f>#REF!*#REF!</f>
        <v>#REF!</v>
      </c>
      <c r="N595" s="192" t="e">
        <f>#REF!+K595+#REF!</f>
        <v>#REF!</v>
      </c>
      <c r="O595" s="179" t="e">
        <f t="shared" si="84"/>
        <v>#REF!</v>
      </c>
    </row>
    <row r="596" spans="1:15" s="209" customFormat="1" outlineLevel="2">
      <c r="A596" s="238"/>
      <c r="B596" s="212" t="s">
        <v>876</v>
      </c>
      <c r="C596" s="190" t="s">
        <v>123</v>
      </c>
      <c r="D596" s="191"/>
      <c r="E596" s="176"/>
      <c r="F596" s="177"/>
      <c r="G596" s="192"/>
      <c r="H596" s="179"/>
      <c r="I596" s="345" t="e">
        <f>IF(#REF!="",#REF!*#REF!,IF(#REF!=0,#REF!*#REF!,#REF!*#REF!*#REF!))</f>
        <v>#REF!</v>
      </c>
      <c r="J596" s="244" t="e">
        <f>#REF!*#REF!</f>
        <v>#REF!</v>
      </c>
      <c r="K596" s="192" t="e">
        <f>#REF!*mo</f>
        <v>#REF!</v>
      </c>
      <c r="L596" s="192" t="e">
        <f t="shared" si="83"/>
        <v>#REF!</v>
      </c>
      <c r="M596" s="192" t="e">
        <f>#REF!*#REF!</f>
        <v>#REF!</v>
      </c>
      <c r="N596" s="192" t="e">
        <f>#REF!+K596+#REF!</f>
        <v>#REF!</v>
      </c>
      <c r="O596" s="179" t="e">
        <f t="shared" si="84"/>
        <v>#REF!</v>
      </c>
    </row>
    <row r="597" spans="1:15" s="209" customFormat="1" outlineLevel="2">
      <c r="A597" s="238"/>
      <c r="B597" s="245"/>
      <c r="C597" s="190"/>
      <c r="D597" s="191"/>
      <c r="E597" s="176"/>
      <c r="F597" s="177"/>
      <c r="G597" s="192"/>
      <c r="H597" s="179"/>
      <c r="I597" s="345" t="e">
        <f>IF(#REF!="",#REF!*#REF!,IF(#REF!=0,#REF!*#REF!,#REF!*#REF!*#REF!))</f>
        <v>#REF!</v>
      </c>
      <c r="J597" s="244" t="e">
        <f>#REF!*#REF!</f>
        <v>#REF!</v>
      </c>
      <c r="K597" s="192" t="e">
        <f>#REF!*mo</f>
        <v>#REF!</v>
      </c>
      <c r="L597" s="192" t="e">
        <f t="shared" si="83"/>
        <v>#REF!</v>
      </c>
      <c r="M597" s="192" t="e">
        <f>#REF!*#REF!</f>
        <v>#REF!</v>
      </c>
      <c r="N597" s="192" t="e">
        <f>#REF!+K597+#REF!</f>
        <v>#REF!</v>
      </c>
      <c r="O597" s="179" t="e">
        <f t="shared" si="84"/>
        <v>#REF!</v>
      </c>
    </row>
    <row r="598" spans="1:15" s="209" customFormat="1" outlineLevel="2">
      <c r="A598" s="238"/>
      <c r="B598" s="246" t="s">
        <v>1042</v>
      </c>
      <c r="C598" s="190" t="s">
        <v>801</v>
      </c>
      <c r="D598" s="191"/>
      <c r="E598" s="176"/>
      <c r="F598" s="177"/>
      <c r="G598" s="192"/>
      <c r="H598" s="179"/>
      <c r="I598" s="345" t="e">
        <f>IF(#REF!="",#REF!*#REF!,IF(#REF!=0,#REF!*#REF!,#REF!*#REF!*#REF!))</f>
        <v>#REF!</v>
      </c>
      <c r="J598" s="244" t="e">
        <f>#REF!*#REF!</f>
        <v>#REF!</v>
      </c>
      <c r="K598" s="192" t="e">
        <f>#REF!*mo</f>
        <v>#REF!</v>
      </c>
      <c r="L598" s="192" t="e">
        <f t="shared" ref="L598:L601" si="87">J598*mo</f>
        <v>#REF!</v>
      </c>
      <c r="M598" s="192" t="e">
        <f>#REF!*#REF!</f>
        <v>#REF!</v>
      </c>
      <c r="N598" s="192" t="e">
        <f>#REF!+K598+#REF!</f>
        <v>#REF!</v>
      </c>
      <c r="O598" s="179" t="e">
        <f t="shared" si="84"/>
        <v>#REF!</v>
      </c>
    </row>
    <row r="599" spans="1:15" s="209" customFormat="1" outlineLevel="2">
      <c r="A599" s="238"/>
      <c r="B599" s="212" t="s">
        <v>1043</v>
      </c>
      <c r="C599" s="190"/>
      <c r="D599" s="191"/>
      <c r="E599" s="176"/>
      <c r="F599" s="177"/>
      <c r="G599" s="192"/>
      <c r="H599" s="179"/>
      <c r="I599" s="345" t="e">
        <f>IF(#REF!="",#REF!*#REF!,IF(#REF!=0,#REF!*#REF!,#REF!*#REF!*#REF!))</f>
        <v>#REF!</v>
      </c>
      <c r="J599" s="244" t="e">
        <f>#REF!*#REF!</f>
        <v>#REF!</v>
      </c>
      <c r="K599" s="192" t="e">
        <f>#REF!*mo</f>
        <v>#REF!</v>
      </c>
      <c r="L599" s="192" t="e">
        <f t="shared" si="87"/>
        <v>#REF!</v>
      </c>
      <c r="M599" s="192" t="e">
        <f>#REF!*#REF!</f>
        <v>#REF!</v>
      </c>
      <c r="N599" s="192" t="e">
        <f>#REF!+K599+#REF!</f>
        <v>#REF!</v>
      </c>
      <c r="O599" s="179" t="e">
        <f t="shared" si="84"/>
        <v>#REF!</v>
      </c>
    </row>
    <row r="600" spans="1:15" s="209" customFormat="1" outlineLevel="2">
      <c r="A600" s="238"/>
      <c r="B600" s="212" t="s">
        <v>1044</v>
      </c>
      <c r="C600" s="190"/>
      <c r="D600" s="191"/>
      <c r="E600" s="176"/>
      <c r="F600" s="177"/>
      <c r="G600" s="192"/>
      <c r="H600" s="179"/>
      <c r="I600" s="345" t="e">
        <f>IF(#REF!="",#REF!*#REF!,IF(#REF!=0,#REF!*#REF!,#REF!*#REF!*#REF!))</f>
        <v>#REF!</v>
      </c>
      <c r="J600" s="244" t="e">
        <f>#REF!*#REF!</f>
        <v>#REF!</v>
      </c>
      <c r="K600" s="192" t="e">
        <f>#REF!*mo</f>
        <v>#REF!</v>
      </c>
      <c r="L600" s="192" t="e">
        <f t="shared" si="87"/>
        <v>#REF!</v>
      </c>
      <c r="M600" s="192" t="e">
        <f>#REF!*#REF!</f>
        <v>#REF!</v>
      </c>
      <c r="N600" s="192" t="e">
        <f>#REF!+K600+#REF!</f>
        <v>#REF!</v>
      </c>
      <c r="O600" s="179" t="e">
        <f t="shared" si="84"/>
        <v>#REF!</v>
      </c>
    </row>
    <row r="601" spans="1:15" s="209" customFormat="1" outlineLevel="2">
      <c r="A601" s="238"/>
      <c r="B601" s="236"/>
      <c r="C601" s="190"/>
      <c r="D601" s="191"/>
      <c r="E601" s="176"/>
      <c r="F601" s="177"/>
      <c r="G601" s="192"/>
      <c r="H601" s="179"/>
      <c r="I601" s="345" t="e">
        <f>IF(#REF!="",#REF!*#REF!,IF(#REF!=0,#REF!*#REF!,#REF!*#REF!*#REF!))</f>
        <v>#REF!</v>
      </c>
      <c r="J601" s="244" t="e">
        <f>#REF!*#REF!</f>
        <v>#REF!</v>
      </c>
      <c r="K601" s="192" t="e">
        <f>#REF!*mo</f>
        <v>#REF!</v>
      </c>
      <c r="L601" s="192" t="e">
        <f t="shared" si="87"/>
        <v>#REF!</v>
      </c>
      <c r="M601" s="192" t="e">
        <f>#REF!*#REF!</f>
        <v>#REF!</v>
      </c>
      <c r="N601" s="192" t="e">
        <f>#REF!+K601+#REF!</f>
        <v>#REF!</v>
      </c>
      <c r="O601" s="179" t="e">
        <f t="shared" si="84"/>
        <v>#REF!</v>
      </c>
    </row>
    <row r="602" spans="1:15" s="209" customFormat="1" outlineLevel="2">
      <c r="A602" s="238"/>
      <c r="B602" s="212" t="s">
        <v>1045</v>
      </c>
      <c r="C602" s="190" t="s">
        <v>93</v>
      </c>
      <c r="D602" s="191"/>
      <c r="E602" s="176"/>
      <c r="F602" s="177"/>
      <c r="G602" s="192"/>
      <c r="H602" s="179"/>
      <c r="I602" s="345" t="e">
        <f>IF(#REF!="",#REF!*#REF!,IF(#REF!=0,#REF!*#REF!,#REF!*#REF!*#REF!))</f>
        <v>#REF!</v>
      </c>
      <c r="J602" s="244" t="e">
        <f>#REF!*#REF!</f>
        <v>#REF!</v>
      </c>
      <c r="K602" s="192" t="e">
        <f>#REF!*mo</f>
        <v>#REF!</v>
      </c>
      <c r="L602" s="192" t="e">
        <f t="shared" si="83"/>
        <v>#REF!</v>
      </c>
      <c r="M602" s="192" t="e">
        <f>#REF!*#REF!</f>
        <v>#REF!</v>
      </c>
      <c r="N602" s="192" t="e">
        <f>#REF!+K602+#REF!</f>
        <v>#REF!</v>
      </c>
      <c r="O602" s="179" t="e">
        <f t="shared" si="84"/>
        <v>#REF!</v>
      </c>
    </row>
    <row r="603" spans="1:15" s="209" customFormat="1" outlineLevel="2">
      <c r="A603" s="238"/>
      <c r="B603" s="236"/>
      <c r="C603" s="190"/>
      <c r="D603" s="191"/>
      <c r="E603" s="176"/>
      <c r="F603" s="177"/>
      <c r="G603" s="192"/>
      <c r="H603" s="179"/>
      <c r="I603" s="345" t="e">
        <f>IF(#REF!="",#REF!*#REF!,IF(#REF!=0,#REF!*#REF!,#REF!*#REF!*#REF!))</f>
        <v>#REF!</v>
      </c>
      <c r="J603" s="244" t="e">
        <f>#REF!*#REF!</f>
        <v>#REF!</v>
      </c>
      <c r="K603" s="192" t="e">
        <f>#REF!*mo</f>
        <v>#REF!</v>
      </c>
      <c r="L603" s="192" t="e">
        <f t="shared" si="83"/>
        <v>#REF!</v>
      </c>
      <c r="M603" s="192" t="e">
        <f>#REF!*#REF!</f>
        <v>#REF!</v>
      </c>
      <c r="N603" s="192" t="e">
        <f>#REF!+K603+#REF!</f>
        <v>#REF!</v>
      </c>
      <c r="O603" s="179" t="e">
        <f t="shared" si="84"/>
        <v>#REF!</v>
      </c>
    </row>
    <row r="604" spans="1:15" s="209" customFormat="1" outlineLevel="2">
      <c r="A604" s="238"/>
      <c r="B604" s="212" t="s">
        <v>1046</v>
      </c>
      <c r="C604" s="190" t="s">
        <v>93</v>
      </c>
      <c r="D604" s="191"/>
      <c r="E604" s="176"/>
      <c r="F604" s="177"/>
      <c r="G604" s="192"/>
      <c r="H604" s="179"/>
      <c r="I604" s="345" t="e">
        <f>IF(#REF!="",#REF!*#REF!,IF(#REF!=0,#REF!*#REF!,#REF!*#REF!*#REF!))</f>
        <v>#REF!</v>
      </c>
      <c r="J604" s="244" t="e">
        <f>#REF!*#REF!</f>
        <v>#REF!</v>
      </c>
      <c r="K604" s="192" t="e">
        <f>#REF!*mo</f>
        <v>#REF!</v>
      </c>
      <c r="L604" s="192" t="e">
        <f t="shared" si="83"/>
        <v>#REF!</v>
      </c>
      <c r="M604" s="192" t="e">
        <f>#REF!*#REF!</f>
        <v>#REF!</v>
      </c>
      <c r="N604" s="192" t="e">
        <f>#REF!+K604+#REF!</f>
        <v>#REF!</v>
      </c>
      <c r="O604" s="179" t="e">
        <f t="shared" si="84"/>
        <v>#REF!</v>
      </c>
    </row>
    <row r="605" spans="1:15" s="209" customFormat="1" outlineLevel="2">
      <c r="A605" s="238"/>
      <c r="B605" s="236"/>
      <c r="C605" s="190"/>
      <c r="D605" s="191"/>
      <c r="E605" s="176"/>
      <c r="F605" s="177"/>
      <c r="G605" s="192"/>
      <c r="H605" s="179"/>
      <c r="I605" s="345" t="e">
        <f>IF(#REF!="",#REF!*#REF!,IF(#REF!=0,#REF!*#REF!,#REF!*#REF!*#REF!))</f>
        <v>#REF!</v>
      </c>
      <c r="J605" s="244" t="e">
        <f>#REF!*#REF!</f>
        <v>#REF!</v>
      </c>
      <c r="K605" s="192" t="e">
        <f>#REF!*mo</f>
        <v>#REF!</v>
      </c>
      <c r="L605" s="192" t="e">
        <f t="shared" si="83"/>
        <v>#REF!</v>
      </c>
      <c r="M605" s="192" t="e">
        <f>#REF!*#REF!</f>
        <v>#REF!</v>
      </c>
      <c r="N605" s="192" t="e">
        <f>#REF!+K605+#REF!</f>
        <v>#REF!</v>
      </c>
      <c r="O605" s="179" t="e">
        <f t="shared" si="84"/>
        <v>#REF!</v>
      </c>
    </row>
    <row r="606" spans="1:15" s="209" customFormat="1" outlineLevel="2">
      <c r="A606" s="238"/>
      <c r="B606" s="212" t="s">
        <v>1013</v>
      </c>
      <c r="C606" s="190" t="s">
        <v>93</v>
      </c>
      <c r="D606" s="191"/>
      <c r="E606" s="176"/>
      <c r="F606" s="177"/>
      <c r="G606" s="192"/>
      <c r="H606" s="179"/>
      <c r="I606" s="345" t="e">
        <f>IF(#REF!="",#REF!*#REF!,IF(#REF!=0,#REF!*#REF!,#REF!*#REF!*#REF!))</f>
        <v>#REF!</v>
      </c>
      <c r="J606" s="244" t="e">
        <f>#REF!*#REF!</f>
        <v>#REF!</v>
      </c>
      <c r="K606" s="192" t="e">
        <f>#REF!*mo</f>
        <v>#REF!</v>
      </c>
      <c r="L606" s="192" t="e">
        <f t="shared" si="83"/>
        <v>#REF!</v>
      </c>
      <c r="M606" s="192" t="e">
        <f>#REF!*#REF!</f>
        <v>#REF!</v>
      </c>
      <c r="N606" s="192" t="e">
        <f>#REF!+K606+#REF!</f>
        <v>#REF!</v>
      </c>
      <c r="O606" s="179" t="e">
        <f t="shared" si="84"/>
        <v>#REF!</v>
      </c>
    </row>
    <row r="607" spans="1:15" s="209" customFormat="1" outlineLevel="2">
      <c r="A607" s="240"/>
      <c r="B607" s="210"/>
      <c r="C607" s="190"/>
      <c r="D607" s="191"/>
      <c r="E607" s="176"/>
      <c r="F607" s="177"/>
      <c r="G607" s="192"/>
      <c r="H607" s="179"/>
      <c r="I607" s="345" t="e">
        <f>IF(#REF!="",#REF!*#REF!,IF(#REF!=0,#REF!*#REF!,#REF!*#REF!*#REF!))</f>
        <v>#REF!</v>
      </c>
      <c r="J607" s="244" t="e">
        <f>#REF!*#REF!</f>
        <v>#REF!</v>
      </c>
      <c r="K607" s="192" t="e">
        <f>#REF!*mo</f>
        <v>#REF!</v>
      </c>
      <c r="L607" s="192" t="e">
        <f t="shared" si="83"/>
        <v>#REF!</v>
      </c>
      <c r="M607" s="192" t="e">
        <f>#REF!*#REF!</f>
        <v>#REF!</v>
      </c>
      <c r="N607" s="192" t="e">
        <f>#REF!+K607+#REF!</f>
        <v>#REF!</v>
      </c>
      <c r="O607" s="179" t="e">
        <f t="shared" si="84"/>
        <v>#REF!</v>
      </c>
    </row>
    <row r="608" spans="1:15" s="209" customFormat="1" outlineLevel="1">
      <c r="A608" s="240" t="str">
        <f>$A$575&amp;".3"</f>
        <v>7.1.3</v>
      </c>
      <c r="B608" s="210" t="s">
        <v>1047</v>
      </c>
      <c r="C608" s="190"/>
      <c r="D608" s="191"/>
      <c r="E608" s="176"/>
      <c r="F608" s="177"/>
      <c r="G608" s="192">
        <f>SUM(F609:F633)</f>
        <v>0</v>
      </c>
      <c r="H608" s="179"/>
      <c r="I608" s="345" t="e">
        <f>IF(#REF!="",#REF!*#REF!,IF(#REF!=0,#REF!*#REF!,#REF!*#REF!*#REF!))</f>
        <v>#REF!</v>
      </c>
      <c r="J608" s="244" t="e">
        <f>#REF!*#REF!</f>
        <v>#REF!</v>
      </c>
      <c r="K608" s="192" t="e">
        <f>#REF!*mo</f>
        <v>#REF!</v>
      </c>
      <c r="L608" s="192" t="e">
        <f t="shared" si="83"/>
        <v>#REF!</v>
      </c>
      <c r="M608" s="192" t="e">
        <f>#REF!*#REF!</f>
        <v>#REF!</v>
      </c>
      <c r="N608" s="192" t="e">
        <f>#REF!+K608+#REF!</f>
        <v>#REF!</v>
      </c>
      <c r="O608" s="179" t="e">
        <f t="shared" si="84"/>
        <v>#REF!</v>
      </c>
    </row>
    <row r="609" spans="1:15" s="193" customFormat="1" outlineLevel="2">
      <c r="A609" s="240"/>
      <c r="B609" s="233"/>
      <c r="C609" s="190"/>
      <c r="D609" s="191"/>
      <c r="E609" s="176"/>
      <c r="F609" s="177"/>
      <c r="G609" s="192"/>
      <c r="H609" s="179"/>
      <c r="I609" s="339" t="e">
        <f>IF(#REF!="",#REF!*#REF!,IF(#REF!=0,#REF!*#REF!,#REF!*#REF!*#REF!))</f>
        <v>#REF!</v>
      </c>
      <c r="J609" s="180" t="e">
        <f>#REF!*#REF!</f>
        <v>#REF!</v>
      </c>
      <c r="K609" s="178" t="e">
        <f>#REF!*mo</f>
        <v>#REF!</v>
      </c>
      <c r="L609" s="178" t="e">
        <f t="shared" si="83"/>
        <v>#REF!</v>
      </c>
      <c r="M609" s="178" t="e">
        <f>#REF!*#REF!</f>
        <v>#REF!</v>
      </c>
      <c r="N609" s="178" t="e">
        <f>#REF!+K609+#REF!</f>
        <v>#REF!</v>
      </c>
      <c r="O609" s="181" t="e">
        <f t="shared" si="84"/>
        <v>#REF!</v>
      </c>
    </row>
    <row r="610" spans="1:15" s="193" customFormat="1" outlineLevel="2">
      <c r="A610" s="238"/>
      <c r="B610" s="236" t="s">
        <v>1048</v>
      </c>
      <c r="C610" s="190"/>
      <c r="D610" s="191"/>
      <c r="E610" s="176"/>
      <c r="F610" s="177"/>
      <c r="G610" s="192"/>
      <c r="H610" s="179"/>
      <c r="I610" s="339" t="e">
        <f>IF(#REF!="",#REF!*#REF!,IF(#REF!=0,#REF!*#REF!,#REF!*#REF!*#REF!))</f>
        <v>#REF!</v>
      </c>
      <c r="J610" s="180" t="e">
        <f>#REF!*#REF!</f>
        <v>#REF!</v>
      </c>
      <c r="K610" s="178" t="e">
        <f>#REF!*mo</f>
        <v>#REF!</v>
      </c>
      <c r="L610" s="178" t="e">
        <f t="shared" si="83"/>
        <v>#REF!</v>
      </c>
      <c r="M610" s="178" t="e">
        <f>#REF!*#REF!</f>
        <v>#REF!</v>
      </c>
      <c r="N610" s="178" t="e">
        <f>#REF!+K610+#REF!</f>
        <v>#REF!</v>
      </c>
      <c r="O610" s="181" t="e">
        <f t="shared" si="84"/>
        <v>#REF!</v>
      </c>
    </row>
    <row r="611" spans="1:15" s="193" customFormat="1" outlineLevel="2">
      <c r="A611" s="238"/>
      <c r="B611" s="212" t="s">
        <v>940</v>
      </c>
      <c r="C611" s="190" t="s">
        <v>123</v>
      </c>
      <c r="D611" s="191"/>
      <c r="E611" s="176"/>
      <c r="F611" s="177"/>
      <c r="G611" s="192"/>
      <c r="H611" s="179"/>
      <c r="I611" s="339" t="e">
        <f>IF(#REF!="",#REF!*#REF!,IF(#REF!=0,#REF!*#REF!,#REF!*#REF!*#REF!))</f>
        <v>#REF!</v>
      </c>
      <c r="J611" s="180" t="e">
        <f>#REF!*#REF!</f>
        <v>#REF!</v>
      </c>
      <c r="K611" s="178" t="e">
        <f>#REF!*mo</f>
        <v>#REF!</v>
      </c>
      <c r="L611" s="178" t="e">
        <f t="shared" si="83"/>
        <v>#REF!</v>
      </c>
      <c r="M611" s="178" t="e">
        <f>#REF!*#REF!</f>
        <v>#REF!</v>
      </c>
      <c r="N611" s="178" t="e">
        <f>#REF!+K611+#REF!</f>
        <v>#REF!</v>
      </c>
      <c r="O611" s="181" t="e">
        <f t="shared" si="84"/>
        <v>#REF!</v>
      </c>
    </row>
    <row r="612" spans="1:15" s="193" customFormat="1" outlineLevel="2">
      <c r="A612" s="238"/>
      <c r="B612" s="212" t="s">
        <v>1049</v>
      </c>
      <c r="C612" s="190" t="s">
        <v>123</v>
      </c>
      <c r="D612" s="191"/>
      <c r="E612" s="176"/>
      <c r="F612" s="177"/>
      <c r="G612" s="192"/>
      <c r="H612" s="179"/>
      <c r="I612" s="339" t="e">
        <f>IF(#REF!="",#REF!*#REF!,IF(#REF!=0,#REF!*#REF!,#REF!*#REF!*#REF!))</f>
        <v>#REF!</v>
      </c>
      <c r="J612" s="180" t="e">
        <f>#REF!*#REF!</f>
        <v>#REF!</v>
      </c>
      <c r="K612" s="178" t="e">
        <f>#REF!*mo</f>
        <v>#REF!</v>
      </c>
      <c r="L612" s="178" t="e">
        <f t="shared" si="83"/>
        <v>#REF!</v>
      </c>
      <c r="M612" s="178" t="e">
        <f>#REF!*#REF!</f>
        <v>#REF!</v>
      </c>
      <c r="N612" s="178" t="e">
        <f>#REF!+K612+#REF!</f>
        <v>#REF!</v>
      </c>
      <c r="O612" s="181" t="e">
        <f t="shared" si="84"/>
        <v>#REF!</v>
      </c>
    </row>
    <row r="613" spans="1:15" s="193" customFormat="1" outlineLevel="2">
      <c r="A613" s="238"/>
      <c r="B613" s="212" t="s">
        <v>1050</v>
      </c>
      <c r="C613" s="190" t="s">
        <v>123</v>
      </c>
      <c r="D613" s="191"/>
      <c r="E613" s="176"/>
      <c r="F613" s="177"/>
      <c r="G613" s="192"/>
      <c r="H613" s="179"/>
      <c r="I613" s="339" t="e">
        <f>IF(#REF!="",#REF!*#REF!,IF(#REF!=0,#REF!*#REF!,#REF!*#REF!*#REF!))</f>
        <v>#REF!</v>
      </c>
      <c r="J613" s="180" t="e">
        <f>#REF!*#REF!</f>
        <v>#REF!</v>
      </c>
      <c r="K613" s="178" t="e">
        <f>#REF!*mo</f>
        <v>#REF!</v>
      </c>
      <c r="L613" s="178" t="e">
        <f t="shared" si="83"/>
        <v>#REF!</v>
      </c>
      <c r="M613" s="178" t="e">
        <f>#REF!*#REF!</f>
        <v>#REF!</v>
      </c>
      <c r="N613" s="178" t="e">
        <f>#REF!+K613+#REF!</f>
        <v>#REF!</v>
      </c>
      <c r="O613" s="181" t="e">
        <f t="shared" si="84"/>
        <v>#REF!</v>
      </c>
    </row>
    <row r="614" spans="1:15" s="193" customFormat="1" outlineLevel="2">
      <c r="A614" s="238"/>
      <c r="B614" s="212" t="s">
        <v>943</v>
      </c>
      <c r="C614" s="190" t="s">
        <v>123</v>
      </c>
      <c r="D614" s="191"/>
      <c r="E614" s="176"/>
      <c r="F614" s="177"/>
      <c r="G614" s="192"/>
      <c r="H614" s="179"/>
      <c r="I614" s="339" t="e">
        <f>IF(#REF!="",#REF!*#REF!,IF(#REF!=0,#REF!*#REF!,#REF!*#REF!*#REF!))</f>
        <v>#REF!</v>
      </c>
      <c r="J614" s="180" t="e">
        <f>#REF!*#REF!</f>
        <v>#REF!</v>
      </c>
      <c r="K614" s="178" t="e">
        <f>#REF!*mo</f>
        <v>#REF!</v>
      </c>
      <c r="L614" s="178" t="e">
        <f t="shared" si="83"/>
        <v>#REF!</v>
      </c>
      <c r="M614" s="178" t="e">
        <f>#REF!*#REF!</f>
        <v>#REF!</v>
      </c>
      <c r="N614" s="178" t="e">
        <f>#REF!+K614+#REF!</f>
        <v>#REF!</v>
      </c>
      <c r="O614" s="181" t="e">
        <f t="shared" si="84"/>
        <v>#REF!</v>
      </c>
    </row>
    <row r="615" spans="1:15" s="193" customFormat="1" outlineLevel="2">
      <c r="A615" s="238"/>
      <c r="B615" s="212" t="s">
        <v>868</v>
      </c>
      <c r="C615" s="190" t="s">
        <v>123</v>
      </c>
      <c r="D615" s="191"/>
      <c r="E615" s="176"/>
      <c r="F615" s="177"/>
      <c r="G615" s="192"/>
      <c r="H615" s="179"/>
      <c r="I615" s="339" t="e">
        <f>IF(#REF!="",#REF!*#REF!,IF(#REF!=0,#REF!*#REF!,#REF!*#REF!*#REF!))</f>
        <v>#REF!</v>
      </c>
      <c r="J615" s="180" t="e">
        <f>#REF!*#REF!</f>
        <v>#REF!</v>
      </c>
      <c r="K615" s="178" t="e">
        <f>#REF!*mo</f>
        <v>#REF!</v>
      </c>
      <c r="L615" s="178" t="e">
        <f t="shared" si="83"/>
        <v>#REF!</v>
      </c>
      <c r="M615" s="178" t="e">
        <f>#REF!*#REF!</f>
        <v>#REF!</v>
      </c>
      <c r="N615" s="178" t="e">
        <f>#REF!+K615+#REF!</f>
        <v>#REF!</v>
      </c>
      <c r="O615" s="181" t="e">
        <f t="shared" si="84"/>
        <v>#REF!</v>
      </c>
    </row>
    <row r="616" spans="1:15" s="193" customFormat="1" outlineLevel="2">
      <c r="A616" s="238"/>
      <c r="B616" s="212" t="s">
        <v>869</v>
      </c>
      <c r="C616" s="190" t="s">
        <v>123</v>
      </c>
      <c r="D616" s="191"/>
      <c r="E616" s="176"/>
      <c r="F616" s="177"/>
      <c r="G616" s="192"/>
      <c r="H616" s="179"/>
      <c r="I616" s="339" t="e">
        <f>IF(#REF!="",#REF!*#REF!,IF(#REF!=0,#REF!*#REF!,#REF!*#REF!*#REF!))</f>
        <v>#REF!</v>
      </c>
      <c r="J616" s="180" t="e">
        <f>#REF!*#REF!</f>
        <v>#REF!</v>
      </c>
      <c r="K616" s="178" t="e">
        <f>#REF!*mo</f>
        <v>#REF!</v>
      </c>
      <c r="L616" s="178" t="e">
        <f t="shared" si="83"/>
        <v>#REF!</v>
      </c>
      <c r="M616" s="178" t="e">
        <f>#REF!*#REF!</f>
        <v>#REF!</v>
      </c>
      <c r="N616" s="178" t="e">
        <f>#REF!+K616+#REF!</f>
        <v>#REF!</v>
      </c>
      <c r="O616" s="181" t="e">
        <f t="shared" si="84"/>
        <v>#REF!</v>
      </c>
    </row>
    <row r="617" spans="1:15" s="193" customFormat="1" outlineLevel="2">
      <c r="A617" s="238"/>
      <c r="B617" s="212" t="s">
        <v>870</v>
      </c>
      <c r="C617" s="190" t="s">
        <v>123</v>
      </c>
      <c r="D617" s="191"/>
      <c r="E617" s="176"/>
      <c r="F617" s="177"/>
      <c r="G617" s="192"/>
      <c r="H617" s="179"/>
      <c r="I617" s="339" t="e">
        <f>IF(#REF!="",#REF!*#REF!,IF(#REF!=0,#REF!*#REF!,#REF!*#REF!*#REF!))</f>
        <v>#REF!</v>
      </c>
      <c r="J617" s="180" t="e">
        <f>#REF!*#REF!</f>
        <v>#REF!</v>
      </c>
      <c r="K617" s="178" t="e">
        <f>#REF!*mo</f>
        <v>#REF!</v>
      </c>
      <c r="L617" s="178" t="e">
        <f t="shared" si="83"/>
        <v>#REF!</v>
      </c>
      <c r="M617" s="178" t="e">
        <f>#REF!*#REF!</f>
        <v>#REF!</v>
      </c>
      <c r="N617" s="178" t="e">
        <f>#REF!+K617+#REF!</f>
        <v>#REF!</v>
      </c>
      <c r="O617" s="181" t="e">
        <f t="shared" si="84"/>
        <v>#REF!</v>
      </c>
    </row>
    <row r="618" spans="1:15" s="193" customFormat="1" outlineLevel="2">
      <c r="A618" s="238"/>
      <c r="B618" s="212" t="s">
        <v>871</v>
      </c>
      <c r="C618" s="190" t="s">
        <v>123</v>
      </c>
      <c r="D618" s="191"/>
      <c r="E618" s="176"/>
      <c r="F618" s="177"/>
      <c r="G618" s="192"/>
      <c r="H618" s="179"/>
      <c r="I618" s="339" t="e">
        <f>IF(#REF!="",#REF!*#REF!,IF(#REF!=0,#REF!*#REF!,#REF!*#REF!*#REF!))</f>
        <v>#REF!</v>
      </c>
      <c r="J618" s="180" t="e">
        <f>#REF!*#REF!</f>
        <v>#REF!</v>
      </c>
      <c r="K618" s="178" t="e">
        <f>#REF!*mo</f>
        <v>#REF!</v>
      </c>
      <c r="L618" s="178" t="e">
        <f t="shared" si="83"/>
        <v>#REF!</v>
      </c>
      <c r="M618" s="178" t="e">
        <f>#REF!*#REF!</f>
        <v>#REF!</v>
      </c>
      <c r="N618" s="178" t="e">
        <f>#REF!+K618+#REF!</f>
        <v>#REF!</v>
      </c>
      <c r="O618" s="181" t="e">
        <f t="shared" si="84"/>
        <v>#REF!</v>
      </c>
    </row>
    <row r="619" spans="1:15" s="193" customFormat="1" outlineLevel="2">
      <c r="A619" s="238"/>
      <c r="B619" s="212" t="s">
        <v>1041</v>
      </c>
      <c r="C619" s="190" t="s">
        <v>123</v>
      </c>
      <c r="D619" s="191"/>
      <c r="E619" s="176"/>
      <c r="F619" s="177"/>
      <c r="G619" s="192"/>
      <c r="H619" s="179"/>
      <c r="I619" s="339" t="e">
        <f>IF(#REF!="",#REF!*#REF!,IF(#REF!=0,#REF!*#REF!,#REF!*#REF!*#REF!))</f>
        <v>#REF!</v>
      </c>
      <c r="J619" s="180" t="e">
        <f>#REF!*#REF!</f>
        <v>#REF!</v>
      </c>
      <c r="K619" s="178" t="e">
        <f>#REF!*mo</f>
        <v>#REF!</v>
      </c>
      <c r="L619" s="178" t="e">
        <f t="shared" si="83"/>
        <v>#REF!</v>
      </c>
      <c r="M619" s="178" t="e">
        <f>#REF!*#REF!</f>
        <v>#REF!</v>
      </c>
      <c r="N619" s="178" t="e">
        <f>#REF!+K619+#REF!</f>
        <v>#REF!</v>
      </c>
      <c r="O619" s="181" t="e">
        <f t="shared" si="84"/>
        <v>#REF!</v>
      </c>
    </row>
    <row r="620" spans="1:15" s="193" customFormat="1" outlineLevel="2">
      <c r="A620" s="240"/>
      <c r="B620" s="233"/>
      <c r="C620" s="190"/>
      <c r="D620" s="191"/>
      <c r="E620" s="176"/>
      <c r="F620" s="177"/>
      <c r="G620" s="192"/>
      <c r="H620" s="179"/>
      <c r="I620" s="339" t="e">
        <f>IF(#REF!="",#REF!*#REF!,IF(#REF!=0,#REF!*#REF!,#REF!*#REF!*#REF!))</f>
        <v>#REF!</v>
      </c>
      <c r="J620" s="180" t="e">
        <f>#REF!*#REF!</f>
        <v>#REF!</v>
      </c>
      <c r="K620" s="178" t="e">
        <f>#REF!*mo</f>
        <v>#REF!</v>
      </c>
      <c r="L620" s="178" t="e">
        <f t="shared" si="83"/>
        <v>#REF!</v>
      </c>
      <c r="M620" s="178" t="e">
        <f>#REF!*#REF!</f>
        <v>#REF!</v>
      </c>
      <c r="N620" s="178" t="e">
        <f>#REF!+K620+#REF!</f>
        <v>#REF!</v>
      </c>
      <c r="O620" s="181" t="e">
        <f t="shared" si="84"/>
        <v>#REF!</v>
      </c>
    </row>
    <row r="621" spans="1:15" s="193" customFormat="1" outlineLevel="2">
      <c r="A621" s="240"/>
      <c r="B621" s="236" t="s">
        <v>1039</v>
      </c>
      <c r="C621" s="190"/>
      <c r="D621" s="191"/>
      <c r="E621" s="176"/>
      <c r="F621" s="177"/>
      <c r="G621" s="192"/>
      <c r="H621" s="179"/>
      <c r="I621" s="339" t="e">
        <f>IF(#REF!="",#REF!*#REF!,IF(#REF!=0,#REF!*#REF!,#REF!*#REF!*#REF!))</f>
        <v>#REF!</v>
      </c>
      <c r="J621" s="180" t="e">
        <f>#REF!*#REF!</f>
        <v>#REF!</v>
      </c>
      <c r="K621" s="178" t="e">
        <f>#REF!*mo</f>
        <v>#REF!</v>
      </c>
      <c r="L621" s="178" t="e">
        <f t="shared" ref="L621:L631" si="88">J621*mo</f>
        <v>#REF!</v>
      </c>
      <c r="M621" s="178" t="e">
        <f>#REF!*#REF!</f>
        <v>#REF!</v>
      </c>
      <c r="N621" s="178" t="e">
        <f>#REF!+K621+#REF!</f>
        <v>#REF!</v>
      </c>
      <c r="O621" s="181" t="e">
        <f t="shared" si="84"/>
        <v>#REF!</v>
      </c>
    </row>
    <row r="622" spans="1:15" s="193" customFormat="1" outlineLevel="2">
      <c r="A622" s="240"/>
      <c r="B622" s="212" t="s">
        <v>940</v>
      </c>
      <c r="C622" s="190" t="s">
        <v>123</v>
      </c>
      <c r="D622" s="191"/>
      <c r="E622" s="176"/>
      <c r="F622" s="177"/>
      <c r="G622" s="192"/>
      <c r="H622" s="179"/>
      <c r="I622" s="339" t="e">
        <f>IF(#REF!="",#REF!*#REF!,IF(#REF!=0,#REF!*#REF!,#REF!*#REF!*#REF!))</f>
        <v>#REF!</v>
      </c>
      <c r="J622" s="180" t="e">
        <f>#REF!*#REF!</f>
        <v>#REF!</v>
      </c>
      <c r="K622" s="178" t="e">
        <f>#REF!*mo</f>
        <v>#REF!</v>
      </c>
      <c r="L622" s="178" t="e">
        <f t="shared" si="88"/>
        <v>#REF!</v>
      </c>
      <c r="M622" s="178" t="e">
        <f>#REF!*#REF!</f>
        <v>#REF!</v>
      </c>
      <c r="N622" s="178" t="e">
        <f>#REF!+K622+#REF!</f>
        <v>#REF!</v>
      </c>
      <c r="O622" s="181" t="e">
        <f t="shared" si="84"/>
        <v>#REF!</v>
      </c>
    </row>
    <row r="623" spans="1:15" s="193" customFormat="1" outlineLevel="2">
      <c r="A623" s="240"/>
      <c r="B623" s="212" t="s">
        <v>1049</v>
      </c>
      <c r="C623" s="190" t="s">
        <v>123</v>
      </c>
      <c r="D623" s="191"/>
      <c r="E623" s="176"/>
      <c r="F623" s="177"/>
      <c r="G623" s="192"/>
      <c r="H623" s="179"/>
      <c r="I623" s="339" t="e">
        <f>IF(#REF!="",#REF!*#REF!,IF(#REF!=0,#REF!*#REF!,#REF!*#REF!*#REF!))</f>
        <v>#REF!</v>
      </c>
      <c r="J623" s="180" t="e">
        <f>#REF!*#REF!</f>
        <v>#REF!</v>
      </c>
      <c r="K623" s="178" t="e">
        <f>#REF!*mo</f>
        <v>#REF!</v>
      </c>
      <c r="L623" s="178" t="e">
        <f t="shared" si="88"/>
        <v>#REF!</v>
      </c>
      <c r="M623" s="178" t="e">
        <f>#REF!*#REF!</f>
        <v>#REF!</v>
      </c>
      <c r="N623" s="178" t="e">
        <f>#REF!+K623+#REF!</f>
        <v>#REF!</v>
      </c>
      <c r="O623" s="181" t="e">
        <f t="shared" si="84"/>
        <v>#REF!</v>
      </c>
    </row>
    <row r="624" spans="1:15" s="193" customFormat="1" outlineLevel="2">
      <c r="A624" s="240"/>
      <c r="B624" s="212" t="s">
        <v>1050</v>
      </c>
      <c r="C624" s="190" t="s">
        <v>123</v>
      </c>
      <c r="D624" s="191"/>
      <c r="E624" s="176"/>
      <c r="F624" s="177"/>
      <c r="G624" s="192"/>
      <c r="H624" s="179"/>
      <c r="I624" s="339" t="e">
        <f>IF(#REF!="",#REF!*#REF!,IF(#REF!=0,#REF!*#REF!,#REF!*#REF!*#REF!))</f>
        <v>#REF!</v>
      </c>
      <c r="J624" s="180" t="e">
        <f>#REF!*#REF!</f>
        <v>#REF!</v>
      </c>
      <c r="K624" s="178" t="e">
        <f>#REF!*mo</f>
        <v>#REF!</v>
      </c>
      <c r="L624" s="178" t="e">
        <f t="shared" si="88"/>
        <v>#REF!</v>
      </c>
      <c r="M624" s="178" t="e">
        <f>#REF!*#REF!</f>
        <v>#REF!</v>
      </c>
      <c r="N624" s="178" t="e">
        <f>#REF!+K624+#REF!</f>
        <v>#REF!</v>
      </c>
      <c r="O624" s="181" t="e">
        <f t="shared" si="84"/>
        <v>#REF!</v>
      </c>
    </row>
    <row r="625" spans="1:15" s="193" customFormat="1" outlineLevel="2">
      <c r="A625" s="240"/>
      <c r="B625" s="212" t="s">
        <v>943</v>
      </c>
      <c r="C625" s="190" t="s">
        <v>123</v>
      </c>
      <c r="D625" s="191"/>
      <c r="E625" s="176"/>
      <c r="F625" s="177"/>
      <c r="G625" s="192"/>
      <c r="H625" s="179"/>
      <c r="I625" s="339" t="e">
        <f>IF(#REF!="",#REF!*#REF!,IF(#REF!=0,#REF!*#REF!,#REF!*#REF!*#REF!))</f>
        <v>#REF!</v>
      </c>
      <c r="J625" s="180" t="e">
        <f>#REF!*#REF!</f>
        <v>#REF!</v>
      </c>
      <c r="K625" s="178" t="e">
        <f>#REF!*mo</f>
        <v>#REF!</v>
      </c>
      <c r="L625" s="178" t="e">
        <f t="shared" si="88"/>
        <v>#REF!</v>
      </c>
      <c r="M625" s="178" t="e">
        <f>#REF!*#REF!</f>
        <v>#REF!</v>
      </c>
      <c r="N625" s="178" t="e">
        <f>#REF!+K625+#REF!</f>
        <v>#REF!</v>
      </c>
      <c r="O625" s="181" t="e">
        <f t="shared" si="84"/>
        <v>#REF!</v>
      </c>
    </row>
    <row r="626" spans="1:15" s="193" customFormat="1" outlineLevel="2">
      <c r="A626" s="240"/>
      <c r="B626" s="212" t="s">
        <v>868</v>
      </c>
      <c r="C626" s="190" t="s">
        <v>123</v>
      </c>
      <c r="D626" s="191"/>
      <c r="E626" s="176"/>
      <c r="F626" s="177"/>
      <c r="G626" s="192"/>
      <c r="H626" s="179"/>
      <c r="I626" s="339" t="e">
        <f>IF(#REF!="",#REF!*#REF!,IF(#REF!=0,#REF!*#REF!,#REF!*#REF!*#REF!))</f>
        <v>#REF!</v>
      </c>
      <c r="J626" s="180" t="e">
        <f>#REF!*#REF!</f>
        <v>#REF!</v>
      </c>
      <c r="K626" s="178" t="e">
        <f>#REF!*mo</f>
        <v>#REF!</v>
      </c>
      <c r="L626" s="178" t="e">
        <f t="shared" si="88"/>
        <v>#REF!</v>
      </c>
      <c r="M626" s="178" t="e">
        <f>#REF!*#REF!</f>
        <v>#REF!</v>
      </c>
      <c r="N626" s="178" t="e">
        <f>#REF!+K626+#REF!</f>
        <v>#REF!</v>
      </c>
      <c r="O626" s="181" t="e">
        <f t="shared" si="84"/>
        <v>#REF!</v>
      </c>
    </row>
    <row r="627" spans="1:15" s="193" customFormat="1" outlineLevel="2">
      <c r="A627" s="240"/>
      <c r="B627" s="212" t="s">
        <v>869</v>
      </c>
      <c r="C627" s="190" t="s">
        <v>123</v>
      </c>
      <c r="D627" s="191"/>
      <c r="E627" s="176"/>
      <c r="F627" s="177"/>
      <c r="G627" s="192"/>
      <c r="H627" s="179"/>
      <c r="I627" s="339" t="e">
        <f>IF(#REF!="",#REF!*#REF!,IF(#REF!=0,#REF!*#REF!,#REF!*#REF!*#REF!))</f>
        <v>#REF!</v>
      </c>
      <c r="J627" s="180" t="e">
        <f>#REF!*#REF!</f>
        <v>#REF!</v>
      </c>
      <c r="K627" s="178" t="e">
        <f>#REF!*mo</f>
        <v>#REF!</v>
      </c>
      <c r="L627" s="178" t="e">
        <f t="shared" si="88"/>
        <v>#REF!</v>
      </c>
      <c r="M627" s="178" t="e">
        <f>#REF!*#REF!</f>
        <v>#REF!</v>
      </c>
      <c r="N627" s="178" t="e">
        <f>#REF!+K627+#REF!</f>
        <v>#REF!</v>
      </c>
      <c r="O627" s="181" t="e">
        <f t="shared" si="84"/>
        <v>#REF!</v>
      </c>
    </row>
    <row r="628" spans="1:15" s="193" customFormat="1" outlineLevel="2">
      <c r="A628" s="240"/>
      <c r="B628" s="212" t="s">
        <v>870</v>
      </c>
      <c r="C628" s="190" t="s">
        <v>123</v>
      </c>
      <c r="D628" s="191"/>
      <c r="E628" s="176"/>
      <c r="F628" s="177"/>
      <c r="G628" s="192"/>
      <c r="H628" s="179"/>
      <c r="I628" s="339" t="e">
        <f>IF(#REF!="",#REF!*#REF!,IF(#REF!=0,#REF!*#REF!,#REF!*#REF!*#REF!))</f>
        <v>#REF!</v>
      </c>
      <c r="J628" s="180" t="e">
        <f>#REF!*#REF!</f>
        <v>#REF!</v>
      </c>
      <c r="K628" s="178" t="e">
        <f>#REF!*mo</f>
        <v>#REF!</v>
      </c>
      <c r="L628" s="178" t="e">
        <f t="shared" si="88"/>
        <v>#REF!</v>
      </c>
      <c r="M628" s="178" t="e">
        <f>#REF!*#REF!</f>
        <v>#REF!</v>
      </c>
      <c r="N628" s="178" t="e">
        <f>#REF!+K628+#REF!</f>
        <v>#REF!</v>
      </c>
      <c r="O628" s="181" t="e">
        <f t="shared" si="84"/>
        <v>#REF!</v>
      </c>
    </row>
    <row r="629" spans="1:15" s="193" customFormat="1" outlineLevel="2">
      <c r="A629" s="240"/>
      <c r="B629" s="212" t="s">
        <v>871</v>
      </c>
      <c r="C629" s="190" t="s">
        <v>123</v>
      </c>
      <c r="D629" s="191"/>
      <c r="E629" s="176"/>
      <c r="F629" s="177"/>
      <c r="G629" s="192"/>
      <c r="H629" s="179"/>
      <c r="I629" s="339" t="e">
        <f>IF(#REF!="",#REF!*#REF!,IF(#REF!=0,#REF!*#REF!,#REF!*#REF!*#REF!))</f>
        <v>#REF!</v>
      </c>
      <c r="J629" s="180" t="e">
        <f>#REF!*#REF!</f>
        <v>#REF!</v>
      </c>
      <c r="K629" s="178" t="e">
        <f>#REF!*mo</f>
        <v>#REF!</v>
      </c>
      <c r="L629" s="178" t="e">
        <f t="shared" si="88"/>
        <v>#REF!</v>
      </c>
      <c r="M629" s="178" t="e">
        <f>#REF!*#REF!</f>
        <v>#REF!</v>
      </c>
      <c r="N629" s="178" t="e">
        <f>#REF!+K629+#REF!</f>
        <v>#REF!</v>
      </c>
      <c r="O629" s="181" t="e">
        <f t="shared" si="84"/>
        <v>#REF!</v>
      </c>
    </row>
    <row r="630" spans="1:15" s="193" customFormat="1" outlineLevel="2">
      <c r="A630" s="240"/>
      <c r="B630" s="212" t="s">
        <v>1041</v>
      </c>
      <c r="C630" s="190" t="s">
        <v>123</v>
      </c>
      <c r="D630" s="191"/>
      <c r="E630" s="176"/>
      <c r="F630" s="177"/>
      <c r="G630" s="192"/>
      <c r="H630" s="179"/>
      <c r="I630" s="339" t="e">
        <f>IF(#REF!="",#REF!*#REF!,IF(#REF!=0,#REF!*#REF!,#REF!*#REF!*#REF!))</f>
        <v>#REF!</v>
      </c>
      <c r="J630" s="180" t="e">
        <f>#REF!*#REF!</f>
        <v>#REF!</v>
      </c>
      <c r="K630" s="178" t="e">
        <f>#REF!*mo</f>
        <v>#REF!</v>
      </c>
      <c r="L630" s="178" t="e">
        <f t="shared" si="88"/>
        <v>#REF!</v>
      </c>
      <c r="M630" s="178" t="e">
        <f>#REF!*#REF!</f>
        <v>#REF!</v>
      </c>
      <c r="N630" s="178" t="e">
        <f>#REF!+K630+#REF!</f>
        <v>#REF!</v>
      </c>
      <c r="O630" s="181" t="e">
        <f t="shared" si="84"/>
        <v>#REF!</v>
      </c>
    </row>
    <row r="631" spans="1:15" s="193" customFormat="1" outlineLevel="2">
      <c r="A631" s="240"/>
      <c r="B631" s="212"/>
      <c r="C631" s="190"/>
      <c r="D631" s="191"/>
      <c r="E631" s="176"/>
      <c r="F631" s="177"/>
      <c r="G631" s="192"/>
      <c r="H631" s="179"/>
      <c r="I631" s="339" t="e">
        <f>IF(#REF!="",#REF!*#REF!,IF(#REF!=0,#REF!*#REF!,#REF!*#REF!*#REF!))</f>
        <v>#REF!</v>
      </c>
      <c r="J631" s="180" t="e">
        <f>#REF!*#REF!</f>
        <v>#REF!</v>
      </c>
      <c r="K631" s="178" t="e">
        <f>#REF!*mo</f>
        <v>#REF!</v>
      </c>
      <c r="L631" s="178" t="e">
        <f t="shared" si="88"/>
        <v>#REF!</v>
      </c>
      <c r="M631" s="178" t="e">
        <f>#REF!*#REF!</f>
        <v>#REF!</v>
      </c>
      <c r="N631" s="178" t="e">
        <f>#REF!+K631+#REF!</f>
        <v>#REF!</v>
      </c>
      <c r="O631" s="181" t="e">
        <f t="shared" si="84"/>
        <v>#REF!</v>
      </c>
    </row>
    <row r="632" spans="1:15" s="193" customFormat="1" outlineLevel="2">
      <c r="A632" s="238"/>
      <c r="B632" s="212" t="s">
        <v>1023</v>
      </c>
      <c r="C632" s="190" t="s">
        <v>123</v>
      </c>
      <c r="D632" s="191"/>
      <c r="E632" s="176"/>
      <c r="F632" s="177"/>
      <c r="G632" s="192"/>
      <c r="H632" s="179"/>
      <c r="I632" s="339" t="e">
        <f>IF(#REF!="",#REF!*#REF!,IF(#REF!=0,#REF!*#REF!,#REF!*#REF!*#REF!))</f>
        <v>#REF!</v>
      </c>
      <c r="J632" s="180" t="e">
        <f>#REF!*#REF!</f>
        <v>#REF!</v>
      </c>
      <c r="K632" s="178" t="e">
        <f>#REF!*mo</f>
        <v>#REF!</v>
      </c>
      <c r="L632" s="178" t="e">
        <f t="shared" si="83"/>
        <v>#REF!</v>
      </c>
      <c r="M632" s="178" t="e">
        <f>#REF!*#REF!</f>
        <v>#REF!</v>
      </c>
      <c r="N632" s="178" t="e">
        <f>#REF!+K632+#REF!</f>
        <v>#REF!</v>
      </c>
      <c r="O632" s="181" t="e">
        <f t="shared" si="84"/>
        <v>#REF!</v>
      </c>
    </row>
    <row r="633" spans="1:15" s="193" customFormat="1" outlineLevel="1">
      <c r="A633" s="240"/>
      <c r="B633" s="198" t="str">
        <f>"Total "&amp;B575</f>
        <v>Total EAUX USEES</v>
      </c>
      <c r="C633" s="190"/>
      <c r="D633" s="191"/>
      <c r="E633" s="176"/>
      <c r="F633" s="177"/>
      <c r="G633" s="192"/>
      <c r="H633" s="179">
        <f>SUM(G576:G633)</f>
        <v>0</v>
      </c>
      <c r="I633" s="339" t="e">
        <f>IF(#REF!="",#REF!*#REF!,IF(#REF!=0,#REF!*#REF!,#REF!*#REF!*#REF!))</f>
        <v>#REF!</v>
      </c>
      <c r="J633" s="180" t="e">
        <f>#REF!*#REF!</f>
        <v>#REF!</v>
      </c>
      <c r="K633" s="178" t="e">
        <f>#REF!*mo</f>
        <v>#REF!</v>
      </c>
      <c r="L633" s="178" t="e">
        <f t="shared" si="83"/>
        <v>#REF!</v>
      </c>
      <c r="M633" s="178" t="e">
        <f>#REF!*#REF!</f>
        <v>#REF!</v>
      </c>
      <c r="N633" s="178" t="e">
        <f>#REF!+K633+#REF!</f>
        <v>#REF!</v>
      </c>
      <c r="O633" s="181" t="e">
        <f t="shared" si="84"/>
        <v>#REF!</v>
      </c>
    </row>
    <row r="634" spans="1:15" s="193" customFormat="1" outlineLevel="1">
      <c r="A634" s="247"/>
      <c r="B634" s="198"/>
      <c r="C634" s="190"/>
      <c r="D634" s="191"/>
      <c r="E634" s="176"/>
      <c r="F634" s="177"/>
      <c r="G634" s="192"/>
      <c r="H634" s="235"/>
      <c r="I634" s="339"/>
      <c r="J634" s="180"/>
      <c r="K634" s="178"/>
      <c r="L634" s="178"/>
      <c r="M634" s="178"/>
      <c r="N634" s="178"/>
      <c r="O634" s="181"/>
    </row>
    <row r="635" spans="1:15" s="209" customFormat="1" outlineLevel="1">
      <c r="A635" s="157" t="str">
        <f>$A$573&amp;".2"</f>
        <v>7.2</v>
      </c>
      <c r="B635" s="158" t="s">
        <v>1051</v>
      </c>
      <c r="C635" s="195"/>
      <c r="D635" s="170"/>
      <c r="E635" s="176"/>
      <c r="F635" s="177"/>
      <c r="G635" s="192"/>
      <c r="H635" s="196"/>
      <c r="I635" s="339" t="e">
        <f>IF(#REF!="",#REF!*#REF!,IF(#REF!=0,#REF!*#REF!,#REF!*#REF!*#REF!))</f>
        <v>#REF!</v>
      </c>
      <c r="J635" s="180" t="e">
        <f>#REF!*#REF!</f>
        <v>#REF!</v>
      </c>
      <c r="K635" s="178" t="e">
        <f>#REF!*mo</f>
        <v>#REF!</v>
      </c>
      <c r="L635" s="178" t="e">
        <f t="shared" si="83"/>
        <v>#REF!</v>
      </c>
      <c r="M635" s="178" t="e">
        <f>#REF!*#REF!</f>
        <v>#REF!</v>
      </c>
      <c r="N635" s="178" t="e">
        <f>#REF!+K635+#REF!</f>
        <v>#REF!</v>
      </c>
      <c r="O635" s="181" t="e">
        <f t="shared" si="84"/>
        <v>#REF!</v>
      </c>
    </row>
    <row r="636" spans="1:15" s="193" customFormat="1" outlineLevel="1">
      <c r="A636" s="240" t="str">
        <f>$A$635&amp;".1"</f>
        <v>7.2.1</v>
      </c>
      <c r="B636" s="241" t="s">
        <v>1034</v>
      </c>
      <c r="C636" s="190"/>
      <c r="D636" s="191"/>
      <c r="E636" s="176"/>
      <c r="F636" s="177"/>
      <c r="G636" s="192">
        <f>SUM(F637:F639)</f>
        <v>0</v>
      </c>
      <c r="H636" s="179"/>
      <c r="I636" s="339" t="e">
        <f>IF(#REF!="",#REF!*#REF!,IF(#REF!=0,#REF!*#REF!,#REF!*#REF!*#REF!))</f>
        <v>#REF!</v>
      </c>
      <c r="J636" s="180" t="e">
        <f>#REF!*#REF!</f>
        <v>#REF!</v>
      </c>
      <c r="K636" s="178" t="e">
        <f>#REF!*mo</f>
        <v>#REF!</v>
      </c>
      <c r="L636" s="178" t="e">
        <f t="shared" si="83"/>
        <v>#REF!</v>
      </c>
      <c r="M636" s="178" t="e">
        <f>#REF!*#REF!</f>
        <v>#REF!</v>
      </c>
      <c r="N636" s="178" t="e">
        <f>#REF!+K636+#REF!</f>
        <v>#REF!</v>
      </c>
      <c r="O636" s="181" t="e">
        <f t="shared" si="84"/>
        <v>#REF!</v>
      </c>
    </row>
    <row r="637" spans="1:15" s="193" customFormat="1" outlineLevel="2">
      <c r="A637" s="238"/>
      <c r="B637" s="241"/>
      <c r="C637" s="190"/>
      <c r="D637" s="191"/>
      <c r="E637" s="176"/>
      <c r="F637" s="177"/>
      <c r="G637" s="192"/>
      <c r="H637" s="179"/>
      <c r="I637" s="339" t="e">
        <f>IF(#REF!="",#REF!*#REF!,IF(#REF!=0,#REF!*#REF!,#REF!*#REF!*#REF!))</f>
        <v>#REF!</v>
      </c>
      <c r="J637" s="180" t="e">
        <f>#REF!*#REF!</f>
        <v>#REF!</v>
      </c>
      <c r="K637" s="178" t="e">
        <f>#REF!*mo</f>
        <v>#REF!</v>
      </c>
      <c r="L637" s="178" t="e">
        <f t="shared" si="83"/>
        <v>#REF!</v>
      </c>
      <c r="M637" s="178" t="e">
        <f>#REF!*#REF!</f>
        <v>#REF!</v>
      </c>
      <c r="N637" s="178" t="e">
        <f>#REF!+K637+#REF!</f>
        <v>#REF!</v>
      </c>
      <c r="O637" s="181" t="e">
        <f t="shared" si="84"/>
        <v>#REF!</v>
      </c>
    </row>
    <row r="638" spans="1:15" s="193" customFormat="1" outlineLevel="2">
      <c r="A638" s="238"/>
      <c r="B638" s="236" t="s">
        <v>1052</v>
      </c>
      <c r="C638" s="190" t="s">
        <v>93</v>
      </c>
      <c r="D638" s="191"/>
      <c r="E638" s="176"/>
      <c r="F638" s="177"/>
      <c r="G638" s="192"/>
      <c r="H638" s="179"/>
      <c r="I638" s="339" t="e">
        <f>IF(#REF!="",#REF!*#REF!,IF(#REF!=0,#REF!*#REF!,#REF!*#REF!*#REF!))</f>
        <v>#REF!</v>
      </c>
      <c r="J638" s="180" t="e">
        <f>#REF!*#REF!</f>
        <v>#REF!</v>
      </c>
      <c r="K638" s="178" t="e">
        <f>#REF!*mo</f>
        <v>#REF!</v>
      </c>
      <c r="L638" s="178" t="e">
        <f t="shared" si="83"/>
        <v>#REF!</v>
      </c>
      <c r="M638" s="178" t="e">
        <f>#REF!*#REF!</f>
        <v>#REF!</v>
      </c>
      <c r="N638" s="178" t="e">
        <f>#REF!+K638+#REF!</f>
        <v>#REF!</v>
      </c>
      <c r="O638" s="181" t="e">
        <f t="shared" si="84"/>
        <v>#REF!</v>
      </c>
    </row>
    <row r="639" spans="1:15" s="193" customFormat="1" outlineLevel="2">
      <c r="A639" s="238"/>
      <c r="B639" s="237"/>
      <c r="C639" s="190"/>
      <c r="D639" s="191"/>
      <c r="E639" s="176"/>
      <c r="F639" s="177"/>
      <c r="G639" s="192"/>
      <c r="H639" s="179"/>
      <c r="I639" s="339" t="e">
        <f>IF(#REF!="",#REF!*#REF!,IF(#REF!=0,#REF!*#REF!,#REF!*#REF!*#REF!))</f>
        <v>#REF!</v>
      </c>
      <c r="J639" s="180" t="e">
        <f>#REF!*#REF!</f>
        <v>#REF!</v>
      </c>
      <c r="K639" s="178" t="e">
        <f>#REF!*mo</f>
        <v>#REF!</v>
      </c>
      <c r="L639" s="178" t="e">
        <f t="shared" si="83"/>
        <v>#REF!</v>
      </c>
      <c r="M639" s="178" t="e">
        <f>#REF!*#REF!</f>
        <v>#REF!</v>
      </c>
      <c r="N639" s="178" t="e">
        <f>#REF!+K639+#REF!</f>
        <v>#REF!</v>
      </c>
      <c r="O639" s="181" t="e">
        <f t="shared" si="84"/>
        <v>#REF!</v>
      </c>
    </row>
    <row r="640" spans="1:15" s="193" customFormat="1" outlineLevel="1">
      <c r="A640" s="240" t="str">
        <f>$A$635&amp;".2"</f>
        <v>7.2.2</v>
      </c>
      <c r="B640" s="210" t="s">
        <v>1053</v>
      </c>
      <c r="C640" s="190"/>
      <c r="D640" s="191"/>
      <c r="E640" s="176"/>
      <c r="F640" s="177"/>
      <c r="G640" s="192">
        <f>SUM(F641:F664)</f>
        <v>0</v>
      </c>
      <c r="H640" s="179"/>
      <c r="I640" s="339" t="e">
        <f>IF(#REF!="",#REF!*#REF!,IF(#REF!=0,#REF!*#REF!,#REF!*#REF!*#REF!))</f>
        <v>#REF!</v>
      </c>
      <c r="J640" s="180" t="e">
        <f>#REF!*#REF!</f>
        <v>#REF!</v>
      </c>
      <c r="K640" s="178" t="e">
        <f>#REF!*mo</f>
        <v>#REF!</v>
      </c>
      <c r="L640" s="178" t="e">
        <f t="shared" si="83"/>
        <v>#REF!</v>
      </c>
      <c r="M640" s="178" t="e">
        <f>#REF!*#REF!</f>
        <v>#REF!</v>
      </c>
      <c r="N640" s="178" t="e">
        <f>#REF!+K640+#REF!</f>
        <v>#REF!</v>
      </c>
      <c r="O640" s="181" t="e">
        <f t="shared" si="84"/>
        <v>#REF!</v>
      </c>
    </row>
    <row r="641" spans="1:15" s="193" customFormat="1" outlineLevel="2">
      <c r="A641" s="240"/>
      <c r="B641" s="233"/>
      <c r="C641" s="190"/>
      <c r="D641" s="191"/>
      <c r="E641" s="176"/>
      <c r="F641" s="177"/>
      <c r="G641" s="192"/>
      <c r="H641" s="179"/>
      <c r="I641" s="339" t="e">
        <f>IF(#REF!="",#REF!*#REF!,IF(#REF!=0,#REF!*#REF!,#REF!*#REF!*#REF!))</f>
        <v>#REF!</v>
      </c>
      <c r="J641" s="180" t="e">
        <f>#REF!*#REF!</f>
        <v>#REF!</v>
      </c>
      <c r="K641" s="178" t="e">
        <f>#REF!*mo</f>
        <v>#REF!</v>
      </c>
      <c r="L641" s="178" t="e">
        <f t="shared" si="83"/>
        <v>#REF!</v>
      </c>
      <c r="M641" s="178" t="e">
        <f>#REF!*#REF!</f>
        <v>#REF!</v>
      </c>
      <c r="N641" s="178" t="e">
        <f>#REF!+K641+#REF!</f>
        <v>#REF!</v>
      </c>
      <c r="O641" s="181" t="e">
        <f t="shared" si="84"/>
        <v>#REF!</v>
      </c>
    </row>
    <row r="642" spans="1:15" s="193" customFormat="1" outlineLevel="2">
      <c r="A642" s="238"/>
      <c r="B642" s="236" t="s">
        <v>1039</v>
      </c>
      <c r="C642" s="190"/>
      <c r="D642" s="191"/>
      <c r="E642" s="176"/>
      <c r="F642" s="177"/>
      <c r="G642" s="192"/>
      <c r="H642" s="179"/>
      <c r="I642" s="339" t="e">
        <f>IF(#REF!="",#REF!*#REF!,IF(#REF!=0,#REF!*#REF!,#REF!*#REF!*#REF!))</f>
        <v>#REF!</v>
      </c>
      <c r="J642" s="180" t="e">
        <f>#REF!*#REF!</f>
        <v>#REF!</v>
      </c>
      <c r="K642" s="178" t="e">
        <f>#REF!*mo</f>
        <v>#REF!</v>
      </c>
      <c r="L642" s="178" t="e">
        <f t="shared" si="83"/>
        <v>#REF!</v>
      </c>
      <c r="M642" s="178" t="e">
        <f>#REF!*#REF!</f>
        <v>#REF!</v>
      </c>
      <c r="N642" s="178" t="e">
        <f>#REF!+K642+#REF!</f>
        <v>#REF!</v>
      </c>
      <c r="O642" s="181" t="e">
        <f t="shared" si="84"/>
        <v>#REF!</v>
      </c>
    </row>
    <row r="643" spans="1:15" s="193" customFormat="1" outlineLevel="2">
      <c r="A643" s="238"/>
      <c r="B643" s="212" t="s">
        <v>940</v>
      </c>
      <c r="C643" s="190" t="s">
        <v>123</v>
      </c>
      <c r="D643" s="191"/>
      <c r="E643" s="176"/>
      <c r="F643" s="177"/>
      <c r="G643" s="192"/>
      <c r="H643" s="179"/>
      <c r="I643" s="339" t="e">
        <f>IF(#REF!="",#REF!*#REF!,IF(#REF!=0,#REF!*#REF!,#REF!*#REF!*#REF!))</f>
        <v>#REF!</v>
      </c>
      <c r="J643" s="180" t="e">
        <f>#REF!*#REF!</f>
        <v>#REF!</v>
      </c>
      <c r="K643" s="178" t="e">
        <f>#REF!*mo</f>
        <v>#REF!</v>
      </c>
      <c r="L643" s="178" t="e">
        <f t="shared" si="83"/>
        <v>#REF!</v>
      </c>
      <c r="M643" s="178" t="e">
        <f>#REF!*#REF!</f>
        <v>#REF!</v>
      </c>
      <c r="N643" s="178" t="e">
        <f>#REF!+K643+#REF!</f>
        <v>#REF!</v>
      </c>
      <c r="O643" s="181" t="e">
        <f t="shared" si="84"/>
        <v>#REF!</v>
      </c>
    </row>
    <row r="644" spans="1:15" s="193" customFormat="1" outlineLevel="2">
      <c r="A644" s="238"/>
      <c r="B644" s="212" t="s">
        <v>942</v>
      </c>
      <c r="C644" s="190" t="s">
        <v>123</v>
      </c>
      <c r="D644" s="191"/>
      <c r="E644" s="176"/>
      <c r="F644" s="177"/>
      <c r="G644" s="192"/>
      <c r="H644" s="179"/>
      <c r="I644" s="339" t="e">
        <f>IF(#REF!="",#REF!*#REF!,IF(#REF!=0,#REF!*#REF!,#REF!*#REF!*#REF!))</f>
        <v>#REF!</v>
      </c>
      <c r="J644" s="180" t="e">
        <f>#REF!*#REF!</f>
        <v>#REF!</v>
      </c>
      <c r="K644" s="178" t="e">
        <f>#REF!*mo</f>
        <v>#REF!</v>
      </c>
      <c r="L644" s="178" t="e">
        <f t="shared" si="83"/>
        <v>#REF!</v>
      </c>
      <c r="M644" s="178" t="e">
        <f>#REF!*#REF!</f>
        <v>#REF!</v>
      </c>
      <c r="N644" s="178" t="e">
        <f>#REF!+K644+#REF!</f>
        <v>#REF!</v>
      </c>
      <c r="O644" s="181" t="e">
        <f t="shared" si="84"/>
        <v>#REF!</v>
      </c>
    </row>
    <row r="645" spans="1:15" s="193" customFormat="1" outlineLevel="2">
      <c r="A645" s="238"/>
      <c r="B645" s="212" t="s">
        <v>943</v>
      </c>
      <c r="C645" s="190" t="s">
        <v>123</v>
      </c>
      <c r="D645" s="191"/>
      <c r="E645" s="176"/>
      <c r="F645" s="177"/>
      <c r="G645" s="192"/>
      <c r="H645" s="179"/>
      <c r="I645" s="339" t="e">
        <f>IF(#REF!="",#REF!*#REF!,IF(#REF!=0,#REF!*#REF!,#REF!*#REF!*#REF!))</f>
        <v>#REF!</v>
      </c>
      <c r="J645" s="180" t="e">
        <f>#REF!*#REF!</f>
        <v>#REF!</v>
      </c>
      <c r="K645" s="178" t="e">
        <f>#REF!*mo</f>
        <v>#REF!</v>
      </c>
      <c r="L645" s="178" t="e">
        <f t="shared" si="83"/>
        <v>#REF!</v>
      </c>
      <c r="M645" s="178" t="e">
        <f>#REF!*#REF!</f>
        <v>#REF!</v>
      </c>
      <c r="N645" s="178" t="e">
        <f>#REF!+K645+#REF!</f>
        <v>#REF!</v>
      </c>
      <c r="O645" s="181" t="e">
        <f t="shared" si="84"/>
        <v>#REF!</v>
      </c>
    </row>
    <row r="646" spans="1:15" s="193" customFormat="1" outlineLevel="2">
      <c r="A646" s="238"/>
      <c r="B646" s="212" t="s">
        <v>868</v>
      </c>
      <c r="C646" s="190" t="s">
        <v>123</v>
      </c>
      <c r="D646" s="191"/>
      <c r="E646" s="176"/>
      <c r="F646" s="177"/>
      <c r="G646" s="192"/>
      <c r="H646" s="179"/>
      <c r="I646" s="339" t="e">
        <f>IF(#REF!="",#REF!*#REF!,IF(#REF!=0,#REF!*#REF!,#REF!*#REF!*#REF!))</f>
        <v>#REF!</v>
      </c>
      <c r="J646" s="180" t="e">
        <f>#REF!*#REF!</f>
        <v>#REF!</v>
      </c>
      <c r="K646" s="178" t="e">
        <f>#REF!*mo</f>
        <v>#REF!</v>
      </c>
      <c r="L646" s="178" t="e">
        <f t="shared" si="83"/>
        <v>#REF!</v>
      </c>
      <c r="M646" s="178" t="e">
        <f>#REF!*#REF!</f>
        <v>#REF!</v>
      </c>
      <c r="N646" s="178" t="e">
        <f>#REF!+K646+#REF!</f>
        <v>#REF!</v>
      </c>
      <c r="O646" s="181" t="e">
        <f t="shared" si="84"/>
        <v>#REF!</v>
      </c>
    </row>
    <row r="647" spans="1:15" s="193" customFormat="1" outlineLevel="2">
      <c r="A647" s="238"/>
      <c r="B647" s="212" t="s">
        <v>944</v>
      </c>
      <c r="C647" s="190" t="s">
        <v>123</v>
      </c>
      <c r="D647" s="191"/>
      <c r="E647" s="176"/>
      <c r="F647" s="177"/>
      <c r="G647" s="192"/>
      <c r="H647" s="179"/>
      <c r="I647" s="339" t="e">
        <f>IF(#REF!="",#REF!*#REF!,IF(#REF!=0,#REF!*#REF!,#REF!*#REF!*#REF!))</f>
        <v>#REF!</v>
      </c>
      <c r="J647" s="180" t="e">
        <f>#REF!*#REF!</f>
        <v>#REF!</v>
      </c>
      <c r="K647" s="178" t="e">
        <f>#REF!*mo</f>
        <v>#REF!</v>
      </c>
      <c r="L647" s="178" t="e">
        <f t="shared" si="83"/>
        <v>#REF!</v>
      </c>
      <c r="M647" s="178" t="e">
        <f>#REF!*#REF!</f>
        <v>#REF!</v>
      </c>
      <c r="N647" s="178" t="e">
        <f>#REF!+K647+#REF!</f>
        <v>#REF!</v>
      </c>
      <c r="O647" s="181" t="e">
        <f t="shared" si="84"/>
        <v>#REF!</v>
      </c>
    </row>
    <row r="648" spans="1:15" s="193" customFormat="1" outlineLevel="2">
      <c r="A648" s="238"/>
      <c r="B648" s="212" t="s">
        <v>1040</v>
      </c>
      <c r="C648" s="190" t="s">
        <v>123</v>
      </c>
      <c r="D648" s="191"/>
      <c r="E648" s="176"/>
      <c r="F648" s="177"/>
      <c r="G648" s="192"/>
      <c r="H648" s="179"/>
      <c r="I648" s="339" t="e">
        <f>IF(#REF!="",#REF!*#REF!,IF(#REF!=0,#REF!*#REF!,#REF!*#REF!*#REF!))</f>
        <v>#REF!</v>
      </c>
      <c r="J648" s="180" t="e">
        <f>#REF!*#REF!</f>
        <v>#REF!</v>
      </c>
      <c r="K648" s="178" t="e">
        <f>#REF!*mo</f>
        <v>#REF!</v>
      </c>
      <c r="L648" s="178" t="e">
        <f t="shared" si="83"/>
        <v>#REF!</v>
      </c>
      <c r="M648" s="178" t="e">
        <f>#REF!*#REF!</f>
        <v>#REF!</v>
      </c>
      <c r="N648" s="178" t="e">
        <f>#REF!+K648+#REF!</f>
        <v>#REF!</v>
      </c>
      <c r="O648" s="181" t="e">
        <f t="shared" si="84"/>
        <v>#REF!</v>
      </c>
    </row>
    <row r="649" spans="1:15" s="193" customFormat="1" outlineLevel="2">
      <c r="A649" s="238"/>
      <c r="B649" s="212" t="s">
        <v>870</v>
      </c>
      <c r="C649" s="190" t="s">
        <v>123</v>
      </c>
      <c r="D649" s="191"/>
      <c r="E649" s="176"/>
      <c r="F649" s="177"/>
      <c r="G649" s="192"/>
      <c r="H649" s="179"/>
      <c r="I649" s="339" t="e">
        <f>IF(#REF!="",#REF!*#REF!,IF(#REF!=0,#REF!*#REF!,#REF!*#REF!*#REF!))</f>
        <v>#REF!</v>
      </c>
      <c r="J649" s="180" t="e">
        <f>#REF!*#REF!</f>
        <v>#REF!</v>
      </c>
      <c r="K649" s="178" t="e">
        <f>#REF!*mo</f>
        <v>#REF!</v>
      </c>
      <c r="L649" s="178" t="e">
        <f t="shared" si="83"/>
        <v>#REF!</v>
      </c>
      <c r="M649" s="178" t="e">
        <f>#REF!*#REF!</f>
        <v>#REF!</v>
      </c>
      <c r="N649" s="178" t="e">
        <f>#REF!+K649+#REF!</f>
        <v>#REF!</v>
      </c>
      <c r="O649" s="181" t="e">
        <f t="shared" si="84"/>
        <v>#REF!</v>
      </c>
    </row>
    <row r="650" spans="1:15" s="193" customFormat="1" outlineLevel="2">
      <c r="A650" s="238"/>
      <c r="B650" s="212" t="s">
        <v>871</v>
      </c>
      <c r="C650" s="190" t="s">
        <v>123</v>
      </c>
      <c r="D650" s="191"/>
      <c r="E650" s="176"/>
      <c r="F650" s="177"/>
      <c r="G650" s="192"/>
      <c r="H650" s="179"/>
      <c r="I650" s="339" t="e">
        <f>IF(#REF!="",#REF!*#REF!,IF(#REF!=0,#REF!*#REF!,#REF!*#REF!*#REF!))</f>
        <v>#REF!</v>
      </c>
      <c r="J650" s="180" t="e">
        <f>#REF!*#REF!</f>
        <v>#REF!</v>
      </c>
      <c r="K650" s="178" t="e">
        <f>#REF!*mo</f>
        <v>#REF!</v>
      </c>
      <c r="L650" s="178" t="e">
        <f t="shared" si="83"/>
        <v>#REF!</v>
      </c>
      <c r="M650" s="178" t="e">
        <f>#REF!*#REF!</f>
        <v>#REF!</v>
      </c>
      <c r="N650" s="178" t="e">
        <f>#REF!+K650+#REF!</f>
        <v>#REF!</v>
      </c>
      <c r="O650" s="181" t="e">
        <f t="shared" si="84"/>
        <v>#REF!</v>
      </c>
    </row>
    <row r="651" spans="1:15" s="193" customFormat="1" outlineLevel="2">
      <c r="A651" s="238"/>
      <c r="B651" s="212" t="s">
        <v>1041</v>
      </c>
      <c r="C651" s="190" t="s">
        <v>123</v>
      </c>
      <c r="D651" s="191"/>
      <c r="E651" s="176"/>
      <c r="F651" s="177"/>
      <c r="G651" s="192"/>
      <c r="H651" s="179"/>
      <c r="I651" s="339" t="e">
        <f>IF(#REF!="",#REF!*#REF!,IF(#REF!=0,#REF!*#REF!,#REF!*#REF!*#REF!))</f>
        <v>#REF!</v>
      </c>
      <c r="J651" s="180" t="e">
        <f>#REF!*#REF!</f>
        <v>#REF!</v>
      </c>
      <c r="K651" s="178" t="e">
        <f>#REF!*mo</f>
        <v>#REF!</v>
      </c>
      <c r="L651" s="178" t="e">
        <f t="shared" si="83"/>
        <v>#REF!</v>
      </c>
      <c r="M651" s="178" t="e">
        <f>#REF!*#REF!</f>
        <v>#REF!</v>
      </c>
      <c r="N651" s="178" t="e">
        <f>#REF!+K651+#REF!</f>
        <v>#REF!</v>
      </c>
      <c r="O651" s="181" t="e">
        <f t="shared" si="84"/>
        <v>#REF!</v>
      </c>
    </row>
    <row r="652" spans="1:15" s="193" customFormat="1" outlineLevel="2">
      <c r="A652" s="238"/>
      <c r="B652" s="212" t="s">
        <v>874</v>
      </c>
      <c r="C652" s="190" t="s">
        <v>123</v>
      </c>
      <c r="D652" s="191"/>
      <c r="E652" s="176"/>
      <c r="F652" s="177"/>
      <c r="G652" s="192"/>
      <c r="H652" s="179"/>
      <c r="I652" s="339" t="e">
        <f>IF(#REF!="",#REF!*#REF!,IF(#REF!=0,#REF!*#REF!,#REF!*#REF!*#REF!))</f>
        <v>#REF!</v>
      </c>
      <c r="J652" s="180" t="e">
        <f>#REF!*#REF!</f>
        <v>#REF!</v>
      </c>
      <c r="K652" s="178" t="e">
        <f>#REF!*mo</f>
        <v>#REF!</v>
      </c>
      <c r="L652" s="178" t="e">
        <f t="shared" si="83"/>
        <v>#REF!</v>
      </c>
      <c r="M652" s="178" t="e">
        <f>#REF!*#REF!</f>
        <v>#REF!</v>
      </c>
      <c r="N652" s="178" t="e">
        <f>#REF!+K652+#REF!</f>
        <v>#REF!</v>
      </c>
      <c r="O652" s="181" t="e">
        <f t="shared" si="84"/>
        <v>#REF!</v>
      </c>
    </row>
    <row r="653" spans="1:15" s="193" customFormat="1" outlineLevel="2">
      <c r="A653" s="238"/>
      <c r="B653" s="212" t="s">
        <v>876</v>
      </c>
      <c r="C653" s="190" t="s">
        <v>123</v>
      </c>
      <c r="D653" s="191"/>
      <c r="E653" s="176"/>
      <c r="F653" s="177"/>
      <c r="G653" s="192"/>
      <c r="H653" s="179"/>
      <c r="I653" s="339" t="e">
        <f>IF(#REF!="",#REF!*#REF!,IF(#REF!=0,#REF!*#REF!,#REF!*#REF!*#REF!))</f>
        <v>#REF!</v>
      </c>
      <c r="J653" s="180" t="e">
        <f>#REF!*#REF!</f>
        <v>#REF!</v>
      </c>
      <c r="K653" s="178" t="e">
        <f>#REF!*mo</f>
        <v>#REF!</v>
      </c>
      <c r="L653" s="178" t="e">
        <f t="shared" si="83"/>
        <v>#REF!</v>
      </c>
      <c r="M653" s="178" t="e">
        <f>#REF!*#REF!</f>
        <v>#REF!</v>
      </c>
      <c r="N653" s="178" t="e">
        <f>#REF!+K653+#REF!</f>
        <v>#REF!</v>
      </c>
      <c r="O653" s="181" t="e">
        <f t="shared" si="84"/>
        <v>#REF!</v>
      </c>
    </row>
    <row r="654" spans="1:15" s="193" customFormat="1" outlineLevel="2">
      <c r="A654" s="238"/>
      <c r="B654" s="236"/>
      <c r="C654" s="190"/>
      <c r="D654" s="191"/>
      <c r="E654" s="176"/>
      <c r="F654" s="177"/>
      <c r="G654" s="192"/>
      <c r="H654" s="179"/>
      <c r="I654" s="339" t="e">
        <f>IF(#REF!="",#REF!*#REF!,IF(#REF!=0,#REF!*#REF!,#REF!*#REF!*#REF!))</f>
        <v>#REF!</v>
      </c>
      <c r="J654" s="180" t="e">
        <f>#REF!*#REF!</f>
        <v>#REF!</v>
      </c>
      <c r="K654" s="178" t="e">
        <f>#REF!*mo</f>
        <v>#REF!</v>
      </c>
      <c r="L654" s="178" t="e">
        <f t="shared" si="83"/>
        <v>#REF!</v>
      </c>
      <c r="M654" s="178" t="e">
        <f>#REF!*#REF!</f>
        <v>#REF!</v>
      </c>
      <c r="N654" s="178" t="e">
        <f>#REF!+K654+#REF!</f>
        <v>#REF!</v>
      </c>
      <c r="O654" s="181" t="e">
        <f t="shared" si="84"/>
        <v>#REF!</v>
      </c>
    </row>
    <row r="655" spans="1:15" s="193" customFormat="1" outlineLevel="2">
      <c r="A655" s="238"/>
      <c r="B655" s="212" t="s">
        <v>1054</v>
      </c>
      <c r="C655" s="190" t="s">
        <v>801</v>
      </c>
      <c r="D655" s="191"/>
      <c r="E655" s="176"/>
      <c r="F655" s="177"/>
      <c r="G655" s="192"/>
      <c r="H655" s="179"/>
      <c r="I655" s="339" t="e">
        <f>IF(#REF!="",#REF!*#REF!,IF(#REF!=0,#REF!*#REF!,#REF!*#REF!*#REF!))</f>
        <v>#REF!</v>
      </c>
      <c r="J655" s="180" t="e">
        <f>#REF!*#REF!</f>
        <v>#REF!</v>
      </c>
      <c r="K655" s="178" t="e">
        <f>#REF!*mo</f>
        <v>#REF!</v>
      </c>
      <c r="L655" s="178" t="e">
        <f t="shared" ref="L655:L660" si="89">J655*mo</f>
        <v>#REF!</v>
      </c>
      <c r="M655" s="178" t="e">
        <f>#REF!*#REF!</f>
        <v>#REF!</v>
      </c>
      <c r="N655" s="178" t="e">
        <f>#REF!+K655+#REF!</f>
        <v>#REF!</v>
      </c>
      <c r="O655" s="181" t="e">
        <f t="shared" ref="O655:O718" si="90">M655+L655+I655</f>
        <v>#REF!</v>
      </c>
    </row>
    <row r="656" spans="1:15" s="193" customFormat="1" outlineLevel="2">
      <c r="A656" s="238"/>
      <c r="B656" s="212" t="s">
        <v>1043</v>
      </c>
      <c r="C656" s="190"/>
      <c r="D656" s="191"/>
      <c r="E656" s="176"/>
      <c r="F656" s="177"/>
      <c r="G656" s="192"/>
      <c r="H656" s="179"/>
      <c r="I656" s="339" t="e">
        <f>IF(#REF!="",#REF!*#REF!,IF(#REF!=0,#REF!*#REF!,#REF!*#REF!*#REF!))</f>
        <v>#REF!</v>
      </c>
      <c r="J656" s="180" t="e">
        <f>#REF!*#REF!</f>
        <v>#REF!</v>
      </c>
      <c r="K656" s="178" t="e">
        <f>#REF!*mo</f>
        <v>#REF!</v>
      </c>
      <c r="L656" s="178" t="e">
        <f t="shared" si="89"/>
        <v>#REF!</v>
      </c>
      <c r="M656" s="178" t="e">
        <f>#REF!*#REF!</f>
        <v>#REF!</v>
      </c>
      <c r="N656" s="178" t="e">
        <f>#REF!+K656+#REF!</f>
        <v>#REF!</v>
      </c>
      <c r="O656" s="181" t="e">
        <f t="shared" si="90"/>
        <v>#REF!</v>
      </c>
    </row>
    <row r="657" spans="1:15" s="193" customFormat="1" outlineLevel="2">
      <c r="A657" s="238"/>
      <c r="B657" s="212" t="s">
        <v>1044</v>
      </c>
      <c r="C657" s="190"/>
      <c r="D657" s="191"/>
      <c r="E657" s="176"/>
      <c r="F657" s="177"/>
      <c r="G657" s="192"/>
      <c r="H657" s="179"/>
      <c r="I657" s="339" t="e">
        <f>IF(#REF!="",#REF!*#REF!,IF(#REF!=0,#REF!*#REF!,#REF!*#REF!*#REF!))</f>
        <v>#REF!</v>
      </c>
      <c r="J657" s="180" t="e">
        <f>#REF!*#REF!</f>
        <v>#REF!</v>
      </c>
      <c r="K657" s="178" t="e">
        <f>#REF!*mo</f>
        <v>#REF!</v>
      </c>
      <c r="L657" s="178" t="e">
        <f t="shared" si="89"/>
        <v>#REF!</v>
      </c>
      <c r="M657" s="178" t="e">
        <f>#REF!*#REF!</f>
        <v>#REF!</v>
      </c>
      <c r="N657" s="178" t="e">
        <f>#REF!+K657+#REF!</f>
        <v>#REF!</v>
      </c>
      <c r="O657" s="181" t="e">
        <f t="shared" si="90"/>
        <v>#REF!</v>
      </c>
    </row>
    <row r="658" spans="1:15" s="193" customFormat="1" outlineLevel="2">
      <c r="A658" s="238"/>
      <c r="B658" s="212"/>
      <c r="C658" s="190"/>
      <c r="D658" s="191"/>
      <c r="E658" s="176"/>
      <c r="F658" s="177"/>
      <c r="G658" s="192"/>
      <c r="H658" s="179"/>
      <c r="I658" s="339" t="e">
        <f>IF(#REF!="",#REF!*#REF!,IF(#REF!=0,#REF!*#REF!,#REF!*#REF!*#REF!))</f>
        <v>#REF!</v>
      </c>
      <c r="J658" s="180" t="e">
        <f>#REF!*#REF!</f>
        <v>#REF!</v>
      </c>
      <c r="K658" s="178" t="e">
        <f>#REF!*mo</f>
        <v>#REF!</v>
      </c>
      <c r="L658" s="178" t="e">
        <f t="shared" si="89"/>
        <v>#REF!</v>
      </c>
      <c r="M658" s="178" t="e">
        <f>#REF!*#REF!</f>
        <v>#REF!</v>
      </c>
      <c r="N658" s="178" t="e">
        <f>#REF!+K658+#REF!</f>
        <v>#REF!</v>
      </c>
      <c r="O658" s="181" t="e">
        <f t="shared" si="90"/>
        <v>#REF!</v>
      </c>
    </row>
    <row r="659" spans="1:15" s="193" customFormat="1" outlineLevel="2">
      <c r="A659" s="238"/>
      <c r="B659" s="212" t="s">
        <v>1045</v>
      </c>
      <c r="C659" s="190" t="s">
        <v>93</v>
      </c>
      <c r="D659" s="191"/>
      <c r="E659" s="176"/>
      <c r="F659" s="177"/>
      <c r="G659" s="192"/>
      <c r="H659" s="179"/>
      <c r="I659" s="339" t="e">
        <f>IF(#REF!="",#REF!*#REF!,IF(#REF!=0,#REF!*#REF!,#REF!*#REF!*#REF!))</f>
        <v>#REF!</v>
      </c>
      <c r="J659" s="180" t="e">
        <f>#REF!*#REF!</f>
        <v>#REF!</v>
      </c>
      <c r="K659" s="178" t="e">
        <f>#REF!*mo</f>
        <v>#REF!</v>
      </c>
      <c r="L659" s="178" t="e">
        <f t="shared" si="89"/>
        <v>#REF!</v>
      </c>
      <c r="M659" s="178" t="e">
        <f>#REF!*#REF!</f>
        <v>#REF!</v>
      </c>
      <c r="N659" s="178" t="e">
        <f>#REF!+K659+#REF!</f>
        <v>#REF!</v>
      </c>
      <c r="O659" s="181" t="e">
        <f t="shared" si="90"/>
        <v>#REF!</v>
      </c>
    </row>
    <row r="660" spans="1:15" s="193" customFormat="1" outlineLevel="2">
      <c r="A660" s="238"/>
      <c r="B660" s="236"/>
      <c r="C660" s="190"/>
      <c r="D660" s="191"/>
      <c r="E660" s="176"/>
      <c r="F660" s="177"/>
      <c r="G660" s="192"/>
      <c r="H660" s="179"/>
      <c r="I660" s="339" t="e">
        <f>IF(#REF!="",#REF!*#REF!,IF(#REF!=0,#REF!*#REF!,#REF!*#REF!*#REF!))</f>
        <v>#REF!</v>
      </c>
      <c r="J660" s="180" t="e">
        <f>#REF!*#REF!</f>
        <v>#REF!</v>
      </c>
      <c r="K660" s="178" t="e">
        <f>#REF!*mo</f>
        <v>#REF!</v>
      </c>
      <c r="L660" s="178" t="e">
        <f t="shared" si="89"/>
        <v>#REF!</v>
      </c>
      <c r="M660" s="178" t="e">
        <f>#REF!*#REF!</f>
        <v>#REF!</v>
      </c>
      <c r="N660" s="178" t="e">
        <f>#REF!+K660+#REF!</f>
        <v>#REF!</v>
      </c>
      <c r="O660" s="181" t="e">
        <f t="shared" si="90"/>
        <v>#REF!</v>
      </c>
    </row>
    <row r="661" spans="1:15" s="193" customFormat="1" outlineLevel="2">
      <c r="A661" s="238"/>
      <c r="B661" s="212" t="s">
        <v>1046</v>
      </c>
      <c r="C661" s="190" t="s">
        <v>93</v>
      </c>
      <c r="D661" s="191"/>
      <c r="E661" s="176"/>
      <c r="F661" s="177"/>
      <c r="G661" s="192"/>
      <c r="H661" s="179"/>
      <c r="I661" s="339" t="e">
        <f>IF(#REF!="",#REF!*#REF!,IF(#REF!=0,#REF!*#REF!,#REF!*#REF!*#REF!))</f>
        <v>#REF!</v>
      </c>
      <c r="J661" s="180" t="e">
        <f>#REF!*#REF!</f>
        <v>#REF!</v>
      </c>
      <c r="K661" s="178" t="e">
        <f>#REF!*mo</f>
        <v>#REF!</v>
      </c>
      <c r="L661" s="178" t="e">
        <f t="shared" ref="L661:L774" si="91">J661*mo</f>
        <v>#REF!</v>
      </c>
      <c r="M661" s="178" t="e">
        <f>#REF!*#REF!</f>
        <v>#REF!</v>
      </c>
      <c r="N661" s="178" t="e">
        <f>#REF!+K661+#REF!</f>
        <v>#REF!</v>
      </c>
      <c r="O661" s="181" t="e">
        <f t="shared" si="90"/>
        <v>#REF!</v>
      </c>
    </row>
    <row r="662" spans="1:15" s="193" customFormat="1" outlineLevel="2">
      <c r="A662" s="238"/>
      <c r="B662" s="236"/>
      <c r="C662" s="190"/>
      <c r="D662" s="191"/>
      <c r="E662" s="176"/>
      <c r="F662" s="177"/>
      <c r="G662" s="192"/>
      <c r="H662" s="179"/>
      <c r="I662" s="339" t="e">
        <f>IF(#REF!="",#REF!*#REF!,IF(#REF!=0,#REF!*#REF!,#REF!*#REF!*#REF!))</f>
        <v>#REF!</v>
      </c>
      <c r="J662" s="180" t="e">
        <f>#REF!*#REF!</f>
        <v>#REF!</v>
      </c>
      <c r="K662" s="178" t="e">
        <f>#REF!*mo</f>
        <v>#REF!</v>
      </c>
      <c r="L662" s="178" t="e">
        <f t="shared" si="91"/>
        <v>#REF!</v>
      </c>
      <c r="M662" s="178" t="e">
        <f>#REF!*#REF!</f>
        <v>#REF!</v>
      </c>
      <c r="N662" s="178" t="e">
        <f>#REF!+K662+#REF!</f>
        <v>#REF!</v>
      </c>
      <c r="O662" s="181" t="e">
        <f t="shared" si="90"/>
        <v>#REF!</v>
      </c>
    </row>
    <row r="663" spans="1:15" s="193" customFormat="1" outlineLevel="2">
      <c r="A663" s="238"/>
      <c r="B663" s="212" t="s">
        <v>1013</v>
      </c>
      <c r="C663" s="190" t="s">
        <v>93</v>
      </c>
      <c r="D663" s="191"/>
      <c r="E663" s="176"/>
      <c r="F663" s="177"/>
      <c r="G663" s="192"/>
      <c r="H663" s="179"/>
      <c r="I663" s="339" t="e">
        <f>IF(#REF!="",#REF!*#REF!,IF(#REF!=0,#REF!*#REF!,#REF!*#REF!*#REF!))</f>
        <v>#REF!</v>
      </c>
      <c r="J663" s="180" t="e">
        <f>#REF!*#REF!</f>
        <v>#REF!</v>
      </c>
      <c r="K663" s="178" t="e">
        <f>#REF!*mo</f>
        <v>#REF!</v>
      </c>
      <c r="L663" s="178" t="e">
        <f t="shared" si="91"/>
        <v>#REF!</v>
      </c>
      <c r="M663" s="178" t="e">
        <f>#REF!*#REF!</f>
        <v>#REF!</v>
      </c>
      <c r="N663" s="178" t="e">
        <f>#REF!+K663+#REF!</f>
        <v>#REF!</v>
      </c>
      <c r="O663" s="181" t="e">
        <f t="shared" si="90"/>
        <v>#REF!</v>
      </c>
    </row>
    <row r="664" spans="1:15" s="193" customFormat="1" outlineLevel="2">
      <c r="A664" s="240"/>
      <c r="B664" s="233"/>
      <c r="C664" s="190"/>
      <c r="D664" s="191"/>
      <c r="E664" s="176"/>
      <c r="F664" s="177"/>
      <c r="G664" s="192"/>
      <c r="H664" s="179"/>
      <c r="I664" s="339" t="e">
        <f>IF(#REF!="",#REF!*#REF!,IF(#REF!=0,#REF!*#REF!,#REF!*#REF!*#REF!))</f>
        <v>#REF!</v>
      </c>
      <c r="J664" s="180" t="e">
        <f>#REF!*#REF!</f>
        <v>#REF!</v>
      </c>
      <c r="K664" s="178" t="e">
        <f>#REF!*mo</f>
        <v>#REF!</v>
      </c>
      <c r="L664" s="178" t="e">
        <f t="shared" si="91"/>
        <v>#REF!</v>
      </c>
      <c r="M664" s="178" t="e">
        <f>#REF!*#REF!</f>
        <v>#REF!</v>
      </c>
      <c r="N664" s="178" t="e">
        <f>#REF!+K664+#REF!</f>
        <v>#REF!</v>
      </c>
      <c r="O664" s="181" t="e">
        <f t="shared" si="90"/>
        <v>#REF!</v>
      </c>
    </row>
    <row r="665" spans="1:15" s="193" customFormat="1" outlineLevel="1">
      <c r="A665" s="240" t="str">
        <f>$A$635&amp;".3"</f>
        <v>7.2.3</v>
      </c>
      <c r="B665" s="210" t="s">
        <v>1055</v>
      </c>
      <c r="C665" s="190"/>
      <c r="D665" s="191"/>
      <c r="E665" s="176"/>
      <c r="F665" s="177"/>
      <c r="G665" s="192">
        <f>SUM(F666:F691)</f>
        <v>0</v>
      </c>
      <c r="H665" s="179"/>
      <c r="I665" s="339" t="e">
        <f>IF(#REF!="",#REF!*#REF!,IF(#REF!=0,#REF!*#REF!,#REF!*#REF!*#REF!))</f>
        <v>#REF!</v>
      </c>
      <c r="J665" s="180" t="e">
        <f>#REF!*#REF!</f>
        <v>#REF!</v>
      </c>
      <c r="K665" s="178" t="e">
        <f>#REF!*mo</f>
        <v>#REF!</v>
      </c>
      <c r="L665" s="178" t="e">
        <f t="shared" si="91"/>
        <v>#REF!</v>
      </c>
      <c r="M665" s="178" t="e">
        <f>#REF!*#REF!</f>
        <v>#REF!</v>
      </c>
      <c r="N665" s="178" t="e">
        <f>#REF!+K665+#REF!</f>
        <v>#REF!</v>
      </c>
      <c r="O665" s="181" t="e">
        <f t="shared" si="90"/>
        <v>#REF!</v>
      </c>
    </row>
    <row r="666" spans="1:15" s="193" customFormat="1" outlineLevel="2">
      <c r="A666" s="240"/>
      <c r="B666" s="233"/>
      <c r="C666" s="190"/>
      <c r="D666" s="191"/>
      <c r="E666" s="176"/>
      <c r="F666" s="177"/>
      <c r="G666" s="192"/>
      <c r="H666" s="179"/>
      <c r="I666" s="339" t="e">
        <f>IF(#REF!="",#REF!*#REF!,IF(#REF!=0,#REF!*#REF!,#REF!*#REF!*#REF!))</f>
        <v>#REF!</v>
      </c>
      <c r="J666" s="180" t="e">
        <f>#REF!*#REF!</f>
        <v>#REF!</v>
      </c>
      <c r="K666" s="178" t="e">
        <f>#REF!*mo</f>
        <v>#REF!</v>
      </c>
      <c r="L666" s="178" t="e">
        <f t="shared" si="91"/>
        <v>#REF!</v>
      </c>
      <c r="M666" s="178" t="e">
        <f>#REF!*#REF!</f>
        <v>#REF!</v>
      </c>
      <c r="N666" s="178" t="e">
        <f>#REF!+K666+#REF!</f>
        <v>#REF!</v>
      </c>
      <c r="O666" s="181" t="e">
        <f t="shared" si="90"/>
        <v>#REF!</v>
      </c>
    </row>
    <row r="667" spans="1:15" s="193" customFormat="1" outlineLevel="2">
      <c r="A667" s="238"/>
      <c r="B667" s="236" t="s">
        <v>1048</v>
      </c>
      <c r="C667" s="190"/>
      <c r="D667" s="191"/>
      <c r="E667" s="176"/>
      <c r="F667" s="177"/>
      <c r="G667" s="192"/>
      <c r="H667" s="179"/>
      <c r="I667" s="339" t="e">
        <f>IF(#REF!="",#REF!*#REF!,IF(#REF!=0,#REF!*#REF!,#REF!*#REF!*#REF!))</f>
        <v>#REF!</v>
      </c>
      <c r="J667" s="180" t="e">
        <f>#REF!*#REF!</f>
        <v>#REF!</v>
      </c>
      <c r="K667" s="178" t="e">
        <f>#REF!*mo</f>
        <v>#REF!</v>
      </c>
      <c r="L667" s="178" t="e">
        <f t="shared" si="91"/>
        <v>#REF!</v>
      </c>
      <c r="M667" s="178" t="e">
        <f>#REF!*#REF!</f>
        <v>#REF!</v>
      </c>
      <c r="N667" s="178" t="e">
        <f>#REF!+K667+#REF!</f>
        <v>#REF!</v>
      </c>
      <c r="O667" s="181" t="e">
        <f t="shared" si="90"/>
        <v>#REF!</v>
      </c>
    </row>
    <row r="668" spans="1:15" s="193" customFormat="1" outlineLevel="2">
      <c r="A668" s="238"/>
      <c r="B668" s="212" t="s">
        <v>940</v>
      </c>
      <c r="C668" s="190" t="s">
        <v>123</v>
      </c>
      <c r="D668" s="191"/>
      <c r="E668" s="176"/>
      <c r="F668" s="177"/>
      <c r="G668" s="192"/>
      <c r="H668" s="179"/>
      <c r="I668" s="339" t="e">
        <f>IF(#REF!="",#REF!*#REF!,IF(#REF!=0,#REF!*#REF!,#REF!*#REF!*#REF!))</f>
        <v>#REF!</v>
      </c>
      <c r="J668" s="180" t="e">
        <f>#REF!*#REF!</f>
        <v>#REF!</v>
      </c>
      <c r="K668" s="178" t="e">
        <f>#REF!*mo</f>
        <v>#REF!</v>
      </c>
      <c r="L668" s="178" t="e">
        <f t="shared" si="91"/>
        <v>#REF!</v>
      </c>
      <c r="M668" s="178" t="e">
        <f>#REF!*#REF!</f>
        <v>#REF!</v>
      </c>
      <c r="N668" s="178" t="e">
        <f>#REF!+K668+#REF!</f>
        <v>#REF!</v>
      </c>
      <c r="O668" s="181" t="e">
        <f t="shared" si="90"/>
        <v>#REF!</v>
      </c>
    </row>
    <row r="669" spans="1:15" s="193" customFormat="1" outlineLevel="2">
      <c r="A669" s="238"/>
      <c r="B669" s="212" t="s">
        <v>1049</v>
      </c>
      <c r="C669" s="190" t="s">
        <v>123</v>
      </c>
      <c r="D669" s="191"/>
      <c r="E669" s="176"/>
      <c r="F669" s="177"/>
      <c r="G669" s="192"/>
      <c r="H669" s="179"/>
      <c r="I669" s="339" t="e">
        <f>IF(#REF!="",#REF!*#REF!,IF(#REF!=0,#REF!*#REF!,#REF!*#REF!*#REF!))</f>
        <v>#REF!</v>
      </c>
      <c r="J669" s="180" t="e">
        <f>#REF!*#REF!</f>
        <v>#REF!</v>
      </c>
      <c r="K669" s="178" t="e">
        <f>#REF!*mo</f>
        <v>#REF!</v>
      </c>
      <c r="L669" s="178" t="e">
        <f t="shared" si="91"/>
        <v>#REF!</v>
      </c>
      <c r="M669" s="178" t="e">
        <f>#REF!*#REF!</f>
        <v>#REF!</v>
      </c>
      <c r="N669" s="178" t="e">
        <f>#REF!+K669+#REF!</f>
        <v>#REF!</v>
      </c>
      <c r="O669" s="181" t="e">
        <f t="shared" si="90"/>
        <v>#REF!</v>
      </c>
    </row>
    <row r="670" spans="1:15" s="193" customFormat="1" outlineLevel="2">
      <c r="A670" s="238"/>
      <c r="B670" s="212" t="s">
        <v>1050</v>
      </c>
      <c r="C670" s="190" t="s">
        <v>123</v>
      </c>
      <c r="D670" s="191"/>
      <c r="E670" s="176"/>
      <c r="F670" s="177"/>
      <c r="G670" s="192"/>
      <c r="H670" s="179"/>
      <c r="I670" s="339" t="e">
        <f>IF(#REF!="",#REF!*#REF!,IF(#REF!=0,#REF!*#REF!,#REF!*#REF!*#REF!))</f>
        <v>#REF!</v>
      </c>
      <c r="J670" s="180" t="e">
        <f>#REF!*#REF!</f>
        <v>#REF!</v>
      </c>
      <c r="K670" s="178" t="e">
        <f>#REF!*mo</f>
        <v>#REF!</v>
      </c>
      <c r="L670" s="178" t="e">
        <f t="shared" si="91"/>
        <v>#REF!</v>
      </c>
      <c r="M670" s="178" t="e">
        <f>#REF!*#REF!</f>
        <v>#REF!</v>
      </c>
      <c r="N670" s="178" t="e">
        <f>#REF!+K670+#REF!</f>
        <v>#REF!</v>
      </c>
      <c r="O670" s="181" t="e">
        <f t="shared" si="90"/>
        <v>#REF!</v>
      </c>
    </row>
    <row r="671" spans="1:15" s="193" customFormat="1" outlineLevel="2">
      <c r="A671" s="238"/>
      <c r="B671" s="212" t="s">
        <v>943</v>
      </c>
      <c r="C671" s="190" t="s">
        <v>123</v>
      </c>
      <c r="D671" s="191"/>
      <c r="E671" s="176"/>
      <c r="F671" s="177"/>
      <c r="G671" s="192"/>
      <c r="H671" s="179"/>
      <c r="I671" s="339" t="e">
        <f>IF(#REF!="",#REF!*#REF!,IF(#REF!=0,#REF!*#REF!,#REF!*#REF!*#REF!))</f>
        <v>#REF!</v>
      </c>
      <c r="J671" s="180" t="e">
        <f>#REF!*#REF!</f>
        <v>#REF!</v>
      </c>
      <c r="K671" s="178" t="e">
        <f>#REF!*mo</f>
        <v>#REF!</v>
      </c>
      <c r="L671" s="178" t="e">
        <f t="shared" si="91"/>
        <v>#REF!</v>
      </c>
      <c r="M671" s="178" t="e">
        <f>#REF!*#REF!</f>
        <v>#REF!</v>
      </c>
      <c r="N671" s="178" t="e">
        <f>#REF!+K671+#REF!</f>
        <v>#REF!</v>
      </c>
      <c r="O671" s="181" t="e">
        <f t="shared" si="90"/>
        <v>#REF!</v>
      </c>
    </row>
    <row r="672" spans="1:15" s="193" customFormat="1" outlineLevel="2">
      <c r="A672" s="238"/>
      <c r="B672" s="212" t="s">
        <v>868</v>
      </c>
      <c r="C672" s="190" t="s">
        <v>123</v>
      </c>
      <c r="D672" s="191"/>
      <c r="E672" s="176"/>
      <c r="F672" s="177"/>
      <c r="G672" s="192"/>
      <c r="H672" s="179"/>
      <c r="I672" s="339" t="e">
        <f>IF(#REF!="",#REF!*#REF!,IF(#REF!=0,#REF!*#REF!,#REF!*#REF!*#REF!))</f>
        <v>#REF!</v>
      </c>
      <c r="J672" s="180" t="e">
        <f>#REF!*#REF!</f>
        <v>#REF!</v>
      </c>
      <c r="K672" s="178" t="e">
        <f>#REF!*mo</f>
        <v>#REF!</v>
      </c>
      <c r="L672" s="178" t="e">
        <f t="shared" si="91"/>
        <v>#REF!</v>
      </c>
      <c r="M672" s="178" t="e">
        <f>#REF!*#REF!</f>
        <v>#REF!</v>
      </c>
      <c r="N672" s="178" t="e">
        <f>#REF!+K672+#REF!</f>
        <v>#REF!</v>
      </c>
      <c r="O672" s="181" t="e">
        <f t="shared" si="90"/>
        <v>#REF!</v>
      </c>
    </row>
    <row r="673" spans="1:15" s="193" customFormat="1" outlineLevel="2">
      <c r="A673" s="238"/>
      <c r="B673" s="212" t="s">
        <v>869</v>
      </c>
      <c r="C673" s="190" t="s">
        <v>123</v>
      </c>
      <c r="D673" s="191"/>
      <c r="E673" s="176"/>
      <c r="F673" s="177"/>
      <c r="G673" s="192"/>
      <c r="H673" s="179"/>
      <c r="I673" s="339" t="e">
        <f>IF(#REF!="",#REF!*#REF!,IF(#REF!=0,#REF!*#REF!,#REF!*#REF!*#REF!))</f>
        <v>#REF!</v>
      </c>
      <c r="J673" s="180" t="e">
        <f>#REF!*#REF!</f>
        <v>#REF!</v>
      </c>
      <c r="K673" s="178" t="e">
        <f>#REF!*mo</f>
        <v>#REF!</v>
      </c>
      <c r="L673" s="178" t="e">
        <f t="shared" si="91"/>
        <v>#REF!</v>
      </c>
      <c r="M673" s="178" t="e">
        <f>#REF!*#REF!</f>
        <v>#REF!</v>
      </c>
      <c r="N673" s="178" t="e">
        <f>#REF!+K673+#REF!</f>
        <v>#REF!</v>
      </c>
      <c r="O673" s="181" t="e">
        <f t="shared" si="90"/>
        <v>#REF!</v>
      </c>
    </row>
    <row r="674" spans="1:15" s="193" customFormat="1" outlineLevel="2">
      <c r="A674" s="238"/>
      <c r="B674" s="212" t="s">
        <v>870</v>
      </c>
      <c r="C674" s="190" t="s">
        <v>123</v>
      </c>
      <c r="D674" s="191"/>
      <c r="E674" s="176"/>
      <c r="F674" s="177"/>
      <c r="G674" s="192"/>
      <c r="H674" s="179"/>
      <c r="I674" s="339" t="e">
        <f>IF(#REF!="",#REF!*#REF!,IF(#REF!=0,#REF!*#REF!,#REF!*#REF!*#REF!))</f>
        <v>#REF!</v>
      </c>
      <c r="J674" s="180" t="e">
        <f>#REF!*#REF!</f>
        <v>#REF!</v>
      </c>
      <c r="K674" s="178" t="e">
        <f>#REF!*mo</f>
        <v>#REF!</v>
      </c>
      <c r="L674" s="178" t="e">
        <f t="shared" si="91"/>
        <v>#REF!</v>
      </c>
      <c r="M674" s="178" t="e">
        <f>#REF!*#REF!</f>
        <v>#REF!</v>
      </c>
      <c r="N674" s="178" t="e">
        <f>#REF!+K674+#REF!</f>
        <v>#REF!</v>
      </c>
      <c r="O674" s="181" t="e">
        <f t="shared" si="90"/>
        <v>#REF!</v>
      </c>
    </row>
    <row r="675" spans="1:15" s="193" customFormat="1" outlineLevel="2">
      <c r="A675" s="238"/>
      <c r="B675" s="212" t="s">
        <v>871</v>
      </c>
      <c r="C675" s="190" t="s">
        <v>123</v>
      </c>
      <c r="D675" s="191"/>
      <c r="E675" s="176"/>
      <c r="F675" s="177"/>
      <c r="G675" s="192"/>
      <c r="H675" s="179"/>
      <c r="I675" s="339" t="e">
        <f>IF(#REF!="",#REF!*#REF!,IF(#REF!=0,#REF!*#REF!,#REF!*#REF!*#REF!))</f>
        <v>#REF!</v>
      </c>
      <c r="J675" s="180" t="e">
        <f>#REF!*#REF!</f>
        <v>#REF!</v>
      </c>
      <c r="K675" s="178" t="e">
        <f>#REF!*mo</f>
        <v>#REF!</v>
      </c>
      <c r="L675" s="178" t="e">
        <f t="shared" si="91"/>
        <v>#REF!</v>
      </c>
      <c r="M675" s="178" t="e">
        <f>#REF!*#REF!</f>
        <v>#REF!</v>
      </c>
      <c r="N675" s="178" t="e">
        <f>#REF!+K675+#REF!</f>
        <v>#REF!</v>
      </c>
      <c r="O675" s="181" t="e">
        <f t="shared" si="90"/>
        <v>#REF!</v>
      </c>
    </row>
    <row r="676" spans="1:15" s="193" customFormat="1" outlineLevel="2">
      <c r="A676" s="238"/>
      <c r="B676" s="212" t="s">
        <v>1041</v>
      </c>
      <c r="C676" s="190" t="s">
        <v>123</v>
      </c>
      <c r="D676" s="191"/>
      <c r="E676" s="176"/>
      <c r="F676" s="177"/>
      <c r="G676" s="192"/>
      <c r="H676" s="179"/>
      <c r="I676" s="339" t="e">
        <f>IF(#REF!="",#REF!*#REF!,IF(#REF!=0,#REF!*#REF!,#REF!*#REF!*#REF!))</f>
        <v>#REF!</v>
      </c>
      <c r="J676" s="180" t="e">
        <f>#REF!*#REF!</f>
        <v>#REF!</v>
      </c>
      <c r="K676" s="178" t="e">
        <f>#REF!*mo</f>
        <v>#REF!</v>
      </c>
      <c r="L676" s="178" t="e">
        <f t="shared" si="91"/>
        <v>#REF!</v>
      </c>
      <c r="M676" s="178" t="e">
        <f>#REF!*#REF!</f>
        <v>#REF!</v>
      </c>
      <c r="N676" s="178" t="e">
        <f>#REF!+K676+#REF!</f>
        <v>#REF!</v>
      </c>
      <c r="O676" s="181" t="e">
        <f t="shared" si="90"/>
        <v>#REF!</v>
      </c>
    </row>
    <row r="677" spans="1:15" s="193" customFormat="1" outlineLevel="2">
      <c r="A677" s="238"/>
      <c r="B677" s="234"/>
      <c r="C677" s="190"/>
      <c r="D677" s="191"/>
      <c r="E677" s="176"/>
      <c r="F677" s="177"/>
      <c r="G677" s="192"/>
      <c r="H677" s="179"/>
      <c r="I677" s="339" t="e">
        <f>IF(#REF!="",#REF!*#REF!,IF(#REF!=0,#REF!*#REF!,#REF!*#REF!*#REF!))</f>
        <v>#REF!</v>
      </c>
      <c r="J677" s="180" t="e">
        <f>#REF!*#REF!</f>
        <v>#REF!</v>
      </c>
      <c r="K677" s="178" t="e">
        <f>#REF!*mo</f>
        <v>#REF!</v>
      </c>
      <c r="L677" s="178" t="e">
        <f t="shared" ref="L677:L692" si="92">J677*mo</f>
        <v>#REF!</v>
      </c>
      <c r="M677" s="178" t="e">
        <f>#REF!*#REF!</f>
        <v>#REF!</v>
      </c>
      <c r="N677" s="178" t="e">
        <f>#REF!+K677+#REF!</f>
        <v>#REF!</v>
      </c>
      <c r="O677" s="181" t="e">
        <f t="shared" si="90"/>
        <v>#REF!</v>
      </c>
    </row>
    <row r="678" spans="1:15" s="193" customFormat="1" outlineLevel="2">
      <c r="A678" s="238"/>
      <c r="B678" s="236" t="s">
        <v>1039</v>
      </c>
      <c r="C678" s="190"/>
      <c r="D678" s="191"/>
      <c r="E678" s="176"/>
      <c r="F678" s="177"/>
      <c r="G678" s="192"/>
      <c r="H678" s="179"/>
      <c r="I678" s="339" t="e">
        <f>IF(#REF!="",#REF!*#REF!,IF(#REF!=0,#REF!*#REF!,#REF!*#REF!*#REF!))</f>
        <v>#REF!</v>
      </c>
      <c r="J678" s="180" t="e">
        <f>#REF!*#REF!</f>
        <v>#REF!</v>
      </c>
      <c r="K678" s="178" t="e">
        <f>#REF!*mo</f>
        <v>#REF!</v>
      </c>
      <c r="L678" s="178" t="e">
        <f t="shared" si="92"/>
        <v>#REF!</v>
      </c>
      <c r="M678" s="178" t="e">
        <f>#REF!*#REF!</f>
        <v>#REF!</v>
      </c>
      <c r="N678" s="178" t="e">
        <f>#REF!+K678+#REF!</f>
        <v>#REF!</v>
      </c>
      <c r="O678" s="181" t="e">
        <f t="shared" si="90"/>
        <v>#REF!</v>
      </c>
    </row>
    <row r="679" spans="1:15" s="193" customFormat="1" outlineLevel="2">
      <c r="A679" s="238"/>
      <c r="B679" s="212" t="s">
        <v>940</v>
      </c>
      <c r="C679" s="190" t="s">
        <v>123</v>
      </c>
      <c r="D679" s="191"/>
      <c r="E679" s="176"/>
      <c r="F679" s="177"/>
      <c r="G679" s="192"/>
      <c r="H679" s="179"/>
      <c r="I679" s="339" t="e">
        <f>IF(#REF!="",#REF!*#REF!,IF(#REF!=0,#REF!*#REF!,#REF!*#REF!*#REF!))</f>
        <v>#REF!</v>
      </c>
      <c r="J679" s="180" t="e">
        <f>#REF!*#REF!</f>
        <v>#REF!</v>
      </c>
      <c r="K679" s="178" t="e">
        <f>#REF!*mo</f>
        <v>#REF!</v>
      </c>
      <c r="L679" s="178" t="e">
        <f t="shared" si="92"/>
        <v>#REF!</v>
      </c>
      <c r="M679" s="178" t="e">
        <f>#REF!*#REF!</f>
        <v>#REF!</v>
      </c>
      <c r="N679" s="178" t="e">
        <f>#REF!+K679+#REF!</f>
        <v>#REF!</v>
      </c>
      <c r="O679" s="181" t="e">
        <f t="shared" si="90"/>
        <v>#REF!</v>
      </c>
    </row>
    <row r="680" spans="1:15" s="193" customFormat="1" outlineLevel="2">
      <c r="A680" s="238"/>
      <c r="B680" s="212" t="s">
        <v>1049</v>
      </c>
      <c r="C680" s="190" t="s">
        <v>123</v>
      </c>
      <c r="D680" s="191"/>
      <c r="E680" s="176"/>
      <c r="F680" s="177"/>
      <c r="G680" s="192"/>
      <c r="H680" s="179"/>
      <c r="I680" s="339" t="e">
        <f>IF(#REF!="",#REF!*#REF!,IF(#REF!=0,#REF!*#REF!,#REF!*#REF!*#REF!))</f>
        <v>#REF!</v>
      </c>
      <c r="J680" s="180" t="e">
        <f>#REF!*#REF!</f>
        <v>#REF!</v>
      </c>
      <c r="K680" s="178" t="e">
        <f>#REF!*mo</f>
        <v>#REF!</v>
      </c>
      <c r="L680" s="178" t="e">
        <f t="shared" si="92"/>
        <v>#REF!</v>
      </c>
      <c r="M680" s="178" t="e">
        <f>#REF!*#REF!</f>
        <v>#REF!</v>
      </c>
      <c r="N680" s="178" t="e">
        <f>#REF!+K680+#REF!</f>
        <v>#REF!</v>
      </c>
      <c r="O680" s="181" t="e">
        <f t="shared" si="90"/>
        <v>#REF!</v>
      </c>
    </row>
    <row r="681" spans="1:15" s="193" customFormat="1" outlineLevel="2">
      <c r="A681" s="238"/>
      <c r="B681" s="212" t="s">
        <v>1050</v>
      </c>
      <c r="C681" s="190" t="s">
        <v>123</v>
      </c>
      <c r="D681" s="191"/>
      <c r="E681" s="176"/>
      <c r="F681" s="177"/>
      <c r="G681" s="192"/>
      <c r="H681" s="179"/>
      <c r="I681" s="339" t="e">
        <f>IF(#REF!="",#REF!*#REF!,IF(#REF!=0,#REF!*#REF!,#REF!*#REF!*#REF!))</f>
        <v>#REF!</v>
      </c>
      <c r="J681" s="180" t="e">
        <f>#REF!*#REF!</f>
        <v>#REF!</v>
      </c>
      <c r="K681" s="178" t="e">
        <f>#REF!*mo</f>
        <v>#REF!</v>
      </c>
      <c r="L681" s="178" t="e">
        <f t="shared" si="92"/>
        <v>#REF!</v>
      </c>
      <c r="M681" s="178" t="e">
        <f>#REF!*#REF!</f>
        <v>#REF!</v>
      </c>
      <c r="N681" s="178" t="e">
        <f>#REF!+K681+#REF!</f>
        <v>#REF!</v>
      </c>
      <c r="O681" s="181" t="e">
        <f t="shared" si="90"/>
        <v>#REF!</v>
      </c>
    </row>
    <row r="682" spans="1:15" s="193" customFormat="1" outlineLevel="2">
      <c r="A682" s="238"/>
      <c r="B682" s="212" t="s">
        <v>943</v>
      </c>
      <c r="C682" s="190" t="s">
        <v>123</v>
      </c>
      <c r="D682" s="191"/>
      <c r="E682" s="176"/>
      <c r="F682" s="177"/>
      <c r="G682" s="192"/>
      <c r="H682" s="179"/>
      <c r="I682" s="339" t="e">
        <f>IF(#REF!="",#REF!*#REF!,IF(#REF!=0,#REF!*#REF!,#REF!*#REF!*#REF!))</f>
        <v>#REF!</v>
      </c>
      <c r="J682" s="180" t="e">
        <f>#REF!*#REF!</f>
        <v>#REF!</v>
      </c>
      <c r="K682" s="178" t="e">
        <f>#REF!*mo</f>
        <v>#REF!</v>
      </c>
      <c r="L682" s="178" t="e">
        <f t="shared" si="92"/>
        <v>#REF!</v>
      </c>
      <c r="M682" s="178" t="e">
        <f>#REF!*#REF!</f>
        <v>#REF!</v>
      </c>
      <c r="N682" s="178" t="e">
        <f>#REF!+K682+#REF!</f>
        <v>#REF!</v>
      </c>
      <c r="O682" s="181" t="e">
        <f t="shared" si="90"/>
        <v>#REF!</v>
      </c>
    </row>
    <row r="683" spans="1:15" s="193" customFormat="1" outlineLevel="2">
      <c r="A683" s="238"/>
      <c r="B683" s="212" t="s">
        <v>868</v>
      </c>
      <c r="C683" s="190" t="s">
        <v>123</v>
      </c>
      <c r="D683" s="191"/>
      <c r="E683" s="176"/>
      <c r="F683" s="177"/>
      <c r="G683" s="192"/>
      <c r="H683" s="179"/>
      <c r="I683" s="339" t="e">
        <f>IF(#REF!="",#REF!*#REF!,IF(#REF!=0,#REF!*#REF!,#REF!*#REF!*#REF!))</f>
        <v>#REF!</v>
      </c>
      <c r="J683" s="180" t="e">
        <f>#REF!*#REF!</f>
        <v>#REF!</v>
      </c>
      <c r="K683" s="178" t="e">
        <f>#REF!*mo</f>
        <v>#REF!</v>
      </c>
      <c r="L683" s="178" t="e">
        <f t="shared" si="92"/>
        <v>#REF!</v>
      </c>
      <c r="M683" s="178" t="e">
        <f>#REF!*#REF!</f>
        <v>#REF!</v>
      </c>
      <c r="N683" s="178" t="e">
        <f>#REF!+K683+#REF!</f>
        <v>#REF!</v>
      </c>
      <c r="O683" s="181" t="e">
        <f t="shared" si="90"/>
        <v>#REF!</v>
      </c>
    </row>
    <row r="684" spans="1:15" s="193" customFormat="1" outlineLevel="2">
      <c r="A684" s="238"/>
      <c r="B684" s="212" t="s">
        <v>869</v>
      </c>
      <c r="C684" s="190" t="s">
        <v>123</v>
      </c>
      <c r="D684" s="191"/>
      <c r="E684" s="176"/>
      <c r="F684" s="177"/>
      <c r="G684" s="192"/>
      <c r="H684" s="179"/>
      <c r="I684" s="339" t="e">
        <f>IF(#REF!="",#REF!*#REF!,IF(#REF!=0,#REF!*#REF!,#REF!*#REF!*#REF!))</f>
        <v>#REF!</v>
      </c>
      <c r="J684" s="180" t="e">
        <f>#REF!*#REF!</f>
        <v>#REF!</v>
      </c>
      <c r="K684" s="178" t="e">
        <f>#REF!*mo</f>
        <v>#REF!</v>
      </c>
      <c r="L684" s="178" t="e">
        <f t="shared" si="92"/>
        <v>#REF!</v>
      </c>
      <c r="M684" s="178" t="e">
        <f>#REF!*#REF!</f>
        <v>#REF!</v>
      </c>
      <c r="N684" s="178" t="e">
        <f>#REF!+K684+#REF!</f>
        <v>#REF!</v>
      </c>
      <c r="O684" s="181" t="e">
        <f t="shared" si="90"/>
        <v>#REF!</v>
      </c>
    </row>
    <row r="685" spans="1:15" s="193" customFormat="1" outlineLevel="2">
      <c r="A685" s="238"/>
      <c r="B685" s="212" t="s">
        <v>870</v>
      </c>
      <c r="C685" s="190" t="s">
        <v>123</v>
      </c>
      <c r="D685" s="191"/>
      <c r="E685" s="176"/>
      <c r="F685" s="177"/>
      <c r="G685" s="192"/>
      <c r="H685" s="179"/>
      <c r="I685" s="339" t="e">
        <f>IF(#REF!="",#REF!*#REF!,IF(#REF!=0,#REF!*#REF!,#REF!*#REF!*#REF!))</f>
        <v>#REF!</v>
      </c>
      <c r="J685" s="180" t="e">
        <f>#REF!*#REF!</f>
        <v>#REF!</v>
      </c>
      <c r="K685" s="178" t="e">
        <f>#REF!*mo</f>
        <v>#REF!</v>
      </c>
      <c r="L685" s="178" t="e">
        <f t="shared" si="92"/>
        <v>#REF!</v>
      </c>
      <c r="M685" s="178" t="e">
        <f>#REF!*#REF!</f>
        <v>#REF!</v>
      </c>
      <c r="N685" s="178" t="e">
        <f>#REF!+K685+#REF!</f>
        <v>#REF!</v>
      </c>
      <c r="O685" s="181" t="e">
        <f t="shared" si="90"/>
        <v>#REF!</v>
      </c>
    </row>
    <row r="686" spans="1:15" s="193" customFormat="1" outlineLevel="2">
      <c r="A686" s="238"/>
      <c r="B686" s="212" t="s">
        <v>871</v>
      </c>
      <c r="C686" s="190" t="s">
        <v>123</v>
      </c>
      <c r="D686" s="191"/>
      <c r="E686" s="176"/>
      <c r="F686" s="177"/>
      <c r="G686" s="192"/>
      <c r="H686" s="179"/>
      <c r="I686" s="339" t="e">
        <f>IF(#REF!="",#REF!*#REF!,IF(#REF!=0,#REF!*#REF!,#REF!*#REF!*#REF!))</f>
        <v>#REF!</v>
      </c>
      <c r="J686" s="180" t="e">
        <f>#REF!*#REF!</f>
        <v>#REF!</v>
      </c>
      <c r="K686" s="178" t="e">
        <f>#REF!*mo</f>
        <v>#REF!</v>
      </c>
      <c r="L686" s="178" t="e">
        <f t="shared" si="92"/>
        <v>#REF!</v>
      </c>
      <c r="M686" s="178" t="e">
        <f>#REF!*#REF!</f>
        <v>#REF!</v>
      </c>
      <c r="N686" s="178" t="e">
        <f>#REF!+K686+#REF!</f>
        <v>#REF!</v>
      </c>
      <c r="O686" s="181" t="e">
        <f t="shared" si="90"/>
        <v>#REF!</v>
      </c>
    </row>
    <row r="687" spans="1:15" s="193" customFormat="1" outlineLevel="2">
      <c r="A687" s="238"/>
      <c r="B687" s="212" t="s">
        <v>1041</v>
      </c>
      <c r="C687" s="190" t="s">
        <v>123</v>
      </c>
      <c r="D687" s="191"/>
      <c r="E687" s="176"/>
      <c r="F687" s="177"/>
      <c r="G687" s="192"/>
      <c r="H687" s="179"/>
      <c r="I687" s="339" t="e">
        <f>IF(#REF!="",#REF!*#REF!,IF(#REF!=0,#REF!*#REF!,#REF!*#REF!*#REF!))</f>
        <v>#REF!</v>
      </c>
      <c r="J687" s="180" t="e">
        <f>#REF!*#REF!</f>
        <v>#REF!</v>
      </c>
      <c r="K687" s="178" t="e">
        <f>#REF!*mo</f>
        <v>#REF!</v>
      </c>
      <c r="L687" s="178" t="e">
        <f t="shared" si="92"/>
        <v>#REF!</v>
      </c>
      <c r="M687" s="178" t="e">
        <f>#REF!*#REF!</f>
        <v>#REF!</v>
      </c>
      <c r="N687" s="178" t="e">
        <f>#REF!+K687+#REF!</f>
        <v>#REF!</v>
      </c>
      <c r="O687" s="181" t="e">
        <f t="shared" si="90"/>
        <v>#REF!</v>
      </c>
    </row>
    <row r="688" spans="1:15" s="193" customFormat="1" ht="12" customHeight="1" outlineLevel="2">
      <c r="A688" s="238"/>
      <c r="B688" s="234"/>
      <c r="C688" s="190"/>
      <c r="D688" s="191"/>
      <c r="E688" s="176"/>
      <c r="F688" s="177"/>
      <c r="G688" s="192"/>
      <c r="H688" s="179"/>
      <c r="I688" s="339" t="e">
        <f>IF(#REF!="",#REF!*#REF!,IF(#REF!=0,#REF!*#REF!,#REF!*#REF!*#REF!))</f>
        <v>#REF!</v>
      </c>
      <c r="J688" s="180" t="e">
        <f>#REF!*#REF!</f>
        <v>#REF!</v>
      </c>
      <c r="K688" s="178" t="e">
        <f>#REF!*mo</f>
        <v>#REF!</v>
      </c>
      <c r="L688" s="178" t="e">
        <f t="shared" si="92"/>
        <v>#REF!</v>
      </c>
      <c r="M688" s="178" t="e">
        <f>#REF!*#REF!</f>
        <v>#REF!</v>
      </c>
      <c r="N688" s="178" t="e">
        <f>#REF!+K688+#REF!</f>
        <v>#REF!</v>
      </c>
      <c r="O688" s="181" t="e">
        <f t="shared" si="90"/>
        <v>#REF!</v>
      </c>
    </row>
    <row r="689" spans="1:15" s="193" customFormat="1" outlineLevel="2">
      <c r="A689" s="238"/>
      <c r="B689" s="212" t="s">
        <v>1023</v>
      </c>
      <c r="C689" s="190" t="s">
        <v>123</v>
      </c>
      <c r="D689" s="191"/>
      <c r="E689" s="176"/>
      <c r="F689" s="177"/>
      <c r="G689" s="192"/>
      <c r="H689" s="179"/>
      <c r="I689" s="339" t="e">
        <f>IF(#REF!="",#REF!*#REF!,IF(#REF!=0,#REF!*#REF!,#REF!*#REF!*#REF!))</f>
        <v>#REF!</v>
      </c>
      <c r="J689" s="180" t="e">
        <f>#REF!*#REF!</f>
        <v>#REF!</v>
      </c>
      <c r="K689" s="178" t="e">
        <f>#REF!*mo</f>
        <v>#REF!</v>
      </c>
      <c r="L689" s="178" t="e">
        <f t="shared" si="92"/>
        <v>#REF!</v>
      </c>
      <c r="M689" s="178" t="e">
        <f>#REF!*#REF!</f>
        <v>#REF!</v>
      </c>
      <c r="N689" s="178" t="e">
        <f>#REF!+K689+#REF!</f>
        <v>#REF!</v>
      </c>
      <c r="O689" s="181" t="e">
        <f t="shared" si="90"/>
        <v>#REF!</v>
      </c>
    </row>
    <row r="690" spans="1:15" s="193" customFormat="1" outlineLevel="2">
      <c r="A690" s="155"/>
      <c r="B690" s="156"/>
      <c r="C690" s="190"/>
      <c r="D690" s="191"/>
      <c r="E690" s="176"/>
      <c r="F690" s="177"/>
      <c r="G690" s="192"/>
      <c r="H690" s="179"/>
      <c r="I690" s="339" t="e">
        <f>IF(#REF!="",#REF!*#REF!,IF(#REF!=0,#REF!*#REF!,#REF!*#REF!*#REF!))</f>
        <v>#REF!</v>
      </c>
      <c r="J690" s="180" t="e">
        <f>#REF!*#REF!</f>
        <v>#REF!</v>
      </c>
      <c r="K690" s="178" t="e">
        <f>#REF!*mo</f>
        <v>#REF!</v>
      </c>
      <c r="L690" s="178" t="e">
        <f t="shared" si="92"/>
        <v>#REF!</v>
      </c>
      <c r="M690" s="178" t="e">
        <f>#REF!*#REF!</f>
        <v>#REF!</v>
      </c>
      <c r="N690" s="178" t="e">
        <f>#REF!+K690+#REF!</f>
        <v>#REF!</v>
      </c>
      <c r="O690" s="181" t="e">
        <f t="shared" si="90"/>
        <v>#REF!</v>
      </c>
    </row>
    <row r="691" spans="1:15" s="193" customFormat="1" outlineLevel="1">
      <c r="A691" s="155"/>
      <c r="B691" s="198" t="str">
        <f>"Total "&amp;B635</f>
        <v>Total EAUX VANNES</v>
      </c>
      <c r="C691" s="190"/>
      <c r="D691" s="191"/>
      <c r="E691" s="176"/>
      <c r="F691" s="177"/>
      <c r="G691" s="192"/>
      <c r="H691" s="179">
        <f>SUM(G636:G691)</f>
        <v>0</v>
      </c>
      <c r="I691" s="339" t="e">
        <f>IF(#REF!="",#REF!*#REF!,IF(#REF!=0,#REF!*#REF!,#REF!*#REF!*#REF!))</f>
        <v>#REF!</v>
      </c>
      <c r="J691" s="180" t="e">
        <f>#REF!*#REF!</f>
        <v>#REF!</v>
      </c>
      <c r="K691" s="178" t="e">
        <f>#REF!*mo</f>
        <v>#REF!</v>
      </c>
      <c r="L691" s="178" t="e">
        <f t="shared" si="92"/>
        <v>#REF!</v>
      </c>
      <c r="M691" s="178" t="e">
        <f>#REF!*#REF!</f>
        <v>#REF!</v>
      </c>
      <c r="N691" s="178" t="e">
        <f>#REF!+K691+#REF!</f>
        <v>#REF!</v>
      </c>
      <c r="O691" s="181" t="e">
        <f t="shared" si="90"/>
        <v>#REF!</v>
      </c>
    </row>
    <row r="692" spans="1:15" s="193" customFormat="1" outlineLevel="1">
      <c r="A692" s="155"/>
      <c r="B692" s="198"/>
      <c r="C692" s="190"/>
      <c r="D692" s="191"/>
      <c r="E692" s="176"/>
      <c r="F692" s="177"/>
      <c r="G692" s="192"/>
      <c r="H692" s="235"/>
      <c r="I692" s="339" t="e">
        <f>IF(#REF!="",#REF!*#REF!,IF(#REF!=0,#REF!*#REF!,#REF!*#REF!*#REF!))</f>
        <v>#REF!</v>
      </c>
      <c r="J692" s="180" t="e">
        <f>#REF!*#REF!</f>
        <v>#REF!</v>
      </c>
      <c r="K692" s="178" t="e">
        <f>#REF!*mo</f>
        <v>#REF!</v>
      </c>
      <c r="L692" s="178" t="e">
        <f t="shared" si="92"/>
        <v>#REF!</v>
      </c>
      <c r="M692" s="178" t="e">
        <f>#REF!*#REF!</f>
        <v>#REF!</v>
      </c>
      <c r="N692" s="178" t="e">
        <f>#REF!+K692+#REF!</f>
        <v>#REF!</v>
      </c>
      <c r="O692" s="181" t="e">
        <f t="shared" si="90"/>
        <v>#REF!</v>
      </c>
    </row>
    <row r="693" spans="1:15" s="209" customFormat="1" outlineLevel="1">
      <c r="A693" s="157" t="str">
        <f>A573&amp;".3"</f>
        <v>7.3</v>
      </c>
      <c r="B693" s="158" t="s">
        <v>1056</v>
      </c>
      <c r="C693" s="195"/>
      <c r="D693" s="170"/>
      <c r="E693" s="176"/>
      <c r="F693" s="177"/>
      <c r="G693" s="192"/>
      <c r="H693" s="196"/>
      <c r="I693" s="339" t="e">
        <f>IF(#REF!="",#REF!*#REF!,IF(#REF!=0,#REF!*#REF!,#REF!*#REF!*#REF!))</f>
        <v>#REF!</v>
      </c>
      <c r="J693" s="180" t="e">
        <f>#REF!*#REF!</f>
        <v>#REF!</v>
      </c>
      <c r="K693" s="178" t="e">
        <f>#REF!*mo</f>
        <v>#REF!</v>
      </c>
      <c r="L693" s="178" t="e">
        <f t="shared" si="91"/>
        <v>#REF!</v>
      </c>
      <c r="M693" s="178" t="e">
        <f>#REF!*#REF!</f>
        <v>#REF!</v>
      </c>
      <c r="N693" s="178" t="e">
        <f>#REF!+K693+#REF!</f>
        <v>#REF!</v>
      </c>
      <c r="O693" s="181" t="e">
        <f t="shared" si="90"/>
        <v>#REF!</v>
      </c>
    </row>
    <row r="694" spans="1:15" s="193" customFormat="1" outlineLevel="1">
      <c r="A694" s="240" t="str">
        <f>$A$693&amp;".1"</f>
        <v>7.3.1</v>
      </c>
      <c r="B694" s="241" t="s">
        <v>1057</v>
      </c>
      <c r="C694" s="190"/>
      <c r="D694" s="191"/>
      <c r="E694" s="176"/>
      <c r="F694" s="177"/>
      <c r="G694" s="192">
        <f>SUM(F695:F719)</f>
        <v>0</v>
      </c>
      <c r="H694" s="179"/>
      <c r="I694" s="339" t="e">
        <f>IF(#REF!="",#REF!*#REF!,IF(#REF!=0,#REF!*#REF!,#REF!*#REF!*#REF!))</f>
        <v>#REF!</v>
      </c>
      <c r="J694" s="180" t="e">
        <f>#REF!*#REF!</f>
        <v>#REF!</v>
      </c>
      <c r="K694" s="178" t="e">
        <f>#REF!*mo</f>
        <v>#REF!</v>
      </c>
      <c r="L694" s="178" t="e">
        <f t="shared" si="91"/>
        <v>#REF!</v>
      </c>
      <c r="M694" s="178" t="e">
        <f>#REF!*#REF!</f>
        <v>#REF!</v>
      </c>
      <c r="N694" s="178" t="e">
        <f>#REF!+K694+#REF!</f>
        <v>#REF!</v>
      </c>
      <c r="O694" s="181" t="e">
        <f t="shared" si="90"/>
        <v>#REF!</v>
      </c>
    </row>
    <row r="695" spans="1:15" s="193" customFormat="1" outlineLevel="2">
      <c r="A695" s="238"/>
      <c r="B695" s="241"/>
      <c r="C695" s="190"/>
      <c r="D695" s="191"/>
      <c r="E695" s="176"/>
      <c r="F695" s="177"/>
      <c r="G695" s="192"/>
      <c r="H695" s="179"/>
      <c r="I695" s="339" t="e">
        <f>IF(#REF!="",#REF!*#REF!,IF(#REF!=0,#REF!*#REF!,#REF!*#REF!*#REF!))</f>
        <v>#REF!</v>
      </c>
      <c r="J695" s="180" t="e">
        <f>#REF!*#REF!</f>
        <v>#REF!</v>
      </c>
      <c r="K695" s="178" t="e">
        <f>#REF!*mo</f>
        <v>#REF!</v>
      </c>
      <c r="L695" s="178" t="e">
        <f t="shared" si="91"/>
        <v>#REF!</v>
      </c>
      <c r="M695" s="178" t="e">
        <f>#REF!*#REF!</f>
        <v>#REF!</v>
      </c>
      <c r="N695" s="178" t="e">
        <f>#REF!+K695+#REF!</f>
        <v>#REF!</v>
      </c>
      <c r="O695" s="181" t="e">
        <f t="shared" si="90"/>
        <v>#REF!</v>
      </c>
    </row>
    <row r="696" spans="1:15" s="193" customFormat="1" outlineLevel="2">
      <c r="A696" s="238"/>
      <c r="B696" s="236" t="s">
        <v>1048</v>
      </c>
      <c r="C696" s="190"/>
      <c r="D696" s="191"/>
      <c r="E696" s="176"/>
      <c r="F696" s="177"/>
      <c r="G696" s="192"/>
      <c r="H696" s="179"/>
      <c r="I696" s="339" t="e">
        <f>IF(#REF!="",#REF!*#REF!,IF(#REF!=0,#REF!*#REF!,#REF!*#REF!*#REF!))</f>
        <v>#REF!</v>
      </c>
      <c r="J696" s="180" t="e">
        <f>#REF!*#REF!</f>
        <v>#REF!</v>
      </c>
      <c r="K696" s="178" t="e">
        <f>#REF!*mo</f>
        <v>#REF!</v>
      </c>
      <c r="L696" s="178" t="e">
        <f t="shared" si="91"/>
        <v>#REF!</v>
      </c>
      <c r="M696" s="178" t="e">
        <f>#REF!*#REF!</f>
        <v>#REF!</v>
      </c>
      <c r="N696" s="178" t="e">
        <f>#REF!+K696+#REF!</f>
        <v>#REF!</v>
      </c>
      <c r="O696" s="181" t="e">
        <f t="shared" si="90"/>
        <v>#REF!</v>
      </c>
    </row>
    <row r="697" spans="1:15" s="193" customFormat="1" outlineLevel="2">
      <c r="A697" s="238"/>
      <c r="B697" s="212" t="s">
        <v>940</v>
      </c>
      <c r="C697" s="190" t="s">
        <v>123</v>
      </c>
      <c r="D697" s="191"/>
      <c r="E697" s="176"/>
      <c r="F697" s="177"/>
      <c r="G697" s="192"/>
      <c r="H697" s="179"/>
      <c r="I697" s="339" t="e">
        <f>IF(#REF!="",#REF!*#REF!,IF(#REF!=0,#REF!*#REF!,#REF!*#REF!*#REF!))</f>
        <v>#REF!</v>
      </c>
      <c r="J697" s="180" t="e">
        <f>#REF!*#REF!</f>
        <v>#REF!</v>
      </c>
      <c r="K697" s="178" t="e">
        <f>#REF!*mo</f>
        <v>#REF!</v>
      </c>
      <c r="L697" s="178" t="e">
        <f t="shared" si="91"/>
        <v>#REF!</v>
      </c>
      <c r="M697" s="178" t="e">
        <f>#REF!*#REF!</f>
        <v>#REF!</v>
      </c>
      <c r="N697" s="178" t="e">
        <f>#REF!+K697+#REF!</f>
        <v>#REF!</v>
      </c>
      <c r="O697" s="181" t="e">
        <f t="shared" si="90"/>
        <v>#REF!</v>
      </c>
    </row>
    <row r="698" spans="1:15" s="193" customFormat="1" outlineLevel="2">
      <c r="A698" s="238"/>
      <c r="B698" s="212" t="s">
        <v>1049</v>
      </c>
      <c r="C698" s="190" t="s">
        <v>123</v>
      </c>
      <c r="D698" s="191"/>
      <c r="E698" s="176"/>
      <c r="F698" s="177"/>
      <c r="G698" s="192"/>
      <c r="H698" s="179"/>
      <c r="I698" s="339" t="e">
        <f>IF(#REF!="",#REF!*#REF!,IF(#REF!=0,#REF!*#REF!,#REF!*#REF!*#REF!))</f>
        <v>#REF!</v>
      </c>
      <c r="J698" s="180" t="e">
        <f>#REF!*#REF!</f>
        <v>#REF!</v>
      </c>
      <c r="K698" s="178" t="e">
        <f>#REF!*mo</f>
        <v>#REF!</v>
      </c>
      <c r="L698" s="178" t="e">
        <f t="shared" si="91"/>
        <v>#REF!</v>
      </c>
      <c r="M698" s="178" t="e">
        <f>#REF!*#REF!</f>
        <v>#REF!</v>
      </c>
      <c r="N698" s="178" t="e">
        <f>#REF!+K698+#REF!</f>
        <v>#REF!</v>
      </c>
      <c r="O698" s="181" t="e">
        <f t="shared" si="90"/>
        <v>#REF!</v>
      </c>
    </row>
    <row r="699" spans="1:15" s="193" customFormat="1" outlineLevel="2">
      <c r="A699" s="238"/>
      <c r="B699" s="212" t="s">
        <v>1050</v>
      </c>
      <c r="C699" s="190" t="s">
        <v>123</v>
      </c>
      <c r="D699" s="191"/>
      <c r="E699" s="176"/>
      <c r="F699" s="177"/>
      <c r="G699" s="192"/>
      <c r="H699" s="179"/>
      <c r="I699" s="339" t="e">
        <f>IF(#REF!="",#REF!*#REF!,IF(#REF!=0,#REF!*#REF!,#REF!*#REF!*#REF!))</f>
        <v>#REF!</v>
      </c>
      <c r="J699" s="180" t="e">
        <f>#REF!*#REF!</f>
        <v>#REF!</v>
      </c>
      <c r="K699" s="178" t="e">
        <f>#REF!*mo</f>
        <v>#REF!</v>
      </c>
      <c r="L699" s="178" t="e">
        <f t="shared" si="91"/>
        <v>#REF!</v>
      </c>
      <c r="M699" s="178" t="e">
        <f>#REF!*#REF!</f>
        <v>#REF!</v>
      </c>
      <c r="N699" s="178" t="e">
        <f>#REF!+K699+#REF!</f>
        <v>#REF!</v>
      </c>
      <c r="O699" s="181" t="e">
        <f t="shared" si="90"/>
        <v>#REF!</v>
      </c>
    </row>
    <row r="700" spans="1:15" s="193" customFormat="1" outlineLevel="2">
      <c r="A700" s="238"/>
      <c r="B700" s="212" t="s">
        <v>943</v>
      </c>
      <c r="C700" s="190" t="s">
        <v>123</v>
      </c>
      <c r="D700" s="191"/>
      <c r="E700" s="176"/>
      <c r="F700" s="177"/>
      <c r="G700" s="192"/>
      <c r="H700" s="179"/>
      <c r="I700" s="339" t="e">
        <f>IF(#REF!="",#REF!*#REF!,IF(#REF!=0,#REF!*#REF!,#REF!*#REF!*#REF!))</f>
        <v>#REF!</v>
      </c>
      <c r="J700" s="180" t="e">
        <f>#REF!*#REF!</f>
        <v>#REF!</v>
      </c>
      <c r="K700" s="178" t="e">
        <f>#REF!*mo</f>
        <v>#REF!</v>
      </c>
      <c r="L700" s="178" t="e">
        <f t="shared" si="91"/>
        <v>#REF!</v>
      </c>
      <c r="M700" s="178" t="e">
        <f>#REF!*#REF!</f>
        <v>#REF!</v>
      </c>
      <c r="N700" s="178" t="e">
        <f>#REF!+K700+#REF!</f>
        <v>#REF!</v>
      </c>
      <c r="O700" s="181" t="e">
        <f t="shared" si="90"/>
        <v>#REF!</v>
      </c>
    </row>
    <row r="701" spans="1:15" s="193" customFormat="1" outlineLevel="2">
      <c r="A701" s="238"/>
      <c r="B701" s="212" t="s">
        <v>868</v>
      </c>
      <c r="C701" s="190" t="s">
        <v>123</v>
      </c>
      <c r="D701" s="191"/>
      <c r="E701" s="176"/>
      <c r="F701" s="177"/>
      <c r="G701" s="192"/>
      <c r="H701" s="179"/>
      <c r="I701" s="339" t="e">
        <f>IF(#REF!="",#REF!*#REF!,IF(#REF!=0,#REF!*#REF!,#REF!*#REF!*#REF!))</f>
        <v>#REF!</v>
      </c>
      <c r="J701" s="180" t="e">
        <f>#REF!*#REF!</f>
        <v>#REF!</v>
      </c>
      <c r="K701" s="178" t="e">
        <f>#REF!*mo</f>
        <v>#REF!</v>
      </c>
      <c r="L701" s="178" t="e">
        <f t="shared" si="91"/>
        <v>#REF!</v>
      </c>
      <c r="M701" s="178" t="e">
        <f>#REF!*#REF!</f>
        <v>#REF!</v>
      </c>
      <c r="N701" s="178" t="e">
        <f>#REF!+K701+#REF!</f>
        <v>#REF!</v>
      </c>
      <c r="O701" s="181" t="e">
        <f t="shared" si="90"/>
        <v>#REF!</v>
      </c>
    </row>
    <row r="702" spans="1:15" s="193" customFormat="1" outlineLevel="2">
      <c r="A702" s="238"/>
      <c r="B702" s="212" t="s">
        <v>869</v>
      </c>
      <c r="C702" s="190" t="s">
        <v>123</v>
      </c>
      <c r="D702" s="191"/>
      <c r="E702" s="176"/>
      <c r="F702" s="177"/>
      <c r="G702" s="192"/>
      <c r="H702" s="179"/>
      <c r="I702" s="339" t="e">
        <f>IF(#REF!="",#REF!*#REF!,IF(#REF!=0,#REF!*#REF!,#REF!*#REF!*#REF!))</f>
        <v>#REF!</v>
      </c>
      <c r="J702" s="180" t="e">
        <f>#REF!*#REF!</f>
        <v>#REF!</v>
      </c>
      <c r="K702" s="178" t="e">
        <f>#REF!*mo</f>
        <v>#REF!</v>
      </c>
      <c r="L702" s="178" t="e">
        <f t="shared" si="91"/>
        <v>#REF!</v>
      </c>
      <c r="M702" s="178" t="e">
        <f>#REF!*#REF!</f>
        <v>#REF!</v>
      </c>
      <c r="N702" s="178" t="e">
        <f>#REF!+K702+#REF!</f>
        <v>#REF!</v>
      </c>
      <c r="O702" s="181" t="e">
        <f t="shared" si="90"/>
        <v>#REF!</v>
      </c>
    </row>
    <row r="703" spans="1:15" s="193" customFormat="1" outlineLevel="2">
      <c r="A703" s="238"/>
      <c r="B703" s="212" t="s">
        <v>870</v>
      </c>
      <c r="C703" s="190" t="s">
        <v>123</v>
      </c>
      <c r="D703" s="191"/>
      <c r="E703" s="176"/>
      <c r="F703" s="177"/>
      <c r="G703" s="192"/>
      <c r="H703" s="179"/>
      <c r="I703" s="339" t="e">
        <f>IF(#REF!="",#REF!*#REF!,IF(#REF!=0,#REF!*#REF!,#REF!*#REF!*#REF!))</f>
        <v>#REF!</v>
      </c>
      <c r="J703" s="180" t="e">
        <f>#REF!*#REF!</f>
        <v>#REF!</v>
      </c>
      <c r="K703" s="178" t="e">
        <f>#REF!*mo</f>
        <v>#REF!</v>
      </c>
      <c r="L703" s="178" t="e">
        <f t="shared" si="91"/>
        <v>#REF!</v>
      </c>
      <c r="M703" s="178" t="e">
        <f>#REF!*#REF!</f>
        <v>#REF!</v>
      </c>
      <c r="N703" s="178" t="e">
        <f>#REF!+K703+#REF!</f>
        <v>#REF!</v>
      </c>
      <c r="O703" s="181" t="e">
        <f t="shared" si="90"/>
        <v>#REF!</v>
      </c>
    </row>
    <row r="704" spans="1:15" s="193" customFormat="1" outlineLevel="2">
      <c r="A704" s="238"/>
      <c r="B704" s="212" t="s">
        <v>871</v>
      </c>
      <c r="C704" s="190" t="s">
        <v>123</v>
      </c>
      <c r="D704" s="191"/>
      <c r="E704" s="176"/>
      <c r="F704" s="177"/>
      <c r="G704" s="192"/>
      <c r="H704" s="179"/>
      <c r="I704" s="339" t="e">
        <f>IF(#REF!="",#REF!*#REF!,IF(#REF!=0,#REF!*#REF!,#REF!*#REF!*#REF!))</f>
        <v>#REF!</v>
      </c>
      <c r="J704" s="180" t="e">
        <f>#REF!*#REF!</f>
        <v>#REF!</v>
      </c>
      <c r="K704" s="178" t="e">
        <f>#REF!*mo</f>
        <v>#REF!</v>
      </c>
      <c r="L704" s="178" t="e">
        <f t="shared" si="91"/>
        <v>#REF!</v>
      </c>
      <c r="M704" s="178" t="e">
        <f>#REF!*#REF!</f>
        <v>#REF!</v>
      </c>
      <c r="N704" s="178" t="e">
        <f>#REF!+K704+#REF!</f>
        <v>#REF!</v>
      </c>
      <c r="O704" s="181" t="e">
        <f t="shared" si="90"/>
        <v>#REF!</v>
      </c>
    </row>
    <row r="705" spans="1:15" s="193" customFormat="1" outlineLevel="2">
      <c r="A705" s="238"/>
      <c r="B705" s="234"/>
      <c r="C705" s="190"/>
      <c r="D705" s="191"/>
      <c r="E705" s="176"/>
      <c r="F705" s="177"/>
      <c r="G705" s="192"/>
      <c r="H705" s="179"/>
      <c r="I705" s="339" t="e">
        <f>IF(#REF!="",#REF!*#REF!,IF(#REF!=0,#REF!*#REF!,#REF!*#REF!*#REF!))</f>
        <v>#REF!</v>
      </c>
      <c r="J705" s="180" t="e">
        <f>#REF!*#REF!</f>
        <v>#REF!</v>
      </c>
      <c r="K705" s="178" t="e">
        <f>#REF!*mo</f>
        <v>#REF!</v>
      </c>
      <c r="L705" s="178" t="e">
        <f t="shared" ref="L705:L745" si="93">J705*mo</f>
        <v>#REF!</v>
      </c>
      <c r="M705" s="178" t="e">
        <f>#REF!*#REF!</f>
        <v>#REF!</v>
      </c>
      <c r="N705" s="178" t="e">
        <f>#REF!+K705+#REF!</f>
        <v>#REF!</v>
      </c>
      <c r="O705" s="181" t="e">
        <f t="shared" si="90"/>
        <v>#REF!</v>
      </c>
    </row>
    <row r="706" spans="1:15" s="193" customFormat="1" outlineLevel="2">
      <c r="A706" s="238"/>
      <c r="B706" s="236" t="s">
        <v>1039</v>
      </c>
      <c r="C706" s="190"/>
      <c r="D706" s="191"/>
      <c r="E706" s="176"/>
      <c r="F706" s="177"/>
      <c r="G706" s="192"/>
      <c r="H706" s="179"/>
      <c r="I706" s="339" t="e">
        <f>IF(#REF!="",#REF!*#REF!,IF(#REF!=0,#REF!*#REF!,#REF!*#REF!*#REF!))</f>
        <v>#REF!</v>
      </c>
      <c r="J706" s="180" t="e">
        <f>#REF!*#REF!</f>
        <v>#REF!</v>
      </c>
      <c r="K706" s="178" t="e">
        <f>#REF!*mo</f>
        <v>#REF!</v>
      </c>
      <c r="L706" s="178" t="e">
        <f t="shared" si="93"/>
        <v>#REF!</v>
      </c>
      <c r="M706" s="178" t="e">
        <f>#REF!*#REF!</f>
        <v>#REF!</v>
      </c>
      <c r="N706" s="178" t="e">
        <f>#REF!+K706+#REF!</f>
        <v>#REF!</v>
      </c>
      <c r="O706" s="181" t="e">
        <f t="shared" si="90"/>
        <v>#REF!</v>
      </c>
    </row>
    <row r="707" spans="1:15" s="193" customFormat="1" outlineLevel="2">
      <c r="A707" s="238"/>
      <c r="B707" s="212" t="s">
        <v>940</v>
      </c>
      <c r="C707" s="190" t="s">
        <v>123</v>
      </c>
      <c r="D707" s="191"/>
      <c r="E707" s="176"/>
      <c r="F707" s="177"/>
      <c r="G707" s="192"/>
      <c r="H707" s="179"/>
      <c r="I707" s="339" t="e">
        <f>IF(#REF!="",#REF!*#REF!,IF(#REF!=0,#REF!*#REF!,#REF!*#REF!*#REF!))</f>
        <v>#REF!</v>
      </c>
      <c r="J707" s="180" t="e">
        <f>#REF!*#REF!</f>
        <v>#REF!</v>
      </c>
      <c r="K707" s="178" t="e">
        <f>#REF!*mo</f>
        <v>#REF!</v>
      </c>
      <c r="L707" s="178" t="e">
        <f t="shared" si="93"/>
        <v>#REF!</v>
      </c>
      <c r="M707" s="178" t="e">
        <f>#REF!*#REF!</f>
        <v>#REF!</v>
      </c>
      <c r="N707" s="178" t="e">
        <f>#REF!+K707+#REF!</f>
        <v>#REF!</v>
      </c>
      <c r="O707" s="181" t="e">
        <f t="shared" si="90"/>
        <v>#REF!</v>
      </c>
    </row>
    <row r="708" spans="1:15" s="193" customFormat="1" outlineLevel="2">
      <c r="A708" s="238"/>
      <c r="B708" s="212" t="s">
        <v>1049</v>
      </c>
      <c r="C708" s="190" t="s">
        <v>123</v>
      </c>
      <c r="D708" s="191"/>
      <c r="E708" s="176"/>
      <c r="F708" s="177"/>
      <c r="G708" s="192"/>
      <c r="H708" s="179"/>
      <c r="I708" s="339" t="e">
        <f>IF(#REF!="",#REF!*#REF!,IF(#REF!=0,#REF!*#REF!,#REF!*#REF!*#REF!))</f>
        <v>#REF!</v>
      </c>
      <c r="J708" s="180" t="e">
        <f>#REF!*#REF!</f>
        <v>#REF!</v>
      </c>
      <c r="K708" s="178" t="e">
        <f>#REF!*mo</f>
        <v>#REF!</v>
      </c>
      <c r="L708" s="178" t="e">
        <f t="shared" si="93"/>
        <v>#REF!</v>
      </c>
      <c r="M708" s="178" t="e">
        <f>#REF!*#REF!</f>
        <v>#REF!</v>
      </c>
      <c r="N708" s="178" t="e">
        <f>#REF!+K708+#REF!</f>
        <v>#REF!</v>
      </c>
      <c r="O708" s="181" t="e">
        <f t="shared" si="90"/>
        <v>#REF!</v>
      </c>
    </row>
    <row r="709" spans="1:15" s="193" customFormat="1" outlineLevel="2">
      <c r="A709" s="238"/>
      <c r="B709" s="212" t="s">
        <v>1050</v>
      </c>
      <c r="C709" s="190" t="s">
        <v>123</v>
      </c>
      <c r="D709" s="191"/>
      <c r="E709" s="176"/>
      <c r="F709" s="177"/>
      <c r="G709" s="192"/>
      <c r="H709" s="179"/>
      <c r="I709" s="339" t="e">
        <f>IF(#REF!="",#REF!*#REF!,IF(#REF!=0,#REF!*#REF!,#REF!*#REF!*#REF!))</f>
        <v>#REF!</v>
      </c>
      <c r="J709" s="180" t="e">
        <f>#REF!*#REF!</f>
        <v>#REF!</v>
      </c>
      <c r="K709" s="178" t="e">
        <f>#REF!*mo</f>
        <v>#REF!</v>
      </c>
      <c r="L709" s="178" t="e">
        <f t="shared" si="93"/>
        <v>#REF!</v>
      </c>
      <c r="M709" s="178" t="e">
        <f>#REF!*#REF!</f>
        <v>#REF!</v>
      </c>
      <c r="N709" s="178" t="e">
        <f>#REF!+K709+#REF!</f>
        <v>#REF!</v>
      </c>
      <c r="O709" s="181" t="e">
        <f t="shared" si="90"/>
        <v>#REF!</v>
      </c>
    </row>
    <row r="710" spans="1:15" s="193" customFormat="1" outlineLevel="2">
      <c r="A710" s="238"/>
      <c r="B710" s="212" t="s">
        <v>943</v>
      </c>
      <c r="C710" s="190" t="s">
        <v>123</v>
      </c>
      <c r="D710" s="191"/>
      <c r="E710" s="176"/>
      <c r="F710" s="177"/>
      <c r="G710" s="192"/>
      <c r="H710" s="179"/>
      <c r="I710" s="339" t="e">
        <f>IF(#REF!="",#REF!*#REF!,IF(#REF!=0,#REF!*#REF!,#REF!*#REF!*#REF!))</f>
        <v>#REF!</v>
      </c>
      <c r="J710" s="180" t="e">
        <f>#REF!*#REF!</f>
        <v>#REF!</v>
      </c>
      <c r="K710" s="178" t="e">
        <f>#REF!*mo</f>
        <v>#REF!</v>
      </c>
      <c r="L710" s="178" t="e">
        <f t="shared" si="93"/>
        <v>#REF!</v>
      </c>
      <c r="M710" s="178" t="e">
        <f>#REF!*#REF!</f>
        <v>#REF!</v>
      </c>
      <c r="N710" s="178" t="e">
        <f>#REF!+K710+#REF!</f>
        <v>#REF!</v>
      </c>
      <c r="O710" s="181" t="e">
        <f t="shared" si="90"/>
        <v>#REF!</v>
      </c>
    </row>
    <row r="711" spans="1:15" s="193" customFormat="1" outlineLevel="2">
      <c r="A711" s="238"/>
      <c r="B711" s="212" t="s">
        <v>868</v>
      </c>
      <c r="C711" s="190" t="s">
        <v>123</v>
      </c>
      <c r="D711" s="191"/>
      <c r="E711" s="176"/>
      <c r="F711" s="177"/>
      <c r="G711" s="192"/>
      <c r="H711" s="179"/>
      <c r="I711" s="339" t="e">
        <f>IF(#REF!="",#REF!*#REF!,IF(#REF!=0,#REF!*#REF!,#REF!*#REF!*#REF!))</f>
        <v>#REF!</v>
      </c>
      <c r="J711" s="180" t="e">
        <f>#REF!*#REF!</f>
        <v>#REF!</v>
      </c>
      <c r="K711" s="178" t="e">
        <f>#REF!*mo</f>
        <v>#REF!</v>
      </c>
      <c r="L711" s="178" t="e">
        <f t="shared" si="93"/>
        <v>#REF!</v>
      </c>
      <c r="M711" s="178" t="e">
        <f>#REF!*#REF!</f>
        <v>#REF!</v>
      </c>
      <c r="N711" s="178" t="e">
        <f>#REF!+K711+#REF!</f>
        <v>#REF!</v>
      </c>
      <c r="O711" s="181" t="e">
        <f t="shared" si="90"/>
        <v>#REF!</v>
      </c>
    </row>
    <row r="712" spans="1:15" s="193" customFormat="1" outlineLevel="2">
      <c r="A712" s="238"/>
      <c r="B712" s="212" t="s">
        <v>869</v>
      </c>
      <c r="C712" s="190" t="s">
        <v>123</v>
      </c>
      <c r="D712" s="191"/>
      <c r="E712" s="176"/>
      <c r="F712" s="177"/>
      <c r="G712" s="192"/>
      <c r="H712" s="179"/>
      <c r="I712" s="339" t="e">
        <f>IF(#REF!="",#REF!*#REF!,IF(#REF!=0,#REF!*#REF!,#REF!*#REF!*#REF!))</f>
        <v>#REF!</v>
      </c>
      <c r="J712" s="180" t="e">
        <f>#REF!*#REF!</f>
        <v>#REF!</v>
      </c>
      <c r="K712" s="178" t="e">
        <f>#REF!*mo</f>
        <v>#REF!</v>
      </c>
      <c r="L712" s="178" t="e">
        <f t="shared" si="93"/>
        <v>#REF!</v>
      </c>
      <c r="M712" s="178" t="e">
        <f>#REF!*#REF!</f>
        <v>#REF!</v>
      </c>
      <c r="N712" s="178" t="e">
        <f>#REF!+K712+#REF!</f>
        <v>#REF!</v>
      </c>
      <c r="O712" s="181" t="e">
        <f t="shared" si="90"/>
        <v>#REF!</v>
      </c>
    </row>
    <row r="713" spans="1:15" s="193" customFormat="1" outlineLevel="2">
      <c r="A713" s="238"/>
      <c r="B713" s="212" t="s">
        <v>870</v>
      </c>
      <c r="C713" s="190" t="s">
        <v>123</v>
      </c>
      <c r="D713" s="191"/>
      <c r="E713" s="176"/>
      <c r="F713" s="177"/>
      <c r="G713" s="192"/>
      <c r="H713" s="179"/>
      <c r="I713" s="339" t="e">
        <f>IF(#REF!="",#REF!*#REF!,IF(#REF!=0,#REF!*#REF!,#REF!*#REF!*#REF!))</f>
        <v>#REF!</v>
      </c>
      <c r="J713" s="180" t="e">
        <f>#REF!*#REF!</f>
        <v>#REF!</v>
      </c>
      <c r="K713" s="178" t="e">
        <f>#REF!*mo</f>
        <v>#REF!</v>
      </c>
      <c r="L713" s="178" t="e">
        <f t="shared" si="93"/>
        <v>#REF!</v>
      </c>
      <c r="M713" s="178" t="e">
        <f>#REF!*#REF!</f>
        <v>#REF!</v>
      </c>
      <c r="N713" s="178" t="e">
        <f>#REF!+K713+#REF!</f>
        <v>#REF!</v>
      </c>
      <c r="O713" s="181" t="e">
        <f t="shared" si="90"/>
        <v>#REF!</v>
      </c>
    </row>
    <row r="714" spans="1:15" s="193" customFormat="1" outlineLevel="2">
      <c r="A714" s="238"/>
      <c r="B714" s="212" t="s">
        <v>871</v>
      </c>
      <c r="C714" s="190" t="s">
        <v>123</v>
      </c>
      <c r="D714" s="191"/>
      <c r="E714" s="176"/>
      <c r="F714" s="177"/>
      <c r="G714" s="192"/>
      <c r="H714" s="179"/>
      <c r="I714" s="339" t="e">
        <f>IF(#REF!="",#REF!*#REF!,IF(#REF!=0,#REF!*#REF!,#REF!*#REF!*#REF!))</f>
        <v>#REF!</v>
      </c>
      <c r="J714" s="180" t="e">
        <f>#REF!*#REF!</f>
        <v>#REF!</v>
      </c>
      <c r="K714" s="178" t="e">
        <f>#REF!*mo</f>
        <v>#REF!</v>
      </c>
      <c r="L714" s="178" t="e">
        <f t="shared" si="93"/>
        <v>#REF!</v>
      </c>
      <c r="M714" s="178" t="e">
        <f>#REF!*#REF!</f>
        <v>#REF!</v>
      </c>
      <c r="N714" s="178" t="e">
        <f>#REF!+K714+#REF!</f>
        <v>#REF!</v>
      </c>
      <c r="O714" s="181" t="e">
        <f t="shared" si="90"/>
        <v>#REF!</v>
      </c>
    </row>
    <row r="715" spans="1:15" s="193" customFormat="1" outlineLevel="2">
      <c r="A715" s="238"/>
      <c r="B715" s="234"/>
      <c r="C715" s="190"/>
      <c r="D715" s="191"/>
      <c r="E715" s="176"/>
      <c r="F715" s="177"/>
      <c r="G715" s="192"/>
      <c r="H715" s="179"/>
      <c r="I715" s="339" t="e">
        <f>IF(#REF!="",#REF!*#REF!,IF(#REF!=0,#REF!*#REF!,#REF!*#REF!*#REF!))</f>
        <v>#REF!</v>
      </c>
      <c r="J715" s="180" t="e">
        <f>#REF!*#REF!</f>
        <v>#REF!</v>
      </c>
      <c r="K715" s="178" t="e">
        <f>#REF!*mo</f>
        <v>#REF!</v>
      </c>
      <c r="L715" s="178" t="e">
        <f t="shared" si="93"/>
        <v>#REF!</v>
      </c>
      <c r="M715" s="178" t="e">
        <f>#REF!*#REF!</f>
        <v>#REF!</v>
      </c>
      <c r="N715" s="178" t="e">
        <f>#REF!+K715+#REF!</f>
        <v>#REF!</v>
      </c>
      <c r="O715" s="181" t="e">
        <f t="shared" si="90"/>
        <v>#REF!</v>
      </c>
    </row>
    <row r="716" spans="1:15" s="193" customFormat="1" outlineLevel="2">
      <c r="A716" s="238"/>
      <c r="B716" s="212" t="s">
        <v>1058</v>
      </c>
      <c r="C716" s="190" t="s">
        <v>801</v>
      </c>
      <c r="D716" s="191"/>
      <c r="E716" s="176"/>
      <c r="F716" s="177"/>
      <c r="G716" s="192"/>
      <c r="H716" s="179"/>
      <c r="I716" s="339" t="e">
        <f>IF(#REF!="",#REF!*#REF!,IF(#REF!=0,#REF!*#REF!,#REF!*#REF!*#REF!))</f>
        <v>#REF!</v>
      </c>
      <c r="J716" s="180" t="e">
        <f>#REF!*#REF!</f>
        <v>#REF!</v>
      </c>
      <c r="K716" s="178" t="e">
        <f>#REF!*mo</f>
        <v>#REF!</v>
      </c>
      <c r="L716" s="178" t="e">
        <f t="shared" si="93"/>
        <v>#REF!</v>
      </c>
      <c r="M716" s="178" t="e">
        <f>#REF!*#REF!</f>
        <v>#REF!</v>
      </c>
      <c r="N716" s="178" t="e">
        <f>#REF!+K716+#REF!</f>
        <v>#REF!</v>
      </c>
      <c r="O716" s="181" t="e">
        <f t="shared" si="90"/>
        <v>#REF!</v>
      </c>
    </row>
    <row r="717" spans="1:15" s="193" customFormat="1" outlineLevel="2">
      <c r="A717" s="240"/>
      <c r="B717" s="233"/>
      <c r="C717" s="190"/>
      <c r="D717" s="191"/>
      <c r="E717" s="176"/>
      <c r="F717" s="177"/>
      <c r="G717" s="192"/>
      <c r="H717" s="179"/>
      <c r="I717" s="339" t="e">
        <f>IF(#REF!="",#REF!*#REF!,IF(#REF!=0,#REF!*#REF!,#REF!*#REF!*#REF!))</f>
        <v>#REF!</v>
      </c>
      <c r="J717" s="180" t="e">
        <f>#REF!*#REF!</f>
        <v>#REF!</v>
      </c>
      <c r="K717" s="178" t="e">
        <f>#REF!*mo</f>
        <v>#REF!</v>
      </c>
      <c r="L717" s="178" t="e">
        <f t="shared" si="93"/>
        <v>#REF!</v>
      </c>
      <c r="M717" s="178" t="e">
        <f>#REF!*#REF!</f>
        <v>#REF!</v>
      </c>
      <c r="N717" s="178" t="e">
        <f>#REF!+K717+#REF!</f>
        <v>#REF!</v>
      </c>
      <c r="O717" s="181" t="e">
        <f t="shared" si="90"/>
        <v>#REF!</v>
      </c>
    </row>
    <row r="718" spans="1:15" s="193" customFormat="1" outlineLevel="2">
      <c r="A718" s="238"/>
      <c r="B718" s="212" t="s">
        <v>1059</v>
      </c>
      <c r="C718" s="190" t="s">
        <v>947</v>
      </c>
      <c r="D718" s="191"/>
      <c r="E718" s="176"/>
      <c r="F718" s="177"/>
      <c r="G718" s="192"/>
      <c r="H718" s="179"/>
      <c r="I718" s="339" t="e">
        <f>IF(#REF!="",#REF!*#REF!,IF(#REF!=0,#REF!*#REF!,#REF!*#REF!*#REF!))</f>
        <v>#REF!</v>
      </c>
      <c r="J718" s="180" t="e">
        <f>#REF!*#REF!</f>
        <v>#REF!</v>
      </c>
      <c r="K718" s="178" t="e">
        <f>#REF!*mo</f>
        <v>#REF!</v>
      </c>
      <c r="L718" s="178" t="e">
        <f t="shared" si="93"/>
        <v>#REF!</v>
      </c>
      <c r="M718" s="178" t="e">
        <f>#REF!*#REF!</f>
        <v>#REF!</v>
      </c>
      <c r="N718" s="178" t="e">
        <f>#REF!+K718+#REF!</f>
        <v>#REF!</v>
      </c>
      <c r="O718" s="181" t="e">
        <f t="shared" si="90"/>
        <v>#REF!</v>
      </c>
    </row>
    <row r="719" spans="1:15" s="193" customFormat="1" outlineLevel="2">
      <c r="A719" s="238"/>
      <c r="B719" s="212"/>
      <c r="C719" s="190"/>
      <c r="D719" s="191"/>
      <c r="E719" s="176"/>
      <c r="F719" s="177"/>
      <c r="G719" s="192"/>
      <c r="H719" s="179"/>
      <c r="I719" s="339" t="e">
        <f>IF(#REF!="",#REF!*#REF!,IF(#REF!=0,#REF!*#REF!,#REF!*#REF!*#REF!))</f>
        <v>#REF!</v>
      </c>
      <c r="J719" s="180" t="e">
        <f>#REF!*#REF!</f>
        <v>#REF!</v>
      </c>
      <c r="K719" s="178" t="e">
        <f>#REF!*mo</f>
        <v>#REF!</v>
      </c>
      <c r="L719" s="178" t="e">
        <f t="shared" ref="L719" si="94">J719*mo</f>
        <v>#REF!</v>
      </c>
      <c r="M719" s="178" t="e">
        <f>#REF!*#REF!</f>
        <v>#REF!</v>
      </c>
      <c r="N719" s="178" t="e">
        <f>#REF!+K719+#REF!</f>
        <v>#REF!</v>
      </c>
      <c r="O719" s="181" t="e">
        <f t="shared" ref="O719:O774" si="95">M719+L719+I719</f>
        <v>#REF!</v>
      </c>
    </row>
    <row r="720" spans="1:15" s="193" customFormat="1" outlineLevel="1">
      <c r="A720" s="240" t="str">
        <f>$A$693&amp;".2"</f>
        <v>7.3.2</v>
      </c>
      <c r="B720" s="210" t="s">
        <v>1060</v>
      </c>
      <c r="C720" s="190"/>
      <c r="D720" s="191"/>
      <c r="E720" s="176"/>
      <c r="F720" s="177"/>
      <c r="G720" s="192">
        <f>SUM(F721:F746)</f>
        <v>0</v>
      </c>
      <c r="H720" s="179"/>
      <c r="I720" s="339" t="e">
        <f>IF(#REF!="",#REF!*#REF!,IF(#REF!=0,#REF!*#REF!,#REF!*#REF!*#REF!))</f>
        <v>#REF!</v>
      </c>
      <c r="J720" s="180" t="e">
        <f>#REF!*#REF!</f>
        <v>#REF!</v>
      </c>
      <c r="K720" s="178" t="e">
        <f>#REF!*mo</f>
        <v>#REF!</v>
      </c>
      <c r="L720" s="178" t="e">
        <f t="shared" si="93"/>
        <v>#REF!</v>
      </c>
      <c r="M720" s="178" t="e">
        <f>#REF!*#REF!</f>
        <v>#REF!</v>
      </c>
      <c r="N720" s="178" t="e">
        <f>#REF!+K720+#REF!</f>
        <v>#REF!</v>
      </c>
      <c r="O720" s="181" t="e">
        <f t="shared" si="95"/>
        <v>#REF!</v>
      </c>
    </row>
    <row r="721" spans="1:15" s="193" customFormat="1" outlineLevel="2">
      <c r="A721" s="240"/>
      <c r="B721" s="233"/>
      <c r="C721" s="190"/>
      <c r="D721" s="191"/>
      <c r="E721" s="176"/>
      <c r="F721" s="177"/>
      <c r="G721" s="192"/>
      <c r="H721" s="179"/>
      <c r="I721" s="339" t="e">
        <f>IF(#REF!="",#REF!*#REF!,IF(#REF!=0,#REF!*#REF!,#REF!*#REF!*#REF!))</f>
        <v>#REF!</v>
      </c>
      <c r="J721" s="180" t="e">
        <f>#REF!*#REF!</f>
        <v>#REF!</v>
      </c>
      <c r="K721" s="178" t="e">
        <f>#REF!*mo</f>
        <v>#REF!</v>
      </c>
      <c r="L721" s="178" t="e">
        <f t="shared" si="93"/>
        <v>#REF!</v>
      </c>
      <c r="M721" s="178" t="e">
        <f>#REF!*#REF!</f>
        <v>#REF!</v>
      </c>
      <c r="N721" s="178" t="e">
        <f>#REF!+K721+#REF!</f>
        <v>#REF!</v>
      </c>
      <c r="O721" s="181" t="e">
        <f t="shared" si="95"/>
        <v>#REF!</v>
      </c>
    </row>
    <row r="722" spans="1:15" s="193" customFormat="1" outlineLevel="2">
      <c r="A722" s="238"/>
      <c r="B722" s="236" t="s">
        <v>1048</v>
      </c>
      <c r="C722" s="190"/>
      <c r="D722" s="191"/>
      <c r="E722" s="176"/>
      <c r="F722" s="177"/>
      <c r="G722" s="192"/>
      <c r="H722" s="179"/>
      <c r="I722" s="339" t="e">
        <f>IF(#REF!="",#REF!*#REF!,IF(#REF!=0,#REF!*#REF!,#REF!*#REF!*#REF!))</f>
        <v>#REF!</v>
      </c>
      <c r="J722" s="180" t="e">
        <f>#REF!*#REF!</f>
        <v>#REF!</v>
      </c>
      <c r="K722" s="178" t="e">
        <f>#REF!*mo</f>
        <v>#REF!</v>
      </c>
      <c r="L722" s="178" t="e">
        <f t="shared" si="93"/>
        <v>#REF!</v>
      </c>
      <c r="M722" s="178" t="e">
        <f>#REF!*#REF!</f>
        <v>#REF!</v>
      </c>
      <c r="N722" s="178" t="e">
        <f>#REF!+K722+#REF!</f>
        <v>#REF!</v>
      </c>
      <c r="O722" s="181" t="e">
        <f t="shared" si="95"/>
        <v>#REF!</v>
      </c>
    </row>
    <row r="723" spans="1:15" s="193" customFormat="1" outlineLevel="2">
      <c r="A723" s="238"/>
      <c r="B723" s="212" t="s">
        <v>940</v>
      </c>
      <c r="C723" s="190" t="s">
        <v>123</v>
      </c>
      <c r="D723" s="191"/>
      <c r="E723" s="176"/>
      <c r="F723" s="177"/>
      <c r="G723" s="192"/>
      <c r="H723" s="179"/>
      <c r="I723" s="339" t="e">
        <f>IF(#REF!="",#REF!*#REF!,IF(#REF!=0,#REF!*#REF!,#REF!*#REF!*#REF!))</f>
        <v>#REF!</v>
      </c>
      <c r="J723" s="180" t="e">
        <f>#REF!*#REF!</f>
        <v>#REF!</v>
      </c>
      <c r="K723" s="178" t="e">
        <f>#REF!*mo</f>
        <v>#REF!</v>
      </c>
      <c r="L723" s="178" t="e">
        <f t="shared" si="93"/>
        <v>#REF!</v>
      </c>
      <c r="M723" s="178" t="e">
        <f>#REF!*#REF!</f>
        <v>#REF!</v>
      </c>
      <c r="N723" s="178" t="e">
        <f>#REF!+K723+#REF!</f>
        <v>#REF!</v>
      </c>
      <c r="O723" s="181" t="e">
        <f t="shared" si="95"/>
        <v>#REF!</v>
      </c>
    </row>
    <row r="724" spans="1:15" s="193" customFormat="1" outlineLevel="2">
      <c r="A724" s="238"/>
      <c r="B724" s="212" t="s">
        <v>1049</v>
      </c>
      <c r="C724" s="190" t="s">
        <v>123</v>
      </c>
      <c r="D724" s="191"/>
      <c r="E724" s="176"/>
      <c r="F724" s="177"/>
      <c r="G724" s="192"/>
      <c r="H724" s="179"/>
      <c r="I724" s="339" t="e">
        <f>IF(#REF!="",#REF!*#REF!,IF(#REF!=0,#REF!*#REF!,#REF!*#REF!*#REF!))</f>
        <v>#REF!</v>
      </c>
      <c r="J724" s="180" t="e">
        <f>#REF!*#REF!</f>
        <v>#REF!</v>
      </c>
      <c r="K724" s="178" t="e">
        <f>#REF!*mo</f>
        <v>#REF!</v>
      </c>
      <c r="L724" s="178" t="e">
        <f t="shared" si="93"/>
        <v>#REF!</v>
      </c>
      <c r="M724" s="178" t="e">
        <f>#REF!*#REF!</f>
        <v>#REF!</v>
      </c>
      <c r="N724" s="178" t="e">
        <f>#REF!+K724+#REF!</f>
        <v>#REF!</v>
      </c>
      <c r="O724" s="181" t="e">
        <f t="shared" si="95"/>
        <v>#REF!</v>
      </c>
    </row>
    <row r="725" spans="1:15" s="193" customFormat="1" outlineLevel="2">
      <c r="A725" s="238"/>
      <c r="B725" s="212" t="s">
        <v>1050</v>
      </c>
      <c r="C725" s="190" t="s">
        <v>123</v>
      </c>
      <c r="D725" s="191"/>
      <c r="E725" s="176"/>
      <c r="F725" s="177"/>
      <c r="G725" s="192"/>
      <c r="H725" s="179"/>
      <c r="I725" s="339" t="e">
        <f>IF(#REF!="",#REF!*#REF!,IF(#REF!=0,#REF!*#REF!,#REF!*#REF!*#REF!))</f>
        <v>#REF!</v>
      </c>
      <c r="J725" s="180" t="e">
        <f>#REF!*#REF!</f>
        <v>#REF!</v>
      </c>
      <c r="K725" s="178" t="e">
        <f>#REF!*mo</f>
        <v>#REF!</v>
      </c>
      <c r="L725" s="178" t="e">
        <f t="shared" si="93"/>
        <v>#REF!</v>
      </c>
      <c r="M725" s="178" t="e">
        <f>#REF!*#REF!</f>
        <v>#REF!</v>
      </c>
      <c r="N725" s="178" t="e">
        <f>#REF!+K725+#REF!</f>
        <v>#REF!</v>
      </c>
      <c r="O725" s="181" t="e">
        <f t="shared" si="95"/>
        <v>#REF!</v>
      </c>
    </row>
    <row r="726" spans="1:15" s="193" customFormat="1" outlineLevel="2">
      <c r="A726" s="238"/>
      <c r="B726" s="212" t="s">
        <v>943</v>
      </c>
      <c r="C726" s="190" t="s">
        <v>123</v>
      </c>
      <c r="D726" s="191"/>
      <c r="E726" s="176"/>
      <c r="F726" s="177"/>
      <c r="G726" s="192"/>
      <c r="H726" s="179"/>
      <c r="I726" s="339" t="e">
        <f>IF(#REF!="",#REF!*#REF!,IF(#REF!=0,#REF!*#REF!,#REF!*#REF!*#REF!))</f>
        <v>#REF!</v>
      </c>
      <c r="J726" s="180" t="e">
        <f>#REF!*#REF!</f>
        <v>#REF!</v>
      </c>
      <c r="K726" s="178" t="e">
        <f>#REF!*mo</f>
        <v>#REF!</v>
      </c>
      <c r="L726" s="178" t="e">
        <f t="shared" si="93"/>
        <v>#REF!</v>
      </c>
      <c r="M726" s="178" t="e">
        <f>#REF!*#REF!</f>
        <v>#REF!</v>
      </c>
      <c r="N726" s="178" t="e">
        <f>#REF!+K726+#REF!</f>
        <v>#REF!</v>
      </c>
      <c r="O726" s="181" t="e">
        <f t="shared" si="95"/>
        <v>#REF!</v>
      </c>
    </row>
    <row r="727" spans="1:15" s="193" customFormat="1" outlineLevel="2">
      <c r="A727" s="238"/>
      <c r="B727" s="212" t="s">
        <v>868</v>
      </c>
      <c r="C727" s="190" t="s">
        <v>123</v>
      </c>
      <c r="D727" s="191"/>
      <c r="E727" s="176"/>
      <c r="F727" s="177"/>
      <c r="G727" s="192"/>
      <c r="H727" s="179"/>
      <c r="I727" s="339" t="e">
        <f>IF(#REF!="",#REF!*#REF!,IF(#REF!=0,#REF!*#REF!,#REF!*#REF!*#REF!))</f>
        <v>#REF!</v>
      </c>
      <c r="J727" s="180" t="e">
        <f>#REF!*#REF!</f>
        <v>#REF!</v>
      </c>
      <c r="K727" s="178" t="e">
        <f>#REF!*mo</f>
        <v>#REF!</v>
      </c>
      <c r="L727" s="178" t="e">
        <f t="shared" si="93"/>
        <v>#REF!</v>
      </c>
      <c r="M727" s="178" t="e">
        <f>#REF!*#REF!</f>
        <v>#REF!</v>
      </c>
      <c r="N727" s="178" t="e">
        <f>#REF!+K727+#REF!</f>
        <v>#REF!</v>
      </c>
      <c r="O727" s="181" t="e">
        <f t="shared" si="95"/>
        <v>#REF!</v>
      </c>
    </row>
    <row r="728" spans="1:15" s="193" customFormat="1" outlineLevel="2">
      <c r="A728" s="238"/>
      <c r="B728" s="212" t="s">
        <v>869</v>
      </c>
      <c r="C728" s="190" t="s">
        <v>123</v>
      </c>
      <c r="D728" s="191"/>
      <c r="E728" s="176"/>
      <c r="F728" s="177"/>
      <c r="G728" s="192"/>
      <c r="H728" s="179"/>
      <c r="I728" s="339" t="e">
        <f>IF(#REF!="",#REF!*#REF!,IF(#REF!=0,#REF!*#REF!,#REF!*#REF!*#REF!))</f>
        <v>#REF!</v>
      </c>
      <c r="J728" s="180" t="e">
        <f>#REF!*#REF!</f>
        <v>#REF!</v>
      </c>
      <c r="K728" s="178" t="e">
        <f>#REF!*mo</f>
        <v>#REF!</v>
      </c>
      <c r="L728" s="178" t="e">
        <f t="shared" si="93"/>
        <v>#REF!</v>
      </c>
      <c r="M728" s="178" t="e">
        <f>#REF!*#REF!</f>
        <v>#REF!</v>
      </c>
      <c r="N728" s="178" t="e">
        <f>#REF!+K728+#REF!</f>
        <v>#REF!</v>
      </c>
      <c r="O728" s="181" t="e">
        <f t="shared" si="95"/>
        <v>#REF!</v>
      </c>
    </row>
    <row r="729" spans="1:15" s="193" customFormat="1" outlineLevel="2">
      <c r="A729" s="238"/>
      <c r="B729" s="212" t="s">
        <v>870</v>
      </c>
      <c r="C729" s="190" t="s">
        <v>123</v>
      </c>
      <c r="D729" s="191"/>
      <c r="E729" s="176"/>
      <c r="F729" s="177"/>
      <c r="G729" s="192"/>
      <c r="H729" s="179"/>
      <c r="I729" s="339" t="e">
        <f>IF(#REF!="",#REF!*#REF!,IF(#REF!=0,#REF!*#REF!,#REF!*#REF!*#REF!))</f>
        <v>#REF!</v>
      </c>
      <c r="J729" s="180" t="e">
        <f>#REF!*#REF!</f>
        <v>#REF!</v>
      </c>
      <c r="K729" s="178" t="e">
        <f>#REF!*mo</f>
        <v>#REF!</v>
      </c>
      <c r="L729" s="178" t="e">
        <f t="shared" si="93"/>
        <v>#REF!</v>
      </c>
      <c r="M729" s="178" t="e">
        <f>#REF!*#REF!</f>
        <v>#REF!</v>
      </c>
      <c r="N729" s="178" t="e">
        <f>#REF!+K729+#REF!</f>
        <v>#REF!</v>
      </c>
      <c r="O729" s="181" t="e">
        <f t="shared" si="95"/>
        <v>#REF!</v>
      </c>
    </row>
    <row r="730" spans="1:15" s="193" customFormat="1" outlineLevel="2">
      <c r="A730" s="238"/>
      <c r="B730" s="212" t="s">
        <v>871</v>
      </c>
      <c r="C730" s="190" t="s">
        <v>123</v>
      </c>
      <c r="D730" s="191"/>
      <c r="E730" s="176"/>
      <c r="F730" s="177"/>
      <c r="G730" s="192"/>
      <c r="H730" s="179"/>
      <c r="I730" s="339" t="e">
        <f>IF(#REF!="",#REF!*#REF!,IF(#REF!=0,#REF!*#REF!,#REF!*#REF!*#REF!))</f>
        <v>#REF!</v>
      </c>
      <c r="J730" s="180" t="e">
        <f>#REF!*#REF!</f>
        <v>#REF!</v>
      </c>
      <c r="K730" s="178" t="e">
        <f>#REF!*mo</f>
        <v>#REF!</v>
      </c>
      <c r="L730" s="178" t="e">
        <f t="shared" si="93"/>
        <v>#REF!</v>
      </c>
      <c r="M730" s="178" t="e">
        <f>#REF!*#REF!</f>
        <v>#REF!</v>
      </c>
      <c r="N730" s="178" t="e">
        <f>#REF!+K730+#REF!</f>
        <v>#REF!</v>
      </c>
      <c r="O730" s="181" t="e">
        <f t="shared" si="95"/>
        <v>#REF!</v>
      </c>
    </row>
    <row r="731" spans="1:15" s="193" customFormat="1" outlineLevel="2">
      <c r="A731" s="238"/>
      <c r="B731" s="212" t="s">
        <v>1041</v>
      </c>
      <c r="C731" s="190" t="s">
        <v>123</v>
      </c>
      <c r="D731" s="191"/>
      <c r="E731" s="176"/>
      <c r="F731" s="177"/>
      <c r="G731" s="192"/>
      <c r="H731" s="179"/>
      <c r="I731" s="339" t="e">
        <f>IF(#REF!="",#REF!*#REF!,IF(#REF!=0,#REF!*#REF!,#REF!*#REF!*#REF!))</f>
        <v>#REF!</v>
      </c>
      <c r="J731" s="180" t="e">
        <f>#REF!*#REF!</f>
        <v>#REF!</v>
      </c>
      <c r="K731" s="178" t="e">
        <f>#REF!*mo</f>
        <v>#REF!</v>
      </c>
      <c r="L731" s="178" t="e">
        <f t="shared" si="93"/>
        <v>#REF!</v>
      </c>
      <c r="M731" s="178" t="e">
        <f>#REF!*#REF!</f>
        <v>#REF!</v>
      </c>
      <c r="N731" s="178" t="e">
        <f>#REF!+K731+#REF!</f>
        <v>#REF!</v>
      </c>
      <c r="O731" s="181" t="e">
        <f t="shared" si="95"/>
        <v>#REF!</v>
      </c>
    </row>
    <row r="732" spans="1:15" s="193" customFormat="1" outlineLevel="2">
      <c r="A732" s="238"/>
      <c r="B732" s="234"/>
      <c r="C732" s="190"/>
      <c r="D732" s="191"/>
      <c r="E732" s="176"/>
      <c r="F732" s="177"/>
      <c r="G732" s="192"/>
      <c r="H732" s="179"/>
      <c r="I732" s="339" t="e">
        <f>IF(#REF!="",#REF!*#REF!,IF(#REF!=0,#REF!*#REF!,#REF!*#REF!*#REF!))</f>
        <v>#REF!</v>
      </c>
      <c r="J732" s="180" t="e">
        <f>#REF!*#REF!</f>
        <v>#REF!</v>
      </c>
      <c r="K732" s="178" t="e">
        <f>#REF!*mo</f>
        <v>#REF!</v>
      </c>
      <c r="L732" s="178" t="e">
        <f t="shared" si="93"/>
        <v>#REF!</v>
      </c>
      <c r="M732" s="178" t="e">
        <f>#REF!*#REF!</f>
        <v>#REF!</v>
      </c>
      <c r="N732" s="178" t="e">
        <f>#REF!+K732+#REF!</f>
        <v>#REF!</v>
      </c>
      <c r="O732" s="181" t="e">
        <f t="shared" si="95"/>
        <v>#REF!</v>
      </c>
    </row>
    <row r="733" spans="1:15" s="193" customFormat="1" outlineLevel="2">
      <c r="A733" s="238"/>
      <c r="B733" s="236" t="s">
        <v>1039</v>
      </c>
      <c r="C733" s="190"/>
      <c r="D733" s="191"/>
      <c r="E733" s="176"/>
      <c r="F733" s="177"/>
      <c r="G733" s="192"/>
      <c r="H733" s="179"/>
      <c r="I733" s="339" t="e">
        <f>IF(#REF!="",#REF!*#REF!,IF(#REF!=0,#REF!*#REF!,#REF!*#REF!*#REF!))</f>
        <v>#REF!</v>
      </c>
      <c r="J733" s="180" t="e">
        <f>#REF!*#REF!</f>
        <v>#REF!</v>
      </c>
      <c r="K733" s="178" t="e">
        <f>#REF!*mo</f>
        <v>#REF!</v>
      </c>
      <c r="L733" s="178" t="e">
        <f t="shared" si="93"/>
        <v>#REF!</v>
      </c>
      <c r="M733" s="178" t="e">
        <f>#REF!*#REF!</f>
        <v>#REF!</v>
      </c>
      <c r="N733" s="178" t="e">
        <f>#REF!+K733+#REF!</f>
        <v>#REF!</v>
      </c>
      <c r="O733" s="181" t="e">
        <f t="shared" si="95"/>
        <v>#REF!</v>
      </c>
    </row>
    <row r="734" spans="1:15" s="193" customFormat="1" outlineLevel="2">
      <c r="A734" s="238"/>
      <c r="B734" s="212" t="s">
        <v>940</v>
      </c>
      <c r="C734" s="190" t="s">
        <v>123</v>
      </c>
      <c r="D734" s="191"/>
      <c r="E734" s="176"/>
      <c r="F734" s="177"/>
      <c r="G734" s="192"/>
      <c r="H734" s="179"/>
      <c r="I734" s="339" t="e">
        <f>IF(#REF!="",#REF!*#REF!,IF(#REF!=0,#REF!*#REF!,#REF!*#REF!*#REF!))</f>
        <v>#REF!</v>
      </c>
      <c r="J734" s="180" t="e">
        <f>#REF!*#REF!</f>
        <v>#REF!</v>
      </c>
      <c r="K734" s="178" t="e">
        <f>#REF!*mo</f>
        <v>#REF!</v>
      </c>
      <c r="L734" s="178" t="e">
        <f t="shared" si="93"/>
        <v>#REF!</v>
      </c>
      <c r="M734" s="178" t="e">
        <f>#REF!*#REF!</f>
        <v>#REF!</v>
      </c>
      <c r="N734" s="178" t="e">
        <f>#REF!+K734+#REF!</f>
        <v>#REF!</v>
      </c>
      <c r="O734" s="181" t="e">
        <f t="shared" si="95"/>
        <v>#REF!</v>
      </c>
    </row>
    <row r="735" spans="1:15" s="193" customFormat="1" outlineLevel="2">
      <c r="A735" s="238"/>
      <c r="B735" s="212" t="s">
        <v>1049</v>
      </c>
      <c r="C735" s="190" t="s">
        <v>123</v>
      </c>
      <c r="D735" s="191"/>
      <c r="E735" s="176"/>
      <c r="F735" s="177"/>
      <c r="G735" s="192"/>
      <c r="H735" s="179"/>
      <c r="I735" s="339" t="e">
        <f>IF(#REF!="",#REF!*#REF!,IF(#REF!=0,#REF!*#REF!,#REF!*#REF!*#REF!))</f>
        <v>#REF!</v>
      </c>
      <c r="J735" s="180" t="e">
        <f>#REF!*#REF!</f>
        <v>#REF!</v>
      </c>
      <c r="K735" s="178" t="e">
        <f>#REF!*mo</f>
        <v>#REF!</v>
      </c>
      <c r="L735" s="178" t="e">
        <f t="shared" si="93"/>
        <v>#REF!</v>
      </c>
      <c r="M735" s="178" t="e">
        <f>#REF!*#REF!</f>
        <v>#REF!</v>
      </c>
      <c r="N735" s="178" t="e">
        <f>#REF!+K735+#REF!</f>
        <v>#REF!</v>
      </c>
      <c r="O735" s="181" t="e">
        <f t="shared" si="95"/>
        <v>#REF!</v>
      </c>
    </row>
    <row r="736" spans="1:15" s="193" customFormat="1" outlineLevel="2">
      <c r="A736" s="238"/>
      <c r="B736" s="212" t="s">
        <v>1050</v>
      </c>
      <c r="C736" s="190" t="s">
        <v>123</v>
      </c>
      <c r="D736" s="191"/>
      <c r="E736" s="176"/>
      <c r="F736" s="177"/>
      <c r="G736" s="192"/>
      <c r="H736" s="179"/>
      <c r="I736" s="339" t="e">
        <f>IF(#REF!="",#REF!*#REF!,IF(#REF!=0,#REF!*#REF!,#REF!*#REF!*#REF!))</f>
        <v>#REF!</v>
      </c>
      <c r="J736" s="180" t="e">
        <f>#REF!*#REF!</f>
        <v>#REF!</v>
      </c>
      <c r="K736" s="178" t="e">
        <f>#REF!*mo</f>
        <v>#REF!</v>
      </c>
      <c r="L736" s="178" t="e">
        <f t="shared" si="93"/>
        <v>#REF!</v>
      </c>
      <c r="M736" s="178" t="e">
        <f>#REF!*#REF!</f>
        <v>#REF!</v>
      </c>
      <c r="N736" s="178" t="e">
        <f>#REF!+K736+#REF!</f>
        <v>#REF!</v>
      </c>
      <c r="O736" s="181" t="e">
        <f t="shared" si="95"/>
        <v>#REF!</v>
      </c>
    </row>
    <row r="737" spans="1:15" s="193" customFormat="1" outlineLevel="2">
      <c r="A737" s="238"/>
      <c r="B737" s="212" t="s">
        <v>943</v>
      </c>
      <c r="C737" s="190" t="s">
        <v>123</v>
      </c>
      <c r="D737" s="191"/>
      <c r="E737" s="176"/>
      <c r="F737" s="177"/>
      <c r="G737" s="192"/>
      <c r="H737" s="179"/>
      <c r="I737" s="339" t="e">
        <f>IF(#REF!="",#REF!*#REF!,IF(#REF!=0,#REF!*#REF!,#REF!*#REF!*#REF!))</f>
        <v>#REF!</v>
      </c>
      <c r="J737" s="180" t="e">
        <f>#REF!*#REF!</f>
        <v>#REF!</v>
      </c>
      <c r="K737" s="178" t="e">
        <f>#REF!*mo</f>
        <v>#REF!</v>
      </c>
      <c r="L737" s="178" t="e">
        <f t="shared" si="93"/>
        <v>#REF!</v>
      </c>
      <c r="M737" s="178" t="e">
        <f>#REF!*#REF!</f>
        <v>#REF!</v>
      </c>
      <c r="N737" s="178" t="e">
        <f>#REF!+K737+#REF!</f>
        <v>#REF!</v>
      </c>
      <c r="O737" s="181" t="e">
        <f t="shared" si="95"/>
        <v>#REF!</v>
      </c>
    </row>
    <row r="738" spans="1:15" s="193" customFormat="1" outlineLevel="2">
      <c r="A738" s="238"/>
      <c r="B738" s="212" t="s">
        <v>868</v>
      </c>
      <c r="C738" s="190" t="s">
        <v>123</v>
      </c>
      <c r="D738" s="191"/>
      <c r="E738" s="176"/>
      <c r="F738" s="177"/>
      <c r="G738" s="192"/>
      <c r="H738" s="179"/>
      <c r="I738" s="339" t="e">
        <f>IF(#REF!="",#REF!*#REF!,IF(#REF!=0,#REF!*#REF!,#REF!*#REF!*#REF!))</f>
        <v>#REF!</v>
      </c>
      <c r="J738" s="180" t="e">
        <f>#REF!*#REF!</f>
        <v>#REF!</v>
      </c>
      <c r="K738" s="178" t="e">
        <f>#REF!*mo</f>
        <v>#REF!</v>
      </c>
      <c r="L738" s="178" t="e">
        <f t="shared" si="93"/>
        <v>#REF!</v>
      </c>
      <c r="M738" s="178" t="e">
        <f>#REF!*#REF!</f>
        <v>#REF!</v>
      </c>
      <c r="N738" s="178" t="e">
        <f>#REF!+K738+#REF!</f>
        <v>#REF!</v>
      </c>
      <c r="O738" s="181" t="e">
        <f t="shared" si="95"/>
        <v>#REF!</v>
      </c>
    </row>
    <row r="739" spans="1:15" s="193" customFormat="1" outlineLevel="2">
      <c r="A739" s="238"/>
      <c r="B739" s="212" t="s">
        <v>869</v>
      </c>
      <c r="C739" s="190" t="s">
        <v>123</v>
      </c>
      <c r="D739" s="191"/>
      <c r="E739" s="176"/>
      <c r="F739" s="177"/>
      <c r="G739" s="192"/>
      <c r="H739" s="179"/>
      <c r="I739" s="339" t="e">
        <f>IF(#REF!="",#REF!*#REF!,IF(#REF!=0,#REF!*#REF!,#REF!*#REF!*#REF!))</f>
        <v>#REF!</v>
      </c>
      <c r="J739" s="180" t="e">
        <f>#REF!*#REF!</f>
        <v>#REF!</v>
      </c>
      <c r="K739" s="178" t="e">
        <f>#REF!*mo</f>
        <v>#REF!</v>
      </c>
      <c r="L739" s="178" t="e">
        <f t="shared" si="93"/>
        <v>#REF!</v>
      </c>
      <c r="M739" s="178" t="e">
        <f>#REF!*#REF!</f>
        <v>#REF!</v>
      </c>
      <c r="N739" s="178" t="e">
        <f>#REF!+K739+#REF!</f>
        <v>#REF!</v>
      </c>
      <c r="O739" s="181" t="e">
        <f t="shared" si="95"/>
        <v>#REF!</v>
      </c>
    </row>
    <row r="740" spans="1:15" s="193" customFormat="1" outlineLevel="2">
      <c r="A740" s="238"/>
      <c r="B740" s="212" t="s">
        <v>870</v>
      </c>
      <c r="C740" s="190" t="s">
        <v>123</v>
      </c>
      <c r="D740" s="191"/>
      <c r="E740" s="176"/>
      <c r="F740" s="177"/>
      <c r="G740" s="192"/>
      <c r="H740" s="179"/>
      <c r="I740" s="339" t="e">
        <f>IF(#REF!="",#REF!*#REF!,IF(#REF!=0,#REF!*#REF!,#REF!*#REF!*#REF!))</f>
        <v>#REF!</v>
      </c>
      <c r="J740" s="180" t="e">
        <f>#REF!*#REF!</f>
        <v>#REF!</v>
      </c>
      <c r="K740" s="178" t="e">
        <f>#REF!*mo</f>
        <v>#REF!</v>
      </c>
      <c r="L740" s="178" t="e">
        <f t="shared" si="93"/>
        <v>#REF!</v>
      </c>
      <c r="M740" s="178" t="e">
        <f>#REF!*#REF!</f>
        <v>#REF!</v>
      </c>
      <c r="N740" s="178" t="e">
        <f>#REF!+K740+#REF!</f>
        <v>#REF!</v>
      </c>
      <c r="O740" s="181" t="e">
        <f t="shared" si="95"/>
        <v>#REF!</v>
      </c>
    </row>
    <row r="741" spans="1:15" s="193" customFormat="1" outlineLevel="2">
      <c r="A741" s="238"/>
      <c r="B741" s="212" t="s">
        <v>871</v>
      </c>
      <c r="C741" s="190" t="s">
        <v>123</v>
      </c>
      <c r="D741" s="191"/>
      <c r="E741" s="176"/>
      <c r="F741" s="177"/>
      <c r="G741" s="192"/>
      <c r="H741" s="179"/>
      <c r="I741" s="339" t="e">
        <f>IF(#REF!="",#REF!*#REF!,IF(#REF!=0,#REF!*#REF!,#REF!*#REF!*#REF!))</f>
        <v>#REF!</v>
      </c>
      <c r="J741" s="180" t="e">
        <f>#REF!*#REF!</f>
        <v>#REF!</v>
      </c>
      <c r="K741" s="178" t="e">
        <f>#REF!*mo</f>
        <v>#REF!</v>
      </c>
      <c r="L741" s="178" t="e">
        <f t="shared" si="93"/>
        <v>#REF!</v>
      </c>
      <c r="M741" s="178" t="e">
        <f>#REF!*#REF!</f>
        <v>#REF!</v>
      </c>
      <c r="N741" s="178" t="e">
        <f>#REF!+K741+#REF!</f>
        <v>#REF!</v>
      </c>
      <c r="O741" s="181" t="e">
        <f t="shared" si="95"/>
        <v>#REF!</v>
      </c>
    </row>
    <row r="742" spans="1:15" s="193" customFormat="1" outlineLevel="2">
      <c r="A742" s="238"/>
      <c r="B742" s="212" t="s">
        <v>1041</v>
      </c>
      <c r="C742" s="190" t="s">
        <v>123</v>
      </c>
      <c r="D742" s="191"/>
      <c r="E742" s="176"/>
      <c r="F742" s="177"/>
      <c r="G742" s="192"/>
      <c r="H742" s="179"/>
      <c r="I742" s="339" t="e">
        <f>IF(#REF!="",#REF!*#REF!,IF(#REF!=0,#REF!*#REF!,#REF!*#REF!*#REF!))</f>
        <v>#REF!</v>
      </c>
      <c r="J742" s="180" t="e">
        <f>#REF!*#REF!</f>
        <v>#REF!</v>
      </c>
      <c r="K742" s="178" t="e">
        <f>#REF!*mo</f>
        <v>#REF!</v>
      </c>
      <c r="L742" s="178" t="e">
        <f t="shared" si="93"/>
        <v>#REF!</v>
      </c>
      <c r="M742" s="178" t="e">
        <f>#REF!*#REF!</f>
        <v>#REF!</v>
      </c>
      <c r="N742" s="178" t="e">
        <f>#REF!+K742+#REF!</f>
        <v>#REF!</v>
      </c>
      <c r="O742" s="181" t="e">
        <f t="shared" si="95"/>
        <v>#REF!</v>
      </c>
    </row>
    <row r="743" spans="1:15" s="193" customFormat="1" ht="12" customHeight="1" outlineLevel="2">
      <c r="A743" s="238"/>
      <c r="B743" s="234"/>
      <c r="C743" s="190"/>
      <c r="D743" s="191"/>
      <c r="E743" s="176"/>
      <c r="F743" s="177"/>
      <c r="G743" s="192"/>
      <c r="H743" s="179"/>
      <c r="I743" s="339" t="e">
        <f>IF(#REF!="",#REF!*#REF!,IF(#REF!=0,#REF!*#REF!,#REF!*#REF!*#REF!))</f>
        <v>#REF!</v>
      </c>
      <c r="J743" s="180" t="e">
        <f>#REF!*#REF!</f>
        <v>#REF!</v>
      </c>
      <c r="K743" s="178" t="e">
        <f>#REF!*mo</f>
        <v>#REF!</v>
      </c>
      <c r="L743" s="178" t="e">
        <f t="shared" si="93"/>
        <v>#REF!</v>
      </c>
      <c r="M743" s="178" t="e">
        <f>#REF!*#REF!</f>
        <v>#REF!</v>
      </c>
      <c r="N743" s="178" t="e">
        <f>#REF!+K743+#REF!</f>
        <v>#REF!</v>
      </c>
      <c r="O743" s="181" t="e">
        <f t="shared" si="95"/>
        <v>#REF!</v>
      </c>
    </row>
    <row r="744" spans="1:15" s="193" customFormat="1" outlineLevel="2">
      <c r="A744" s="238"/>
      <c r="B744" s="212" t="s">
        <v>1023</v>
      </c>
      <c r="C744" s="190" t="s">
        <v>123</v>
      </c>
      <c r="D744" s="191"/>
      <c r="E744" s="176"/>
      <c r="F744" s="177"/>
      <c r="G744" s="192"/>
      <c r="H744" s="179"/>
      <c r="I744" s="339" t="e">
        <f>IF(#REF!="",#REF!*#REF!,IF(#REF!=0,#REF!*#REF!,#REF!*#REF!*#REF!))</f>
        <v>#REF!</v>
      </c>
      <c r="J744" s="180" t="e">
        <f>#REF!*#REF!</f>
        <v>#REF!</v>
      </c>
      <c r="K744" s="178" t="e">
        <f>#REF!*mo</f>
        <v>#REF!</v>
      </c>
      <c r="L744" s="178" t="e">
        <f t="shared" si="93"/>
        <v>#REF!</v>
      </c>
      <c r="M744" s="178" t="e">
        <f>#REF!*#REF!</f>
        <v>#REF!</v>
      </c>
      <c r="N744" s="178" t="e">
        <f>#REF!+K744+#REF!</f>
        <v>#REF!</v>
      </c>
      <c r="O744" s="181" t="e">
        <f t="shared" si="95"/>
        <v>#REF!</v>
      </c>
    </row>
    <row r="745" spans="1:15" s="193" customFormat="1" outlineLevel="2">
      <c r="A745" s="155"/>
      <c r="B745" s="156"/>
      <c r="C745" s="190"/>
      <c r="D745" s="191"/>
      <c r="E745" s="176"/>
      <c r="F745" s="177"/>
      <c r="G745" s="192"/>
      <c r="H745" s="179"/>
      <c r="I745" s="339" t="e">
        <f>IF(#REF!="",#REF!*#REF!,IF(#REF!=0,#REF!*#REF!,#REF!*#REF!*#REF!))</f>
        <v>#REF!</v>
      </c>
      <c r="J745" s="180" t="e">
        <f>#REF!*#REF!</f>
        <v>#REF!</v>
      </c>
      <c r="K745" s="178" t="e">
        <f>#REF!*mo</f>
        <v>#REF!</v>
      </c>
      <c r="L745" s="178" t="e">
        <f t="shared" si="93"/>
        <v>#REF!</v>
      </c>
      <c r="M745" s="178" t="e">
        <f>#REF!*#REF!</f>
        <v>#REF!</v>
      </c>
      <c r="N745" s="178" t="e">
        <f>#REF!+K745+#REF!</f>
        <v>#REF!</v>
      </c>
      <c r="O745" s="181" t="e">
        <f t="shared" si="95"/>
        <v>#REF!</v>
      </c>
    </row>
    <row r="746" spans="1:15" s="193" customFormat="1" outlineLevel="2">
      <c r="A746" s="238"/>
      <c r="B746" s="237"/>
      <c r="C746" s="190"/>
      <c r="D746" s="191"/>
      <c r="E746" s="176"/>
      <c r="F746" s="177"/>
      <c r="G746" s="192"/>
      <c r="H746" s="179"/>
      <c r="I746" s="339" t="e">
        <f>IF(#REF!="",#REF!*#REF!,IF(#REF!=0,#REF!*#REF!,#REF!*#REF!*#REF!))</f>
        <v>#REF!</v>
      </c>
      <c r="J746" s="180" t="e">
        <f>#REF!*#REF!</f>
        <v>#REF!</v>
      </c>
      <c r="K746" s="178" t="e">
        <f>#REF!*mo</f>
        <v>#REF!</v>
      </c>
      <c r="L746" s="178" t="e">
        <f t="shared" si="91"/>
        <v>#REF!</v>
      </c>
      <c r="M746" s="178" t="e">
        <f>#REF!*#REF!</f>
        <v>#REF!</v>
      </c>
      <c r="N746" s="178" t="e">
        <f>#REF!+K746+#REF!</f>
        <v>#REF!</v>
      </c>
      <c r="O746" s="181" t="e">
        <f t="shared" si="95"/>
        <v>#REF!</v>
      </c>
    </row>
    <row r="747" spans="1:15" s="193" customFormat="1" outlineLevel="1">
      <c r="A747" s="240" t="str">
        <f>$A$693&amp;".3"</f>
        <v>7.3.3</v>
      </c>
      <c r="B747" s="210" t="s">
        <v>1061</v>
      </c>
      <c r="C747" s="190"/>
      <c r="D747" s="191"/>
      <c r="E747" s="176"/>
      <c r="F747" s="177"/>
      <c r="G747" s="192">
        <f>SUM(F748:F774)</f>
        <v>0</v>
      </c>
      <c r="H747" s="179"/>
      <c r="I747" s="339" t="e">
        <f>IF(#REF!="",#REF!*#REF!,IF(#REF!=0,#REF!*#REF!,#REF!*#REF!*#REF!))</f>
        <v>#REF!</v>
      </c>
      <c r="J747" s="180" t="e">
        <f>#REF!*#REF!</f>
        <v>#REF!</v>
      </c>
      <c r="K747" s="178" t="e">
        <f>#REF!*mo</f>
        <v>#REF!</v>
      </c>
      <c r="L747" s="178" t="e">
        <f t="shared" si="91"/>
        <v>#REF!</v>
      </c>
      <c r="M747" s="178" t="e">
        <f>#REF!*#REF!</f>
        <v>#REF!</v>
      </c>
      <c r="N747" s="178" t="e">
        <f>#REF!+K747+#REF!</f>
        <v>#REF!</v>
      </c>
      <c r="O747" s="181" t="e">
        <f t="shared" si="95"/>
        <v>#REF!</v>
      </c>
    </row>
    <row r="748" spans="1:15" s="193" customFormat="1" outlineLevel="2">
      <c r="A748" s="240"/>
      <c r="B748" s="233"/>
      <c r="C748" s="190"/>
      <c r="D748" s="191"/>
      <c r="E748" s="176"/>
      <c r="F748" s="177"/>
      <c r="G748" s="192"/>
      <c r="H748" s="179"/>
      <c r="I748" s="339" t="e">
        <f>IF(#REF!="",#REF!*#REF!,IF(#REF!=0,#REF!*#REF!,#REF!*#REF!*#REF!))</f>
        <v>#REF!</v>
      </c>
      <c r="J748" s="180" t="e">
        <f>#REF!*#REF!</f>
        <v>#REF!</v>
      </c>
      <c r="K748" s="178" t="e">
        <f>#REF!*mo</f>
        <v>#REF!</v>
      </c>
      <c r="L748" s="178" t="e">
        <f t="shared" si="91"/>
        <v>#REF!</v>
      </c>
      <c r="M748" s="178" t="e">
        <f>#REF!*#REF!</f>
        <v>#REF!</v>
      </c>
      <c r="N748" s="178" t="e">
        <f>#REF!+K748+#REF!</f>
        <v>#REF!</v>
      </c>
      <c r="O748" s="181" t="e">
        <f t="shared" si="95"/>
        <v>#REF!</v>
      </c>
    </row>
    <row r="749" spans="1:15" s="193" customFormat="1" outlineLevel="2">
      <c r="A749" s="238"/>
      <c r="B749" s="236" t="s">
        <v>1002</v>
      </c>
      <c r="C749" s="190"/>
      <c r="D749" s="191"/>
      <c r="E749" s="176"/>
      <c r="F749" s="177"/>
      <c r="G749" s="192"/>
      <c r="H749" s="179"/>
      <c r="I749" s="339" t="e">
        <f>IF(#REF!="",#REF!*#REF!,IF(#REF!=0,#REF!*#REF!,#REF!*#REF!*#REF!))</f>
        <v>#REF!</v>
      </c>
      <c r="J749" s="180" t="e">
        <f>#REF!*#REF!</f>
        <v>#REF!</v>
      </c>
      <c r="K749" s="178" t="e">
        <f>#REF!*mo</f>
        <v>#REF!</v>
      </c>
      <c r="L749" s="178" t="e">
        <f t="shared" si="91"/>
        <v>#REF!</v>
      </c>
      <c r="M749" s="178" t="e">
        <f>#REF!*#REF!</f>
        <v>#REF!</v>
      </c>
      <c r="N749" s="178" t="e">
        <f>#REF!+K749+#REF!</f>
        <v>#REF!</v>
      </c>
      <c r="O749" s="181" t="e">
        <f t="shared" si="95"/>
        <v>#REF!</v>
      </c>
    </row>
    <row r="750" spans="1:15" s="193" customFormat="1" outlineLevel="2">
      <c r="A750" s="238"/>
      <c r="B750" s="212" t="s">
        <v>874</v>
      </c>
      <c r="C750" s="190" t="s">
        <v>123</v>
      </c>
      <c r="D750" s="191"/>
      <c r="E750" s="176"/>
      <c r="F750" s="177"/>
      <c r="G750" s="192"/>
      <c r="H750" s="179"/>
      <c r="I750" s="339" t="e">
        <f>IF(#REF!="",#REF!*#REF!,IF(#REF!=0,#REF!*#REF!,#REF!*#REF!*#REF!))</f>
        <v>#REF!</v>
      </c>
      <c r="J750" s="180" t="e">
        <f>#REF!*#REF!</f>
        <v>#REF!</v>
      </c>
      <c r="K750" s="178" t="e">
        <f>#REF!*mo</f>
        <v>#REF!</v>
      </c>
      <c r="L750" s="178" t="e">
        <f t="shared" si="91"/>
        <v>#REF!</v>
      </c>
      <c r="M750" s="178" t="e">
        <f>#REF!*#REF!</f>
        <v>#REF!</v>
      </c>
      <c r="N750" s="178" t="e">
        <f>#REF!+K750+#REF!</f>
        <v>#REF!</v>
      </c>
      <c r="O750" s="181" t="e">
        <f t="shared" si="95"/>
        <v>#REF!</v>
      </c>
    </row>
    <row r="751" spans="1:15" s="193" customFormat="1" outlineLevel="2">
      <c r="A751" s="238"/>
      <c r="B751" s="212" t="s">
        <v>875</v>
      </c>
      <c r="C751" s="190" t="s">
        <v>123</v>
      </c>
      <c r="D751" s="191"/>
      <c r="E751" s="176"/>
      <c r="F751" s="177"/>
      <c r="G751" s="192"/>
      <c r="H751" s="179"/>
      <c r="I751" s="339" t="e">
        <f>IF(#REF!="",#REF!*#REF!,IF(#REF!=0,#REF!*#REF!,#REF!*#REF!*#REF!))</f>
        <v>#REF!</v>
      </c>
      <c r="J751" s="180" t="e">
        <f>#REF!*#REF!</f>
        <v>#REF!</v>
      </c>
      <c r="K751" s="178" t="e">
        <f>#REF!*mo</f>
        <v>#REF!</v>
      </c>
      <c r="L751" s="178" t="e">
        <f t="shared" si="91"/>
        <v>#REF!</v>
      </c>
      <c r="M751" s="178" t="e">
        <f>#REF!*#REF!</f>
        <v>#REF!</v>
      </c>
      <c r="N751" s="178" t="e">
        <f>#REF!+K751+#REF!</f>
        <v>#REF!</v>
      </c>
      <c r="O751" s="181" t="e">
        <f t="shared" si="95"/>
        <v>#REF!</v>
      </c>
    </row>
    <row r="752" spans="1:15" s="193" customFormat="1" outlineLevel="2">
      <c r="A752" s="238"/>
      <c r="B752" s="212" t="s">
        <v>876</v>
      </c>
      <c r="C752" s="190" t="s">
        <v>123</v>
      </c>
      <c r="D752" s="191"/>
      <c r="E752" s="176"/>
      <c r="F752" s="177"/>
      <c r="G752" s="192"/>
      <c r="H752" s="179"/>
      <c r="I752" s="339" t="e">
        <f>IF(#REF!="",#REF!*#REF!,IF(#REF!=0,#REF!*#REF!,#REF!*#REF!*#REF!))</f>
        <v>#REF!</v>
      </c>
      <c r="J752" s="180" t="e">
        <f>#REF!*#REF!</f>
        <v>#REF!</v>
      </c>
      <c r="K752" s="178" t="e">
        <f>#REF!*mo</f>
        <v>#REF!</v>
      </c>
      <c r="L752" s="178" t="e">
        <f t="shared" si="91"/>
        <v>#REF!</v>
      </c>
      <c r="M752" s="178" t="e">
        <f>#REF!*#REF!</f>
        <v>#REF!</v>
      </c>
      <c r="N752" s="178" t="e">
        <f>#REF!+K752+#REF!</f>
        <v>#REF!</v>
      </c>
      <c r="O752" s="181" t="e">
        <f t="shared" si="95"/>
        <v>#REF!</v>
      </c>
    </row>
    <row r="753" spans="1:15" s="193" customFormat="1" outlineLevel="2">
      <c r="A753" s="238"/>
      <c r="B753" s="212" t="s">
        <v>877</v>
      </c>
      <c r="C753" s="190" t="s">
        <v>123</v>
      </c>
      <c r="D753" s="191"/>
      <c r="E753" s="176"/>
      <c r="F753" s="177"/>
      <c r="G753" s="192"/>
      <c r="H753" s="179"/>
      <c r="I753" s="339" t="e">
        <f>IF(#REF!="",#REF!*#REF!,IF(#REF!=0,#REF!*#REF!,#REF!*#REF!*#REF!))</f>
        <v>#REF!</v>
      </c>
      <c r="J753" s="180" t="e">
        <f>#REF!*#REF!</f>
        <v>#REF!</v>
      </c>
      <c r="K753" s="178" t="e">
        <f>#REF!*mo</f>
        <v>#REF!</v>
      </c>
      <c r="L753" s="178" t="e">
        <f t="shared" si="91"/>
        <v>#REF!</v>
      </c>
      <c r="M753" s="178" t="e">
        <f>#REF!*#REF!</f>
        <v>#REF!</v>
      </c>
      <c r="N753" s="178" t="e">
        <f>#REF!+K753+#REF!</f>
        <v>#REF!</v>
      </c>
      <c r="O753" s="181" t="e">
        <f t="shared" si="95"/>
        <v>#REF!</v>
      </c>
    </row>
    <row r="754" spans="1:15" s="193" customFormat="1" outlineLevel="2">
      <c r="A754" s="238"/>
      <c r="B754" s="212" t="s">
        <v>878</v>
      </c>
      <c r="C754" s="190" t="s">
        <v>123</v>
      </c>
      <c r="D754" s="191"/>
      <c r="E754" s="176"/>
      <c r="F754" s="177"/>
      <c r="G754" s="192"/>
      <c r="H754" s="179"/>
      <c r="I754" s="339" t="e">
        <f>IF(#REF!="",#REF!*#REF!,IF(#REF!=0,#REF!*#REF!,#REF!*#REF!*#REF!))</f>
        <v>#REF!</v>
      </c>
      <c r="J754" s="180" t="e">
        <f>#REF!*#REF!</f>
        <v>#REF!</v>
      </c>
      <c r="K754" s="178" t="e">
        <f>#REF!*mo</f>
        <v>#REF!</v>
      </c>
      <c r="L754" s="178" t="e">
        <f t="shared" si="91"/>
        <v>#REF!</v>
      </c>
      <c r="M754" s="178" t="e">
        <f>#REF!*#REF!</f>
        <v>#REF!</v>
      </c>
      <c r="N754" s="178" t="e">
        <f>#REF!+K754+#REF!</f>
        <v>#REF!</v>
      </c>
      <c r="O754" s="181" t="e">
        <f t="shared" si="95"/>
        <v>#REF!</v>
      </c>
    </row>
    <row r="755" spans="1:15" s="193" customFormat="1" outlineLevel="2">
      <c r="A755" s="238"/>
      <c r="B755" s="212" t="s">
        <v>879</v>
      </c>
      <c r="C755" s="190" t="s">
        <v>123</v>
      </c>
      <c r="D755" s="191"/>
      <c r="E755" s="176"/>
      <c r="F755" s="177"/>
      <c r="G755" s="192"/>
      <c r="H755" s="179"/>
      <c r="I755" s="339" t="e">
        <f>IF(#REF!="",#REF!*#REF!,IF(#REF!=0,#REF!*#REF!,#REF!*#REF!*#REF!))</f>
        <v>#REF!</v>
      </c>
      <c r="J755" s="180" t="e">
        <f>#REF!*#REF!</f>
        <v>#REF!</v>
      </c>
      <c r="K755" s="178" t="e">
        <f>#REF!*mo</f>
        <v>#REF!</v>
      </c>
      <c r="L755" s="178" t="e">
        <f t="shared" si="91"/>
        <v>#REF!</v>
      </c>
      <c r="M755" s="178" t="e">
        <f>#REF!*#REF!</f>
        <v>#REF!</v>
      </c>
      <c r="N755" s="178" t="e">
        <f>#REF!+K755+#REF!</f>
        <v>#REF!</v>
      </c>
      <c r="O755" s="181" t="e">
        <f t="shared" si="95"/>
        <v>#REF!</v>
      </c>
    </row>
    <row r="756" spans="1:15" s="193" customFormat="1" outlineLevel="2">
      <c r="A756" s="238"/>
      <c r="B756" s="212"/>
      <c r="C756" s="190"/>
      <c r="D756" s="191"/>
      <c r="E756" s="176"/>
      <c r="F756" s="177"/>
      <c r="G756" s="192"/>
      <c r="H756" s="179"/>
      <c r="I756" s="339" t="e">
        <f>IF(#REF!="",#REF!*#REF!,IF(#REF!=0,#REF!*#REF!,#REF!*#REF!*#REF!))</f>
        <v>#REF!</v>
      </c>
      <c r="J756" s="180" t="e">
        <f>#REF!*#REF!</f>
        <v>#REF!</v>
      </c>
      <c r="K756" s="178" t="e">
        <f>#REF!*mo</f>
        <v>#REF!</v>
      </c>
      <c r="L756" s="178" t="e">
        <f t="shared" si="91"/>
        <v>#REF!</v>
      </c>
      <c r="M756" s="178" t="e">
        <f>#REF!*#REF!</f>
        <v>#REF!</v>
      </c>
      <c r="N756" s="178" t="e">
        <f>#REF!+K756+#REF!</f>
        <v>#REF!</v>
      </c>
      <c r="O756" s="181" t="e">
        <f t="shared" si="95"/>
        <v>#REF!</v>
      </c>
    </row>
    <row r="757" spans="1:15" s="193" customFormat="1" outlineLevel="2">
      <c r="A757" s="238"/>
      <c r="B757" s="236" t="s">
        <v>1062</v>
      </c>
      <c r="C757" s="190"/>
      <c r="D757" s="191"/>
      <c r="E757" s="176"/>
      <c r="F757" s="177"/>
      <c r="G757" s="192"/>
      <c r="H757" s="179"/>
      <c r="I757" s="339" t="e">
        <f>IF(#REF!="",#REF!*#REF!,IF(#REF!=0,#REF!*#REF!,#REF!*#REF!*#REF!))</f>
        <v>#REF!</v>
      </c>
      <c r="J757" s="180" t="e">
        <f>#REF!*#REF!</f>
        <v>#REF!</v>
      </c>
      <c r="K757" s="178" t="e">
        <f>#REF!*mo</f>
        <v>#REF!</v>
      </c>
      <c r="L757" s="178" t="e">
        <f t="shared" si="91"/>
        <v>#REF!</v>
      </c>
      <c r="M757" s="178" t="e">
        <f>#REF!*#REF!</f>
        <v>#REF!</v>
      </c>
      <c r="N757" s="178" t="e">
        <f>#REF!+K757+#REF!</f>
        <v>#REF!</v>
      </c>
      <c r="O757" s="181" t="e">
        <f t="shared" si="95"/>
        <v>#REF!</v>
      </c>
    </row>
    <row r="758" spans="1:15" s="193" customFormat="1" outlineLevel="2">
      <c r="A758" s="238"/>
      <c r="B758" s="212" t="s">
        <v>996</v>
      </c>
      <c r="C758" s="190"/>
      <c r="D758" s="191"/>
      <c r="E758" s="176"/>
      <c r="F758" s="177"/>
      <c r="G758" s="192"/>
      <c r="H758" s="179"/>
      <c r="I758" s="339"/>
      <c r="J758" s="180"/>
      <c r="K758" s="178"/>
      <c r="L758" s="178"/>
      <c r="M758" s="178"/>
      <c r="N758" s="178"/>
      <c r="O758" s="181"/>
    </row>
    <row r="759" spans="1:15" s="193" customFormat="1" outlineLevel="2">
      <c r="A759" s="238"/>
      <c r="B759" s="212" t="s">
        <v>997</v>
      </c>
      <c r="C759" s="190" t="s">
        <v>123</v>
      </c>
      <c r="D759" s="191"/>
      <c r="E759" s="176"/>
      <c r="F759" s="177"/>
      <c r="G759" s="192"/>
      <c r="H759" s="179"/>
      <c r="I759" s="339" t="e">
        <f>IF(#REF!="",#REF!*#REF!,IF(#REF!=0,#REF!*#REF!,#REF!*#REF!*#REF!))</f>
        <v>#REF!</v>
      </c>
      <c r="J759" s="180" t="e">
        <f>#REF!*#REF!</f>
        <v>#REF!</v>
      </c>
      <c r="K759" s="178" t="e">
        <f>#REF!*mo</f>
        <v>#REF!</v>
      </c>
      <c r="L759" s="178" t="e">
        <f t="shared" si="91"/>
        <v>#REF!</v>
      </c>
      <c r="M759" s="178" t="e">
        <f>#REF!*#REF!</f>
        <v>#REF!</v>
      </c>
      <c r="N759" s="178" t="e">
        <f>#REF!+K759+#REF!</f>
        <v>#REF!</v>
      </c>
      <c r="O759" s="181" t="e">
        <f t="shared" si="95"/>
        <v>#REF!</v>
      </c>
    </row>
    <row r="760" spans="1:15" s="193" customFormat="1" outlineLevel="2">
      <c r="A760" s="238"/>
      <c r="B760" s="212" t="s">
        <v>998</v>
      </c>
      <c r="C760" s="190" t="s">
        <v>123</v>
      </c>
      <c r="D760" s="191"/>
      <c r="E760" s="176"/>
      <c r="F760" s="177"/>
      <c r="G760" s="192"/>
      <c r="H760" s="179"/>
      <c r="I760" s="339" t="e">
        <f>IF(#REF!="",#REF!*#REF!,IF(#REF!=0,#REF!*#REF!,#REF!*#REF!*#REF!))</f>
        <v>#REF!</v>
      </c>
      <c r="J760" s="180" t="e">
        <f>#REF!*#REF!</f>
        <v>#REF!</v>
      </c>
      <c r="K760" s="178" t="e">
        <f>#REF!*mo</f>
        <v>#REF!</v>
      </c>
      <c r="L760" s="178" t="e">
        <f t="shared" si="91"/>
        <v>#REF!</v>
      </c>
      <c r="M760" s="178" t="e">
        <f>#REF!*#REF!</f>
        <v>#REF!</v>
      </c>
      <c r="N760" s="178" t="e">
        <f>#REF!+K760+#REF!</f>
        <v>#REF!</v>
      </c>
      <c r="O760" s="181" t="e">
        <f t="shared" si="95"/>
        <v>#REF!</v>
      </c>
    </row>
    <row r="761" spans="1:15" s="193" customFormat="1" outlineLevel="2">
      <c r="A761" s="238"/>
      <c r="B761" s="212" t="s">
        <v>999</v>
      </c>
      <c r="C761" s="190" t="s">
        <v>123</v>
      </c>
      <c r="D761" s="191"/>
      <c r="E761" s="176"/>
      <c r="F761" s="177"/>
      <c r="G761" s="192"/>
      <c r="H761" s="179"/>
      <c r="I761" s="339" t="e">
        <f>IF(#REF!="",#REF!*#REF!,IF(#REF!=0,#REF!*#REF!,#REF!*#REF!*#REF!))</f>
        <v>#REF!</v>
      </c>
      <c r="J761" s="180" t="e">
        <f>#REF!*#REF!</f>
        <v>#REF!</v>
      </c>
      <c r="K761" s="178" t="e">
        <f>#REF!*mo</f>
        <v>#REF!</v>
      </c>
      <c r="L761" s="178" t="e">
        <f t="shared" si="91"/>
        <v>#REF!</v>
      </c>
      <c r="M761" s="178" t="e">
        <f>#REF!*#REF!</f>
        <v>#REF!</v>
      </c>
      <c r="N761" s="178" t="e">
        <f>#REF!+K761+#REF!</f>
        <v>#REF!</v>
      </c>
      <c r="O761" s="181" t="e">
        <f t="shared" si="95"/>
        <v>#REF!</v>
      </c>
    </row>
    <row r="762" spans="1:15" s="193" customFormat="1" outlineLevel="2">
      <c r="A762" s="238"/>
      <c r="B762" s="212"/>
      <c r="C762" s="190"/>
      <c r="D762" s="191"/>
      <c r="E762" s="176"/>
      <c r="F762" s="177"/>
      <c r="G762" s="192"/>
      <c r="H762" s="179"/>
      <c r="I762" s="339" t="e">
        <f>IF(#REF!="",#REF!*#REF!,IF(#REF!=0,#REF!*#REF!,#REF!*#REF!*#REF!))</f>
        <v>#REF!</v>
      </c>
      <c r="J762" s="180" t="e">
        <f>#REF!*#REF!</f>
        <v>#REF!</v>
      </c>
      <c r="K762" s="178" t="e">
        <f>#REF!*mo</f>
        <v>#REF!</v>
      </c>
      <c r="L762" s="178" t="e">
        <f t="shared" si="91"/>
        <v>#REF!</v>
      </c>
      <c r="M762" s="178" t="e">
        <f>#REF!*#REF!</f>
        <v>#REF!</v>
      </c>
      <c r="N762" s="178" t="e">
        <f>#REF!+K762+#REF!</f>
        <v>#REF!</v>
      </c>
      <c r="O762" s="181" t="e">
        <f t="shared" si="95"/>
        <v>#REF!</v>
      </c>
    </row>
    <row r="763" spans="1:15" s="193" customFormat="1" outlineLevel="2">
      <c r="A763" s="238"/>
      <c r="B763" s="212" t="s">
        <v>1054</v>
      </c>
      <c r="C763" s="190" t="s">
        <v>795</v>
      </c>
      <c r="D763" s="191"/>
      <c r="E763" s="176"/>
      <c r="F763" s="177"/>
      <c r="G763" s="192"/>
      <c r="H763" s="179"/>
      <c r="I763" s="339" t="e">
        <f>IF(#REF!="",#REF!*#REF!,IF(#REF!=0,#REF!*#REF!,#REF!*#REF!*#REF!))</f>
        <v>#REF!</v>
      </c>
      <c r="J763" s="180" t="e">
        <f>#REF!*#REF!</f>
        <v>#REF!</v>
      </c>
      <c r="K763" s="178" t="e">
        <f>#REF!*mo</f>
        <v>#REF!</v>
      </c>
      <c r="L763" s="178" t="e">
        <f t="shared" si="91"/>
        <v>#REF!</v>
      </c>
      <c r="M763" s="178" t="e">
        <f>#REF!*#REF!</f>
        <v>#REF!</v>
      </c>
      <c r="N763" s="178" t="e">
        <f>#REF!+K763+#REF!</f>
        <v>#REF!</v>
      </c>
      <c r="O763" s="181" t="e">
        <f t="shared" si="95"/>
        <v>#REF!</v>
      </c>
    </row>
    <row r="764" spans="1:15" s="193" customFormat="1" outlineLevel="2">
      <c r="A764" s="238"/>
      <c r="B764" s="212" t="s">
        <v>1063</v>
      </c>
      <c r="C764" s="190"/>
      <c r="D764" s="191"/>
      <c r="E764" s="176"/>
      <c r="F764" s="177"/>
      <c r="G764" s="192"/>
      <c r="H764" s="179"/>
      <c r="I764" s="339" t="e">
        <f>IF(#REF!="",#REF!*#REF!,IF(#REF!=0,#REF!*#REF!,#REF!*#REF!*#REF!))</f>
        <v>#REF!</v>
      </c>
      <c r="J764" s="180" t="e">
        <f>#REF!*#REF!</f>
        <v>#REF!</v>
      </c>
      <c r="K764" s="178" t="e">
        <f>#REF!*mo</f>
        <v>#REF!</v>
      </c>
      <c r="L764" s="178" t="e">
        <f t="shared" ref="L764:L769" si="96">J764*mo</f>
        <v>#REF!</v>
      </c>
      <c r="M764" s="178" t="e">
        <f>#REF!*#REF!</f>
        <v>#REF!</v>
      </c>
      <c r="N764" s="178" t="e">
        <f>#REF!+K764+#REF!</f>
        <v>#REF!</v>
      </c>
      <c r="O764" s="181" t="e">
        <f t="shared" si="95"/>
        <v>#REF!</v>
      </c>
    </row>
    <row r="765" spans="1:15" s="193" customFormat="1" outlineLevel="2">
      <c r="A765" s="238"/>
      <c r="B765" s="212" t="s">
        <v>1064</v>
      </c>
      <c r="C765" s="190"/>
      <c r="D765" s="191"/>
      <c r="E765" s="176"/>
      <c r="F765" s="177"/>
      <c r="G765" s="192"/>
      <c r="H765" s="179"/>
      <c r="I765" s="339" t="e">
        <f>IF(#REF!="",#REF!*#REF!,IF(#REF!=0,#REF!*#REF!,#REF!*#REF!*#REF!))</f>
        <v>#REF!</v>
      </c>
      <c r="J765" s="180" t="e">
        <f>#REF!*#REF!</f>
        <v>#REF!</v>
      </c>
      <c r="K765" s="178" t="e">
        <f>#REF!*mo</f>
        <v>#REF!</v>
      </c>
      <c r="L765" s="178" t="e">
        <f t="shared" si="96"/>
        <v>#REF!</v>
      </c>
      <c r="M765" s="178" t="e">
        <f>#REF!*#REF!</f>
        <v>#REF!</v>
      </c>
      <c r="N765" s="178" t="e">
        <f>#REF!+K765+#REF!</f>
        <v>#REF!</v>
      </c>
      <c r="O765" s="181" t="e">
        <f t="shared" si="95"/>
        <v>#REF!</v>
      </c>
    </row>
    <row r="766" spans="1:15" s="193" customFormat="1" outlineLevel="2">
      <c r="A766" s="238"/>
      <c r="B766" s="212" t="s">
        <v>1065</v>
      </c>
      <c r="C766" s="190"/>
      <c r="D766" s="191"/>
      <c r="E766" s="176"/>
      <c r="F766" s="177"/>
      <c r="G766" s="192"/>
      <c r="H766" s="179"/>
      <c r="I766" s="339" t="e">
        <f>IF(#REF!="",#REF!*#REF!,IF(#REF!=0,#REF!*#REF!,#REF!*#REF!*#REF!))</f>
        <v>#REF!</v>
      </c>
      <c r="J766" s="180" t="e">
        <f>#REF!*#REF!</f>
        <v>#REF!</v>
      </c>
      <c r="K766" s="178" t="e">
        <f>#REF!*mo</f>
        <v>#REF!</v>
      </c>
      <c r="L766" s="178" t="e">
        <f t="shared" si="96"/>
        <v>#REF!</v>
      </c>
      <c r="M766" s="178" t="e">
        <f>#REF!*#REF!</f>
        <v>#REF!</v>
      </c>
      <c r="N766" s="178" t="e">
        <f>#REF!+K766+#REF!</f>
        <v>#REF!</v>
      </c>
      <c r="O766" s="181" t="e">
        <f t="shared" si="95"/>
        <v>#REF!</v>
      </c>
    </row>
    <row r="767" spans="1:15" s="193" customFormat="1" outlineLevel="2">
      <c r="A767" s="238"/>
      <c r="B767" s="212" t="s">
        <v>1066</v>
      </c>
      <c r="C767" s="190"/>
      <c r="D767" s="191"/>
      <c r="E767" s="176"/>
      <c r="F767" s="177"/>
      <c r="G767" s="192"/>
      <c r="H767" s="179"/>
      <c r="I767" s="339" t="e">
        <f>IF(#REF!="",#REF!*#REF!,IF(#REF!=0,#REF!*#REF!,#REF!*#REF!*#REF!))</f>
        <v>#REF!</v>
      </c>
      <c r="J767" s="180" t="e">
        <f>#REF!*#REF!</f>
        <v>#REF!</v>
      </c>
      <c r="K767" s="178" t="e">
        <f>#REF!*mo</f>
        <v>#REF!</v>
      </c>
      <c r="L767" s="178" t="e">
        <f t="shared" si="96"/>
        <v>#REF!</v>
      </c>
      <c r="M767" s="178" t="e">
        <f>#REF!*#REF!</f>
        <v>#REF!</v>
      </c>
      <c r="N767" s="178" t="e">
        <f>#REF!+K767+#REF!</f>
        <v>#REF!</v>
      </c>
      <c r="O767" s="181" t="e">
        <f t="shared" si="95"/>
        <v>#REF!</v>
      </c>
    </row>
    <row r="768" spans="1:15" s="193" customFormat="1" outlineLevel="2">
      <c r="A768" s="238"/>
      <c r="B768" s="212"/>
      <c r="C768" s="190"/>
      <c r="D768" s="191"/>
      <c r="E768" s="176"/>
      <c r="F768" s="177"/>
      <c r="G768" s="192"/>
      <c r="H768" s="179"/>
      <c r="I768" s="339" t="e">
        <f>IF(#REF!="",#REF!*#REF!,IF(#REF!=0,#REF!*#REF!,#REF!*#REF!*#REF!))</f>
        <v>#REF!</v>
      </c>
      <c r="J768" s="180" t="e">
        <f>#REF!*#REF!</f>
        <v>#REF!</v>
      </c>
      <c r="K768" s="178" t="e">
        <f>#REF!*mo</f>
        <v>#REF!</v>
      </c>
      <c r="L768" s="178" t="e">
        <f t="shared" si="96"/>
        <v>#REF!</v>
      </c>
      <c r="M768" s="178" t="e">
        <f>#REF!*#REF!</f>
        <v>#REF!</v>
      </c>
      <c r="N768" s="178" t="e">
        <f>#REF!+K768+#REF!</f>
        <v>#REF!</v>
      </c>
      <c r="O768" s="181" t="e">
        <f t="shared" si="95"/>
        <v>#REF!</v>
      </c>
    </row>
    <row r="769" spans="1:15" s="193" customFormat="1" outlineLevel="2">
      <c r="A769" s="238"/>
      <c r="B769" s="212" t="s">
        <v>1067</v>
      </c>
      <c r="C769" s="190" t="s">
        <v>795</v>
      </c>
      <c r="D769" s="191"/>
      <c r="E769" s="176"/>
      <c r="F769" s="177"/>
      <c r="G769" s="192"/>
      <c r="H769" s="179"/>
      <c r="I769" s="339" t="e">
        <f>IF(#REF!="",#REF!*#REF!,IF(#REF!=0,#REF!*#REF!,#REF!*#REF!*#REF!))</f>
        <v>#REF!</v>
      </c>
      <c r="J769" s="180" t="e">
        <f>#REF!*#REF!</f>
        <v>#REF!</v>
      </c>
      <c r="K769" s="178" t="e">
        <f>#REF!*mo</f>
        <v>#REF!</v>
      </c>
      <c r="L769" s="178" t="e">
        <f t="shared" si="96"/>
        <v>#REF!</v>
      </c>
      <c r="M769" s="178" t="e">
        <f>#REF!*#REF!</f>
        <v>#REF!</v>
      </c>
      <c r="N769" s="178" t="e">
        <f>#REF!+K769+#REF!</f>
        <v>#REF!</v>
      </c>
      <c r="O769" s="181" t="e">
        <f t="shared" si="95"/>
        <v>#REF!</v>
      </c>
    </row>
    <row r="770" spans="1:15" s="193" customFormat="1" outlineLevel="2">
      <c r="A770" s="238"/>
      <c r="B770" s="212"/>
      <c r="C770" s="190"/>
      <c r="D770" s="191"/>
      <c r="E770" s="176"/>
      <c r="F770" s="177"/>
      <c r="G770" s="192"/>
      <c r="H770" s="179"/>
      <c r="I770" s="339" t="e">
        <f>IF(#REF!="",#REF!*#REF!,IF(#REF!=0,#REF!*#REF!,#REF!*#REF!*#REF!))</f>
        <v>#REF!</v>
      </c>
      <c r="J770" s="180" t="e">
        <f>#REF!*#REF!</f>
        <v>#REF!</v>
      </c>
      <c r="K770" s="178" t="e">
        <f>#REF!*mo</f>
        <v>#REF!</v>
      </c>
      <c r="L770" s="178" t="e">
        <f t="shared" si="91"/>
        <v>#REF!</v>
      </c>
      <c r="M770" s="178" t="e">
        <f>#REF!*#REF!</f>
        <v>#REF!</v>
      </c>
      <c r="N770" s="178" t="e">
        <f>#REF!+K770+#REF!</f>
        <v>#REF!</v>
      </c>
      <c r="O770" s="181" t="e">
        <f t="shared" si="95"/>
        <v>#REF!</v>
      </c>
    </row>
    <row r="771" spans="1:15" s="193" customFormat="1" outlineLevel="2">
      <c r="A771" s="238"/>
      <c r="B771" s="212" t="s">
        <v>1068</v>
      </c>
      <c r="C771" s="190" t="s">
        <v>795</v>
      </c>
      <c r="D771" s="191"/>
      <c r="E771" s="176"/>
      <c r="F771" s="177"/>
      <c r="G771" s="192"/>
      <c r="H771" s="179"/>
      <c r="I771" s="339" t="e">
        <f>IF(#REF!="",#REF!*#REF!,IF(#REF!=0,#REF!*#REF!,#REF!*#REF!*#REF!))</f>
        <v>#REF!</v>
      </c>
      <c r="J771" s="180" t="e">
        <f>#REF!*#REF!</f>
        <v>#REF!</v>
      </c>
      <c r="K771" s="178" t="e">
        <f>#REF!*mo</f>
        <v>#REF!</v>
      </c>
      <c r="L771" s="178" t="e">
        <f t="shared" si="91"/>
        <v>#REF!</v>
      </c>
      <c r="M771" s="178" t="e">
        <f>#REF!*#REF!</f>
        <v>#REF!</v>
      </c>
      <c r="N771" s="178" t="e">
        <f>#REF!+K771+#REF!</f>
        <v>#REF!</v>
      </c>
      <c r="O771" s="181" t="e">
        <f t="shared" si="95"/>
        <v>#REF!</v>
      </c>
    </row>
    <row r="772" spans="1:15" s="193" customFormat="1" outlineLevel="2">
      <c r="A772" s="238"/>
      <c r="B772" s="234"/>
      <c r="C772" s="190"/>
      <c r="D772" s="191"/>
      <c r="E772" s="176"/>
      <c r="F772" s="177"/>
      <c r="G772" s="192"/>
      <c r="H772" s="179"/>
      <c r="I772" s="339" t="e">
        <f>IF(#REF!="",#REF!*#REF!,IF(#REF!=0,#REF!*#REF!,#REF!*#REF!*#REF!))</f>
        <v>#REF!</v>
      </c>
      <c r="J772" s="180" t="e">
        <f>#REF!*#REF!</f>
        <v>#REF!</v>
      </c>
      <c r="K772" s="178" t="e">
        <f>#REF!*mo</f>
        <v>#REF!</v>
      </c>
      <c r="L772" s="178" t="e">
        <f t="shared" si="91"/>
        <v>#REF!</v>
      </c>
      <c r="M772" s="178" t="e">
        <f>#REF!*#REF!</f>
        <v>#REF!</v>
      </c>
      <c r="N772" s="178" t="e">
        <f>#REF!+K772+#REF!</f>
        <v>#REF!</v>
      </c>
      <c r="O772" s="181" t="e">
        <f t="shared" si="95"/>
        <v>#REF!</v>
      </c>
    </row>
    <row r="773" spans="1:15" s="193" customFormat="1" outlineLevel="1">
      <c r="A773" s="155"/>
      <c r="B773" s="198" t="str">
        <f>"Total "&amp;B693</f>
        <v>Total EAUX PLUVIALES</v>
      </c>
      <c r="C773" s="190"/>
      <c r="D773" s="191"/>
      <c r="E773" s="176"/>
      <c r="F773" s="177"/>
      <c r="G773" s="192"/>
      <c r="H773" s="179">
        <f>SUM(G694:G774)</f>
        <v>0</v>
      </c>
      <c r="I773" s="339" t="e">
        <f>IF(#REF!="",#REF!*#REF!,IF(#REF!=0,#REF!*#REF!,#REF!*#REF!*#REF!))</f>
        <v>#REF!</v>
      </c>
      <c r="J773" s="180" t="e">
        <f>#REF!*#REF!</f>
        <v>#REF!</v>
      </c>
      <c r="K773" s="178" t="e">
        <f>#REF!*mo</f>
        <v>#REF!</v>
      </c>
      <c r="L773" s="178" t="e">
        <f t="shared" si="91"/>
        <v>#REF!</v>
      </c>
      <c r="M773" s="178" t="e">
        <f>#REF!*#REF!</f>
        <v>#REF!</v>
      </c>
      <c r="N773" s="178" t="e">
        <f>#REF!+K773+#REF!</f>
        <v>#REF!</v>
      </c>
      <c r="O773" s="181" t="e">
        <f t="shared" si="95"/>
        <v>#REF!</v>
      </c>
    </row>
    <row r="774" spans="1:15" s="193" customFormat="1" outlineLevel="1">
      <c r="A774" s="155"/>
      <c r="B774" s="156"/>
      <c r="C774" s="190"/>
      <c r="D774" s="191"/>
      <c r="E774" s="176"/>
      <c r="F774" s="177"/>
      <c r="G774" s="192"/>
      <c r="H774" s="179"/>
      <c r="I774" s="339" t="e">
        <f>IF(#REF!="",#REF!*#REF!,IF(#REF!=0,#REF!*#REF!,#REF!*#REF!*#REF!))</f>
        <v>#REF!</v>
      </c>
      <c r="J774" s="180" t="e">
        <f>#REF!*#REF!</f>
        <v>#REF!</v>
      </c>
      <c r="K774" s="178" t="e">
        <f>#REF!*mo</f>
        <v>#REF!</v>
      </c>
      <c r="L774" s="178" t="e">
        <f t="shared" si="91"/>
        <v>#REF!</v>
      </c>
      <c r="M774" s="178" t="e">
        <f>#REF!*#REF!</f>
        <v>#REF!</v>
      </c>
      <c r="N774" s="178" t="e">
        <f>#REF!+K774+#REF!</f>
        <v>#REF!</v>
      </c>
      <c r="O774" s="181" t="e">
        <f t="shared" si="95"/>
        <v>#REF!</v>
      </c>
    </row>
    <row r="775" spans="1:15" s="194" customFormat="1" ht="12.6">
      <c r="A775" s="153">
        <v>8</v>
      </c>
      <c r="B775" s="154" t="s">
        <v>1069</v>
      </c>
      <c r="C775" s="182"/>
      <c r="D775" s="183"/>
      <c r="E775" s="184"/>
      <c r="F775" s="185"/>
      <c r="G775" s="186"/>
      <c r="H775" s="187">
        <f>SUM(H776:H821)</f>
        <v>0</v>
      </c>
      <c r="I775" s="344" t="e">
        <f>IF(#REF!="",#REF!*#REF!,IF(#REF!=0,#REF!*#REF!,#REF!*#REF!*#REF!))</f>
        <v>#REF!</v>
      </c>
      <c r="J775" s="188"/>
      <c r="K775" s="186"/>
      <c r="L775" s="186"/>
      <c r="M775" s="186"/>
      <c r="N775" s="186"/>
      <c r="O775" s="187"/>
    </row>
    <row r="776" spans="1:15" s="193" customFormat="1" outlineLevel="1">
      <c r="A776" s="155"/>
      <c r="B776" s="156"/>
      <c r="C776" s="190"/>
      <c r="D776" s="191"/>
      <c r="E776" s="176"/>
      <c r="F776" s="177"/>
      <c r="G776" s="192"/>
      <c r="H776" s="179"/>
      <c r="I776" s="339" t="e">
        <f>IF(#REF!="",#REF!*#REF!,IF(#REF!=0,#REF!*#REF!,#REF!*#REF!*#REF!))</f>
        <v>#REF!</v>
      </c>
      <c r="J776" s="180" t="e">
        <f>#REF!*#REF!</f>
        <v>#REF!</v>
      </c>
      <c r="K776" s="178" t="e">
        <f>#REF!*mo</f>
        <v>#REF!</v>
      </c>
      <c r="L776" s="178" t="e">
        <f>J776*mo</f>
        <v>#REF!</v>
      </c>
      <c r="M776" s="178" t="e">
        <f>#REF!*#REF!</f>
        <v>#REF!</v>
      </c>
      <c r="N776" s="178" t="e">
        <f>#REF!+K776+#REF!</f>
        <v>#REF!</v>
      </c>
      <c r="O776" s="181" t="e">
        <f>M776+L776+I776</f>
        <v>#REF!</v>
      </c>
    </row>
    <row r="777" spans="1:15" s="209" customFormat="1" outlineLevel="1">
      <c r="A777" s="157" t="str">
        <f>A775&amp;".1"</f>
        <v>8.1</v>
      </c>
      <c r="B777" s="158" t="s">
        <v>1070</v>
      </c>
      <c r="C777" s="195"/>
      <c r="D777" s="170"/>
      <c r="E777" s="176"/>
      <c r="F777" s="177"/>
      <c r="G777" s="192">
        <f>SUM(F777:F788)</f>
        <v>0</v>
      </c>
      <c r="H777" s="196"/>
      <c r="I777" s="339" t="e">
        <f>IF(#REF!="",#REF!*#REF!,IF(#REF!=0,#REF!*#REF!,#REF!*#REF!*#REF!))</f>
        <v>#REF!</v>
      </c>
      <c r="J777" s="180" t="e">
        <f>#REF!*#REF!</f>
        <v>#REF!</v>
      </c>
      <c r="K777" s="178" t="e">
        <f>#REF!*mo</f>
        <v>#REF!</v>
      </c>
      <c r="L777" s="178" t="e">
        <f t="shared" ref="L777:L788" si="97">J777*mo</f>
        <v>#REF!</v>
      </c>
      <c r="M777" s="178" t="e">
        <f>#REF!*#REF!</f>
        <v>#REF!</v>
      </c>
      <c r="N777" s="178" t="e">
        <f>#REF!+K777+#REF!</f>
        <v>#REF!</v>
      </c>
      <c r="O777" s="181" t="e">
        <f t="shared" ref="O777:O840" si="98">M777+L777+I777</f>
        <v>#REF!</v>
      </c>
    </row>
    <row r="778" spans="1:15" s="193" customFormat="1" outlineLevel="2">
      <c r="A778" s="155"/>
      <c r="B778" s="156"/>
      <c r="C778" s="190"/>
      <c r="D778" s="191"/>
      <c r="E778" s="176"/>
      <c r="F778" s="177"/>
      <c r="G778" s="192"/>
      <c r="H778" s="179"/>
      <c r="I778" s="339" t="e">
        <f>IF(#REF!="",#REF!*#REF!,IF(#REF!=0,#REF!*#REF!,#REF!*#REF!*#REF!))</f>
        <v>#REF!</v>
      </c>
      <c r="J778" s="180" t="e">
        <f>#REF!*#REF!</f>
        <v>#REF!</v>
      </c>
      <c r="K778" s="178" t="e">
        <f>#REF!*mo</f>
        <v>#REF!</v>
      </c>
      <c r="L778" s="178" t="e">
        <f t="shared" si="97"/>
        <v>#REF!</v>
      </c>
      <c r="M778" s="178" t="e">
        <f>#REF!*#REF!</f>
        <v>#REF!</v>
      </c>
      <c r="N778" s="178" t="e">
        <f>#REF!+K778+#REF!</f>
        <v>#REF!</v>
      </c>
      <c r="O778" s="181" t="e">
        <f t="shared" si="98"/>
        <v>#REF!</v>
      </c>
    </row>
    <row r="779" spans="1:15" s="193" customFormat="1" outlineLevel="2">
      <c r="A779" s="155"/>
      <c r="B779" s="236" t="s">
        <v>1071</v>
      </c>
      <c r="C779" s="190" t="s">
        <v>795</v>
      </c>
      <c r="D779" s="191"/>
      <c r="E779" s="176"/>
      <c r="F779" s="177"/>
      <c r="G779" s="192"/>
      <c r="H779" s="179"/>
      <c r="I779" s="339" t="e">
        <f>IF(#REF!="",#REF!*#REF!,IF(#REF!=0,#REF!*#REF!,#REF!*#REF!*#REF!))</f>
        <v>#REF!</v>
      </c>
      <c r="J779" s="180" t="e">
        <f>#REF!*#REF!</f>
        <v>#REF!</v>
      </c>
      <c r="K779" s="178" t="e">
        <f>#REF!*mo</f>
        <v>#REF!</v>
      </c>
      <c r="L779" s="178" t="e">
        <f t="shared" si="97"/>
        <v>#REF!</v>
      </c>
      <c r="M779" s="178" t="e">
        <f>#REF!*#REF!</f>
        <v>#REF!</v>
      </c>
      <c r="N779" s="178" t="e">
        <f>#REF!+K779+#REF!</f>
        <v>#REF!</v>
      </c>
      <c r="O779" s="181" t="e">
        <f t="shared" si="98"/>
        <v>#REF!</v>
      </c>
    </row>
    <row r="780" spans="1:15" s="193" customFormat="1" outlineLevel="2">
      <c r="A780" s="155"/>
      <c r="B780" s="236" t="s">
        <v>1072</v>
      </c>
      <c r="C780" s="190" t="s">
        <v>795</v>
      </c>
      <c r="D780" s="191"/>
      <c r="E780" s="176"/>
      <c r="F780" s="177"/>
      <c r="G780" s="192"/>
      <c r="H780" s="179"/>
      <c r="I780" s="339" t="e">
        <f>IF(#REF!="",#REF!*#REF!,IF(#REF!=0,#REF!*#REF!,#REF!*#REF!*#REF!))</f>
        <v>#REF!</v>
      </c>
      <c r="J780" s="180" t="e">
        <f>#REF!*#REF!</f>
        <v>#REF!</v>
      </c>
      <c r="K780" s="178" t="e">
        <f>#REF!*mo</f>
        <v>#REF!</v>
      </c>
      <c r="L780" s="178" t="e">
        <f t="shared" si="97"/>
        <v>#REF!</v>
      </c>
      <c r="M780" s="178" t="e">
        <f>#REF!*#REF!</f>
        <v>#REF!</v>
      </c>
      <c r="N780" s="178" t="e">
        <f>#REF!+K780+#REF!</f>
        <v>#REF!</v>
      </c>
      <c r="O780" s="181" t="e">
        <f t="shared" si="98"/>
        <v>#REF!</v>
      </c>
    </row>
    <row r="781" spans="1:15" s="193" customFormat="1" outlineLevel="2">
      <c r="A781" s="155"/>
      <c r="B781" s="236" t="s">
        <v>1073</v>
      </c>
      <c r="C781" s="190" t="s">
        <v>795</v>
      </c>
      <c r="D781" s="191"/>
      <c r="E781" s="176"/>
      <c r="F781" s="177"/>
      <c r="G781" s="192"/>
      <c r="H781" s="179"/>
      <c r="I781" s="339" t="e">
        <f>IF(#REF!="",#REF!*#REF!,IF(#REF!=0,#REF!*#REF!,#REF!*#REF!*#REF!))</f>
        <v>#REF!</v>
      </c>
      <c r="J781" s="180" t="e">
        <f>#REF!*#REF!</f>
        <v>#REF!</v>
      </c>
      <c r="K781" s="178" t="e">
        <f>#REF!*mo</f>
        <v>#REF!</v>
      </c>
      <c r="L781" s="178" t="e">
        <f t="shared" si="97"/>
        <v>#REF!</v>
      </c>
      <c r="M781" s="178" t="e">
        <f>#REF!*#REF!</f>
        <v>#REF!</v>
      </c>
      <c r="N781" s="178" t="e">
        <f>#REF!+K781+#REF!</f>
        <v>#REF!</v>
      </c>
      <c r="O781" s="181" t="e">
        <f t="shared" si="98"/>
        <v>#REF!</v>
      </c>
    </row>
    <row r="782" spans="1:15" s="193" customFormat="1" outlineLevel="2">
      <c r="A782" s="155"/>
      <c r="B782" s="236" t="s">
        <v>1074</v>
      </c>
      <c r="C782" s="190" t="s">
        <v>795</v>
      </c>
      <c r="D782" s="191"/>
      <c r="E782" s="176"/>
      <c r="F782" s="177"/>
      <c r="G782" s="192"/>
      <c r="H782" s="179"/>
      <c r="I782" s="339" t="e">
        <f>IF(#REF!="",#REF!*#REF!,IF(#REF!=0,#REF!*#REF!,#REF!*#REF!*#REF!))</f>
        <v>#REF!</v>
      </c>
      <c r="J782" s="180" t="e">
        <f>#REF!*#REF!</f>
        <v>#REF!</v>
      </c>
      <c r="K782" s="178" t="e">
        <f>#REF!*mo</f>
        <v>#REF!</v>
      </c>
      <c r="L782" s="178" t="e">
        <f t="shared" si="97"/>
        <v>#REF!</v>
      </c>
      <c r="M782" s="178" t="e">
        <f>#REF!*#REF!</f>
        <v>#REF!</v>
      </c>
      <c r="N782" s="178" t="e">
        <f>#REF!+K782+#REF!</f>
        <v>#REF!</v>
      </c>
      <c r="O782" s="181" t="e">
        <f t="shared" si="98"/>
        <v>#REF!</v>
      </c>
    </row>
    <row r="783" spans="1:15" s="193" customFormat="1" outlineLevel="2">
      <c r="A783" s="155"/>
      <c r="B783" s="236" t="s">
        <v>1075</v>
      </c>
      <c r="C783" s="190" t="s">
        <v>795</v>
      </c>
      <c r="D783" s="191"/>
      <c r="E783" s="176"/>
      <c r="F783" s="177"/>
      <c r="G783" s="192"/>
      <c r="H783" s="179"/>
      <c r="I783" s="339" t="e">
        <f>IF(#REF!="",#REF!*#REF!,IF(#REF!=0,#REF!*#REF!,#REF!*#REF!*#REF!))</f>
        <v>#REF!</v>
      </c>
      <c r="J783" s="180" t="e">
        <f>#REF!*#REF!</f>
        <v>#REF!</v>
      </c>
      <c r="K783" s="178" t="e">
        <f>#REF!*mo</f>
        <v>#REF!</v>
      </c>
      <c r="L783" s="178" t="e">
        <f t="shared" si="97"/>
        <v>#REF!</v>
      </c>
      <c r="M783" s="178" t="e">
        <f>#REF!*#REF!</f>
        <v>#REF!</v>
      </c>
      <c r="N783" s="178" t="e">
        <f>#REF!+K783+#REF!</f>
        <v>#REF!</v>
      </c>
      <c r="O783" s="181" t="e">
        <f t="shared" si="98"/>
        <v>#REF!</v>
      </c>
    </row>
    <row r="784" spans="1:15" s="193" customFormat="1" outlineLevel="2">
      <c r="A784" s="155"/>
      <c r="B784" s="236" t="s">
        <v>1076</v>
      </c>
      <c r="C784" s="190" t="s">
        <v>795</v>
      </c>
      <c r="D784" s="191"/>
      <c r="E784" s="176"/>
      <c r="F784" s="177"/>
      <c r="G784" s="192"/>
      <c r="H784" s="179"/>
      <c r="I784" s="339" t="e">
        <f>IF(#REF!="",#REF!*#REF!,IF(#REF!=0,#REF!*#REF!,#REF!*#REF!*#REF!))</f>
        <v>#REF!</v>
      </c>
      <c r="J784" s="180" t="e">
        <f>#REF!*#REF!</f>
        <v>#REF!</v>
      </c>
      <c r="K784" s="178" t="e">
        <f>#REF!*mo</f>
        <v>#REF!</v>
      </c>
      <c r="L784" s="178" t="e">
        <f t="shared" si="97"/>
        <v>#REF!</v>
      </c>
      <c r="M784" s="178" t="e">
        <f>#REF!*#REF!</f>
        <v>#REF!</v>
      </c>
      <c r="N784" s="178" t="e">
        <f>#REF!+K784+#REF!</f>
        <v>#REF!</v>
      </c>
      <c r="O784" s="181" t="e">
        <f t="shared" si="98"/>
        <v>#REF!</v>
      </c>
    </row>
    <row r="785" spans="1:15" s="193" customFormat="1" outlineLevel="2">
      <c r="A785" s="155"/>
      <c r="B785" s="236" t="s">
        <v>1077</v>
      </c>
      <c r="C785" s="190" t="s">
        <v>795</v>
      </c>
      <c r="D785" s="191"/>
      <c r="E785" s="176"/>
      <c r="F785" s="177"/>
      <c r="G785" s="192"/>
      <c r="H785" s="179"/>
      <c r="I785" s="339" t="e">
        <f>IF(#REF!="",#REF!*#REF!,IF(#REF!=0,#REF!*#REF!,#REF!*#REF!*#REF!))</f>
        <v>#REF!</v>
      </c>
      <c r="J785" s="180" t="e">
        <f>#REF!*#REF!</f>
        <v>#REF!</v>
      </c>
      <c r="K785" s="178" t="e">
        <f>#REF!*mo</f>
        <v>#REF!</v>
      </c>
      <c r="L785" s="178" t="e">
        <f t="shared" si="97"/>
        <v>#REF!</v>
      </c>
      <c r="M785" s="178" t="e">
        <f>#REF!*#REF!</f>
        <v>#REF!</v>
      </c>
      <c r="N785" s="178" t="e">
        <f>#REF!+K785+#REF!</f>
        <v>#REF!</v>
      </c>
      <c r="O785" s="181" t="e">
        <f t="shared" si="98"/>
        <v>#REF!</v>
      </c>
    </row>
    <row r="786" spans="1:15" s="193" customFormat="1" outlineLevel="2">
      <c r="A786" s="155"/>
      <c r="B786" s="236" t="s">
        <v>1078</v>
      </c>
      <c r="C786" s="190" t="s">
        <v>795</v>
      </c>
      <c r="D786" s="191"/>
      <c r="E786" s="176"/>
      <c r="F786" s="177"/>
      <c r="G786" s="192"/>
      <c r="H786" s="179"/>
      <c r="I786" s="339" t="e">
        <f>IF(#REF!="",#REF!*#REF!,IF(#REF!=0,#REF!*#REF!,#REF!*#REF!*#REF!))</f>
        <v>#REF!</v>
      </c>
      <c r="J786" s="180" t="e">
        <f>#REF!*#REF!</f>
        <v>#REF!</v>
      </c>
      <c r="K786" s="178" t="e">
        <f>#REF!*mo</f>
        <v>#REF!</v>
      </c>
      <c r="L786" s="178" t="e">
        <f t="shared" si="97"/>
        <v>#REF!</v>
      </c>
      <c r="M786" s="178" t="e">
        <f>#REF!*#REF!</f>
        <v>#REF!</v>
      </c>
      <c r="N786" s="178" t="e">
        <f>#REF!+K786+#REF!</f>
        <v>#REF!</v>
      </c>
      <c r="O786" s="181" t="e">
        <f t="shared" si="98"/>
        <v>#REF!</v>
      </c>
    </row>
    <row r="787" spans="1:15" s="193" customFormat="1" outlineLevel="2">
      <c r="A787" s="155"/>
      <c r="B787" s="156"/>
      <c r="C787" s="190"/>
      <c r="D787" s="191"/>
      <c r="E787" s="176"/>
      <c r="F787" s="177"/>
      <c r="G787" s="192"/>
      <c r="H787" s="179"/>
      <c r="I787" s="339" t="e">
        <f>IF(#REF!="",#REF!*#REF!,IF(#REF!=0,#REF!*#REF!,#REF!*#REF!*#REF!))</f>
        <v>#REF!</v>
      </c>
      <c r="J787" s="180" t="e">
        <f>#REF!*#REF!</f>
        <v>#REF!</v>
      </c>
      <c r="K787" s="178" t="e">
        <f>#REF!*mo</f>
        <v>#REF!</v>
      </c>
      <c r="L787" s="178" t="e">
        <f t="shared" si="97"/>
        <v>#REF!</v>
      </c>
      <c r="M787" s="178" t="e">
        <f>#REF!*#REF!</f>
        <v>#REF!</v>
      </c>
      <c r="N787" s="178" t="e">
        <f>#REF!+K787+#REF!</f>
        <v>#REF!</v>
      </c>
      <c r="O787" s="181" t="e">
        <f t="shared" si="98"/>
        <v>#REF!</v>
      </c>
    </row>
    <row r="788" spans="1:15" s="193" customFormat="1" outlineLevel="1">
      <c r="A788" s="155"/>
      <c r="B788" s="198" t="str">
        <f>"Total "&amp;B777</f>
        <v>Total SANITAIRES</v>
      </c>
      <c r="C788" s="190"/>
      <c r="D788" s="191"/>
      <c r="E788" s="176"/>
      <c r="F788" s="177"/>
      <c r="G788" s="192"/>
      <c r="H788" s="179">
        <f>G777</f>
        <v>0</v>
      </c>
      <c r="I788" s="339" t="e">
        <f>IF(#REF!="",#REF!*#REF!,IF(#REF!=0,#REF!*#REF!,#REF!*#REF!*#REF!))</f>
        <v>#REF!</v>
      </c>
      <c r="J788" s="180" t="e">
        <f>#REF!*#REF!</f>
        <v>#REF!</v>
      </c>
      <c r="K788" s="178" t="e">
        <f>#REF!*mo</f>
        <v>#REF!</v>
      </c>
      <c r="L788" s="178" t="e">
        <f t="shared" si="97"/>
        <v>#REF!</v>
      </c>
      <c r="M788" s="178" t="e">
        <f>#REF!*#REF!</f>
        <v>#REF!</v>
      </c>
      <c r="N788" s="178" t="e">
        <f>#REF!+K788+#REF!</f>
        <v>#REF!</v>
      </c>
      <c r="O788" s="181" t="e">
        <f t="shared" si="98"/>
        <v>#REF!</v>
      </c>
    </row>
    <row r="789" spans="1:15" s="193" customFormat="1" ht="12.75" customHeight="1" outlineLevel="1">
      <c r="A789" s="155"/>
      <c r="B789" s="248"/>
      <c r="C789" s="190"/>
      <c r="D789" s="191"/>
      <c r="E789" s="176"/>
      <c r="F789" s="177"/>
      <c r="G789" s="192"/>
      <c r="H789" s="179"/>
      <c r="I789" s="339" t="e">
        <f>IF(#REF!="",#REF!*#REF!,IF(#REF!=0,#REF!*#REF!,#REF!*#REF!*#REF!))</f>
        <v>#REF!</v>
      </c>
      <c r="J789" s="180" t="e">
        <f>#REF!*#REF!</f>
        <v>#REF!</v>
      </c>
      <c r="K789" s="178" t="e">
        <f>#REF!*mo</f>
        <v>#REF!</v>
      </c>
      <c r="L789" s="178" t="e">
        <f t="shared" ref="L789:L847" si="99">J789*mo</f>
        <v>#REF!</v>
      </c>
      <c r="M789" s="178" t="e">
        <f>#REF!*#REF!</f>
        <v>#REF!</v>
      </c>
      <c r="N789" s="178" t="e">
        <f>#REF!+K789+#REF!</f>
        <v>#REF!</v>
      </c>
      <c r="O789" s="181" t="e">
        <f t="shared" si="98"/>
        <v>#REF!</v>
      </c>
    </row>
    <row r="790" spans="1:15" s="193" customFormat="1" outlineLevel="1">
      <c r="A790" s="157" t="str">
        <f>A775&amp;".3"</f>
        <v>8.3</v>
      </c>
      <c r="B790" s="210" t="s">
        <v>1079</v>
      </c>
      <c r="C790" s="190"/>
      <c r="D790" s="191"/>
      <c r="E790" s="176"/>
      <c r="F790" s="177"/>
      <c r="G790" s="192"/>
      <c r="H790" s="179"/>
      <c r="I790" s="339" t="e">
        <f>IF(#REF!="",#REF!*#REF!,IF(#REF!=0,#REF!*#REF!,#REF!*#REF!*#REF!))</f>
        <v>#REF!</v>
      </c>
      <c r="J790" s="180" t="e">
        <f>#REF!*#REF!</f>
        <v>#REF!</v>
      </c>
      <c r="K790" s="178" t="e">
        <f>#REF!*mo</f>
        <v>#REF!</v>
      </c>
      <c r="L790" s="178" t="e">
        <f t="shared" si="99"/>
        <v>#REF!</v>
      </c>
      <c r="M790" s="178" t="e">
        <f>#REF!*#REF!</f>
        <v>#REF!</v>
      </c>
      <c r="N790" s="178" t="e">
        <f>#REF!+K790+#REF!</f>
        <v>#REF!</v>
      </c>
      <c r="O790" s="181" t="e">
        <f t="shared" si="98"/>
        <v>#REF!</v>
      </c>
    </row>
    <row r="791" spans="1:15" s="193" customFormat="1" outlineLevel="2">
      <c r="A791" s="155"/>
      <c r="B791" s="233"/>
      <c r="C791" s="190"/>
      <c r="D791" s="191"/>
      <c r="E791" s="176"/>
      <c r="F791" s="177"/>
      <c r="G791" s="192">
        <f>SUM(F791:F801)</f>
        <v>0</v>
      </c>
      <c r="H791" s="179"/>
      <c r="I791" s="339" t="e">
        <f>IF(#REF!="",#REF!*#REF!,IF(#REF!=0,#REF!*#REF!,#REF!*#REF!*#REF!))</f>
        <v>#REF!</v>
      </c>
      <c r="J791" s="180" t="e">
        <f>#REF!*#REF!</f>
        <v>#REF!</v>
      </c>
      <c r="K791" s="178" t="e">
        <f>#REF!*mo</f>
        <v>#REF!</v>
      </c>
      <c r="L791" s="178" t="e">
        <f t="shared" si="99"/>
        <v>#REF!</v>
      </c>
      <c r="M791" s="178" t="e">
        <f>#REF!*#REF!</f>
        <v>#REF!</v>
      </c>
      <c r="N791" s="178" t="e">
        <f>#REF!+K791+#REF!</f>
        <v>#REF!</v>
      </c>
      <c r="O791" s="181" t="e">
        <f t="shared" si="98"/>
        <v>#REF!</v>
      </c>
    </row>
    <row r="792" spans="1:15" s="193" customFormat="1" outlineLevel="2">
      <c r="A792" s="155"/>
      <c r="B792" s="233" t="s">
        <v>1080</v>
      </c>
      <c r="C792" s="190" t="s">
        <v>795</v>
      </c>
      <c r="D792" s="191"/>
      <c r="E792" s="176"/>
      <c r="F792" s="177"/>
      <c r="G792" s="192"/>
      <c r="H792" s="179"/>
      <c r="I792" s="339" t="e">
        <f>IF(#REF!="",#REF!*#REF!,IF(#REF!=0,#REF!*#REF!,#REF!*#REF!*#REF!))</f>
        <v>#REF!</v>
      </c>
      <c r="J792" s="180" t="e">
        <f>#REF!*#REF!</f>
        <v>#REF!</v>
      </c>
      <c r="K792" s="178" t="e">
        <f>#REF!*mo</f>
        <v>#REF!</v>
      </c>
      <c r="L792" s="178" t="e">
        <f t="shared" si="99"/>
        <v>#REF!</v>
      </c>
      <c r="M792" s="178" t="e">
        <f>#REF!*#REF!</f>
        <v>#REF!</v>
      </c>
      <c r="N792" s="178" t="e">
        <f>#REF!+K792+#REF!</f>
        <v>#REF!</v>
      </c>
      <c r="O792" s="181" t="e">
        <f t="shared" si="98"/>
        <v>#REF!</v>
      </c>
    </row>
    <row r="793" spans="1:15" s="193" customFormat="1" outlineLevel="2">
      <c r="A793" s="155"/>
      <c r="B793" s="233" t="s">
        <v>1081</v>
      </c>
      <c r="C793" s="190" t="s">
        <v>801</v>
      </c>
      <c r="D793" s="191"/>
      <c r="E793" s="176"/>
      <c r="F793" s="177"/>
      <c r="G793" s="192"/>
      <c r="H793" s="179"/>
      <c r="I793" s="339" t="e">
        <f>IF(#REF!="",#REF!*#REF!,IF(#REF!=0,#REF!*#REF!,#REF!*#REF!*#REF!))</f>
        <v>#REF!</v>
      </c>
      <c r="J793" s="180" t="e">
        <f>#REF!*#REF!</f>
        <v>#REF!</v>
      </c>
      <c r="K793" s="178" t="e">
        <f>#REF!*mo</f>
        <v>#REF!</v>
      </c>
      <c r="L793" s="178" t="e">
        <f t="shared" si="99"/>
        <v>#REF!</v>
      </c>
      <c r="M793" s="178" t="e">
        <f>#REF!*#REF!</f>
        <v>#REF!</v>
      </c>
      <c r="N793" s="178" t="e">
        <f>#REF!+K793+#REF!</f>
        <v>#REF!</v>
      </c>
      <c r="O793" s="181" t="e">
        <f t="shared" si="98"/>
        <v>#REF!</v>
      </c>
    </row>
    <row r="794" spans="1:15" s="193" customFormat="1" outlineLevel="2">
      <c r="A794" s="155"/>
      <c r="B794" s="233" t="s">
        <v>1082</v>
      </c>
      <c r="C794" s="190" t="s">
        <v>795</v>
      </c>
      <c r="D794" s="191"/>
      <c r="E794" s="176"/>
      <c r="F794" s="177"/>
      <c r="G794" s="192"/>
      <c r="H794" s="179"/>
      <c r="I794" s="339" t="e">
        <f>IF(#REF!="",#REF!*#REF!,IF(#REF!=0,#REF!*#REF!,#REF!*#REF!*#REF!))</f>
        <v>#REF!</v>
      </c>
      <c r="J794" s="180" t="e">
        <f>#REF!*#REF!</f>
        <v>#REF!</v>
      </c>
      <c r="K794" s="178" t="e">
        <f>#REF!*mo</f>
        <v>#REF!</v>
      </c>
      <c r="L794" s="178" t="e">
        <f t="shared" si="99"/>
        <v>#REF!</v>
      </c>
      <c r="M794" s="178" t="e">
        <f>#REF!*#REF!</f>
        <v>#REF!</v>
      </c>
      <c r="N794" s="178" t="e">
        <f>#REF!+K794+#REF!</f>
        <v>#REF!</v>
      </c>
      <c r="O794" s="181" t="e">
        <f t="shared" si="98"/>
        <v>#REF!</v>
      </c>
    </row>
    <row r="795" spans="1:15" s="193" customFormat="1" outlineLevel="2">
      <c r="A795" s="155"/>
      <c r="B795" s="233" t="s">
        <v>1083</v>
      </c>
      <c r="C795" s="190" t="s">
        <v>801</v>
      </c>
      <c r="D795" s="191"/>
      <c r="E795" s="176"/>
      <c r="F795" s="177"/>
      <c r="G795" s="192"/>
      <c r="H795" s="179"/>
      <c r="I795" s="339" t="e">
        <f>IF(#REF!="",#REF!*#REF!,IF(#REF!=0,#REF!*#REF!,#REF!*#REF!*#REF!))</f>
        <v>#REF!</v>
      </c>
      <c r="J795" s="180" t="e">
        <f>#REF!*#REF!</f>
        <v>#REF!</v>
      </c>
      <c r="K795" s="178" t="e">
        <f>#REF!*mo</f>
        <v>#REF!</v>
      </c>
      <c r="L795" s="178" t="e">
        <f t="shared" si="99"/>
        <v>#REF!</v>
      </c>
      <c r="M795" s="178" t="e">
        <f>#REF!*#REF!</f>
        <v>#REF!</v>
      </c>
      <c r="N795" s="178" t="e">
        <f>#REF!+K795+#REF!</f>
        <v>#REF!</v>
      </c>
      <c r="O795" s="181" t="e">
        <f t="shared" si="98"/>
        <v>#REF!</v>
      </c>
    </row>
    <row r="796" spans="1:15" s="193" customFormat="1" outlineLevel="2">
      <c r="A796" s="155"/>
      <c r="B796" s="233" t="s">
        <v>1084</v>
      </c>
      <c r="C796" s="190" t="s">
        <v>795</v>
      </c>
      <c r="D796" s="191"/>
      <c r="E796" s="176"/>
      <c r="F796" s="177"/>
      <c r="G796" s="192"/>
      <c r="H796" s="179"/>
      <c r="I796" s="339" t="e">
        <f>IF(#REF!="",#REF!*#REF!,IF(#REF!=0,#REF!*#REF!,#REF!*#REF!*#REF!))</f>
        <v>#REF!</v>
      </c>
      <c r="J796" s="180" t="e">
        <f>#REF!*#REF!</f>
        <v>#REF!</v>
      </c>
      <c r="K796" s="178" t="e">
        <f>#REF!*mo</f>
        <v>#REF!</v>
      </c>
      <c r="L796" s="178" t="e">
        <f t="shared" si="99"/>
        <v>#REF!</v>
      </c>
      <c r="M796" s="178" t="e">
        <f>#REF!*#REF!</f>
        <v>#REF!</v>
      </c>
      <c r="N796" s="178" t="e">
        <f>#REF!+K796+#REF!</f>
        <v>#REF!</v>
      </c>
      <c r="O796" s="181" t="e">
        <f t="shared" si="98"/>
        <v>#REF!</v>
      </c>
    </row>
    <row r="797" spans="1:15" s="193" customFormat="1" outlineLevel="2">
      <c r="A797" s="155"/>
      <c r="B797" s="233" t="s">
        <v>1085</v>
      </c>
      <c r="C797" s="190" t="s">
        <v>795</v>
      </c>
      <c r="D797" s="191"/>
      <c r="E797" s="176"/>
      <c r="F797" s="177"/>
      <c r="G797" s="192"/>
      <c r="H797" s="179"/>
      <c r="I797" s="339" t="e">
        <f>IF(#REF!="",#REF!*#REF!,IF(#REF!=0,#REF!*#REF!,#REF!*#REF!*#REF!))</f>
        <v>#REF!</v>
      </c>
      <c r="J797" s="180" t="e">
        <f>#REF!*#REF!</f>
        <v>#REF!</v>
      </c>
      <c r="K797" s="178" t="e">
        <f>#REF!*mo</f>
        <v>#REF!</v>
      </c>
      <c r="L797" s="178" t="e">
        <f t="shared" si="99"/>
        <v>#REF!</v>
      </c>
      <c r="M797" s="178" t="e">
        <f>#REF!*#REF!</f>
        <v>#REF!</v>
      </c>
      <c r="N797" s="178" t="e">
        <f>#REF!+K797+#REF!</f>
        <v>#REF!</v>
      </c>
      <c r="O797" s="181" t="e">
        <f t="shared" si="98"/>
        <v>#REF!</v>
      </c>
    </row>
    <row r="798" spans="1:15" s="193" customFormat="1" outlineLevel="2">
      <c r="A798" s="155"/>
      <c r="B798" s="233" t="s">
        <v>1086</v>
      </c>
      <c r="C798" s="190" t="s">
        <v>801</v>
      </c>
      <c r="D798" s="191"/>
      <c r="E798" s="176"/>
      <c r="F798" s="177"/>
      <c r="G798" s="192"/>
      <c r="H798" s="179"/>
      <c r="I798" s="339" t="e">
        <f>IF(#REF!="",#REF!*#REF!,IF(#REF!=0,#REF!*#REF!,#REF!*#REF!*#REF!))</f>
        <v>#REF!</v>
      </c>
      <c r="J798" s="180" t="e">
        <f>#REF!*#REF!</f>
        <v>#REF!</v>
      </c>
      <c r="K798" s="178" t="e">
        <f>#REF!*mo</f>
        <v>#REF!</v>
      </c>
      <c r="L798" s="178" t="e">
        <f t="shared" si="99"/>
        <v>#REF!</v>
      </c>
      <c r="M798" s="178" t="e">
        <f>#REF!*#REF!</f>
        <v>#REF!</v>
      </c>
      <c r="N798" s="178" t="e">
        <f>#REF!+K798+#REF!</f>
        <v>#REF!</v>
      </c>
      <c r="O798" s="181" t="e">
        <f t="shared" si="98"/>
        <v>#REF!</v>
      </c>
    </row>
    <row r="799" spans="1:15" s="193" customFormat="1" outlineLevel="2">
      <c r="A799" s="155"/>
      <c r="B799" s="233" t="s">
        <v>1087</v>
      </c>
      <c r="C799" s="190" t="s">
        <v>795</v>
      </c>
      <c r="D799" s="191"/>
      <c r="E799" s="176"/>
      <c r="F799" s="177"/>
      <c r="G799" s="192"/>
      <c r="H799" s="179"/>
      <c r="I799" s="339" t="e">
        <f>IF(#REF!="",#REF!*#REF!,IF(#REF!=0,#REF!*#REF!,#REF!*#REF!*#REF!))</f>
        <v>#REF!</v>
      </c>
      <c r="J799" s="180" t="e">
        <f>#REF!*#REF!</f>
        <v>#REF!</v>
      </c>
      <c r="K799" s="178" t="e">
        <f>#REF!*mo</f>
        <v>#REF!</v>
      </c>
      <c r="L799" s="178" t="e">
        <f t="shared" ref="L799" si="100">J799*mo</f>
        <v>#REF!</v>
      </c>
      <c r="M799" s="178" t="e">
        <f>#REF!*#REF!</f>
        <v>#REF!</v>
      </c>
      <c r="N799" s="178" t="e">
        <f>#REF!+K799+#REF!</f>
        <v>#REF!</v>
      </c>
      <c r="O799" s="181" t="e">
        <f t="shared" si="98"/>
        <v>#REF!</v>
      </c>
    </row>
    <row r="800" spans="1:15" s="193" customFormat="1" outlineLevel="2">
      <c r="A800" s="155"/>
      <c r="B800" s="233" t="s">
        <v>1088</v>
      </c>
      <c r="C800" s="190" t="s">
        <v>795</v>
      </c>
      <c r="D800" s="191"/>
      <c r="E800" s="176"/>
      <c r="F800" s="177"/>
      <c r="G800" s="192"/>
      <c r="H800" s="179"/>
      <c r="I800" s="339" t="e">
        <f>IF(#REF!="",#REF!*#REF!,IF(#REF!=0,#REF!*#REF!,#REF!*#REF!*#REF!))</f>
        <v>#REF!</v>
      </c>
      <c r="J800" s="180" t="e">
        <f>#REF!*#REF!</f>
        <v>#REF!</v>
      </c>
      <c r="K800" s="178" t="e">
        <f>#REF!*mo</f>
        <v>#REF!</v>
      </c>
      <c r="L800" s="178" t="e">
        <f t="shared" ref="L800" si="101">J800*mo</f>
        <v>#REF!</v>
      </c>
      <c r="M800" s="178" t="e">
        <f>#REF!*#REF!</f>
        <v>#REF!</v>
      </c>
      <c r="N800" s="178" t="e">
        <f>#REF!+K800+#REF!</f>
        <v>#REF!</v>
      </c>
      <c r="O800" s="181" t="e">
        <f t="shared" si="98"/>
        <v>#REF!</v>
      </c>
    </row>
    <row r="801" spans="1:15" s="193" customFormat="1" outlineLevel="2">
      <c r="A801" s="155"/>
      <c r="B801" s="233" t="s">
        <v>1075</v>
      </c>
      <c r="C801" s="190" t="s">
        <v>795</v>
      </c>
      <c r="D801" s="191"/>
      <c r="E801" s="176"/>
      <c r="F801" s="177"/>
      <c r="G801" s="192"/>
      <c r="H801" s="179"/>
      <c r="I801" s="339" t="e">
        <f>IF(#REF!="",#REF!*#REF!,IF(#REF!=0,#REF!*#REF!,#REF!*#REF!*#REF!))</f>
        <v>#REF!</v>
      </c>
      <c r="J801" s="180" t="e">
        <f>#REF!*#REF!</f>
        <v>#REF!</v>
      </c>
      <c r="K801" s="178" t="e">
        <f>#REF!*mo</f>
        <v>#REF!</v>
      </c>
      <c r="L801" s="178" t="e">
        <f t="shared" si="99"/>
        <v>#REF!</v>
      </c>
      <c r="M801" s="178" t="e">
        <f>#REF!*#REF!</f>
        <v>#REF!</v>
      </c>
      <c r="N801" s="178" t="e">
        <f>#REF!+K801+#REF!</f>
        <v>#REF!</v>
      </c>
      <c r="O801" s="181" t="e">
        <f t="shared" si="98"/>
        <v>#REF!</v>
      </c>
    </row>
    <row r="802" spans="1:15" s="193" customFormat="1" outlineLevel="1">
      <c r="A802" s="155"/>
      <c r="B802" s="198" t="str">
        <f>"Total "&amp;B790</f>
        <v>Total SALLE DE BAIN</v>
      </c>
      <c r="C802" s="190"/>
      <c r="D802" s="191"/>
      <c r="E802" s="176"/>
      <c r="F802" s="177"/>
      <c r="G802" s="192"/>
      <c r="H802" s="179">
        <f>SUM(G791:G802)</f>
        <v>0</v>
      </c>
      <c r="I802" s="339" t="e">
        <f>IF(#REF!="",#REF!*#REF!,IF(#REF!=0,#REF!*#REF!,#REF!*#REF!*#REF!))</f>
        <v>#REF!</v>
      </c>
      <c r="J802" s="180" t="e">
        <f>#REF!*#REF!</f>
        <v>#REF!</v>
      </c>
      <c r="K802" s="178" t="e">
        <f>#REF!*mo</f>
        <v>#REF!</v>
      </c>
      <c r="L802" s="178" t="e">
        <f t="shared" si="99"/>
        <v>#REF!</v>
      </c>
      <c r="M802" s="178" t="e">
        <f>#REF!*#REF!</f>
        <v>#REF!</v>
      </c>
      <c r="N802" s="178" t="e">
        <f>#REF!+K802+#REF!</f>
        <v>#REF!</v>
      </c>
      <c r="O802" s="181" t="e">
        <f t="shared" si="98"/>
        <v>#REF!</v>
      </c>
    </row>
    <row r="803" spans="1:15" s="193" customFormat="1" outlineLevel="1">
      <c r="A803" s="155"/>
      <c r="B803" s="248"/>
      <c r="C803" s="190"/>
      <c r="D803" s="191"/>
      <c r="E803" s="176"/>
      <c r="F803" s="177"/>
      <c r="G803" s="192"/>
      <c r="H803" s="179"/>
      <c r="I803" s="339" t="e">
        <f>IF(#REF!="",#REF!*#REF!,IF(#REF!=0,#REF!*#REF!,#REF!*#REF!*#REF!))</f>
        <v>#REF!</v>
      </c>
      <c r="J803" s="180" t="e">
        <f>#REF!*#REF!</f>
        <v>#REF!</v>
      </c>
      <c r="K803" s="178" t="e">
        <f>#REF!*mo</f>
        <v>#REF!</v>
      </c>
      <c r="L803" s="178" t="e">
        <f t="shared" si="99"/>
        <v>#REF!</v>
      </c>
      <c r="M803" s="178" t="e">
        <f>#REF!*#REF!</f>
        <v>#REF!</v>
      </c>
      <c r="N803" s="178" t="e">
        <f>#REF!+K803+#REF!</f>
        <v>#REF!</v>
      </c>
      <c r="O803" s="181" t="e">
        <f t="shared" si="98"/>
        <v>#REF!</v>
      </c>
    </row>
    <row r="804" spans="1:15" s="193" customFormat="1" outlineLevel="1">
      <c r="A804" s="157" t="str">
        <f>A775&amp;".4"</f>
        <v>8.4</v>
      </c>
      <c r="B804" s="210" t="s">
        <v>1089</v>
      </c>
      <c r="C804" s="190"/>
      <c r="D804" s="191"/>
      <c r="E804" s="176"/>
      <c r="F804" s="177"/>
      <c r="G804" s="192">
        <f>SUM(F804:F810)</f>
        <v>0</v>
      </c>
      <c r="H804" s="179"/>
      <c r="I804" s="339" t="e">
        <f>IF(#REF!="",#REF!*#REF!,IF(#REF!=0,#REF!*#REF!,#REF!*#REF!*#REF!))</f>
        <v>#REF!</v>
      </c>
      <c r="J804" s="180" t="e">
        <f>#REF!*#REF!</f>
        <v>#REF!</v>
      </c>
      <c r="K804" s="178" t="e">
        <f>#REF!*mo</f>
        <v>#REF!</v>
      </c>
      <c r="L804" s="178" t="e">
        <f t="shared" si="99"/>
        <v>#REF!</v>
      </c>
      <c r="M804" s="178" t="e">
        <f>#REF!*#REF!</f>
        <v>#REF!</v>
      </c>
      <c r="N804" s="178" t="e">
        <f>#REF!+K804+#REF!</f>
        <v>#REF!</v>
      </c>
      <c r="O804" s="181" t="e">
        <f t="shared" si="98"/>
        <v>#REF!</v>
      </c>
    </row>
    <row r="805" spans="1:15" s="193" customFormat="1" outlineLevel="2">
      <c r="A805" s="155"/>
      <c r="B805" s="233"/>
      <c r="C805" s="190"/>
      <c r="D805" s="191"/>
      <c r="E805" s="176"/>
      <c r="F805" s="177"/>
      <c r="G805" s="192"/>
      <c r="H805" s="179"/>
      <c r="I805" s="339" t="e">
        <f>IF(#REF!="",#REF!*#REF!,IF(#REF!=0,#REF!*#REF!,#REF!*#REF!*#REF!))</f>
        <v>#REF!</v>
      </c>
      <c r="J805" s="180" t="e">
        <f>#REF!*#REF!</f>
        <v>#REF!</v>
      </c>
      <c r="K805" s="178" t="e">
        <f>#REF!*mo</f>
        <v>#REF!</v>
      </c>
      <c r="L805" s="178" t="e">
        <f t="shared" si="99"/>
        <v>#REF!</v>
      </c>
      <c r="M805" s="178" t="e">
        <f>#REF!*#REF!</f>
        <v>#REF!</v>
      </c>
      <c r="N805" s="178" t="e">
        <f>#REF!+K805+#REF!</f>
        <v>#REF!</v>
      </c>
      <c r="O805" s="181" t="e">
        <f t="shared" si="98"/>
        <v>#REF!</v>
      </c>
    </row>
    <row r="806" spans="1:15" s="193" customFormat="1" outlineLevel="2">
      <c r="A806" s="155"/>
      <c r="B806" s="233" t="s">
        <v>1090</v>
      </c>
      <c r="C806" s="190" t="s">
        <v>795</v>
      </c>
      <c r="D806" s="191"/>
      <c r="E806" s="176"/>
      <c r="F806" s="177"/>
      <c r="G806" s="192"/>
      <c r="H806" s="179"/>
      <c r="I806" s="339" t="e">
        <f>IF(#REF!="",#REF!*#REF!,IF(#REF!=0,#REF!*#REF!,#REF!*#REF!*#REF!))</f>
        <v>#REF!</v>
      </c>
      <c r="J806" s="180" t="e">
        <f>#REF!*#REF!</f>
        <v>#REF!</v>
      </c>
      <c r="K806" s="178" t="e">
        <f>#REF!*mo</f>
        <v>#REF!</v>
      </c>
      <c r="L806" s="178" t="e">
        <f t="shared" si="99"/>
        <v>#REF!</v>
      </c>
      <c r="M806" s="178" t="e">
        <f>#REF!*#REF!</f>
        <v>#REF!</v>
      </c>
      <c r="N806" s="178" t="e">
        <f>#REF!+K806+#REF!</f>
        <v>#REF!</v>
      </c>
      <c r="O806" s="181" t="e">
        <f t="shared" si="98"/>
        <v>#REF!</v>
      </c>
    </row>
    <row r="807" spans="1:15" s="193" customFormat="1" outlineLevel="2">
      <c r="A807" s="155"/>
      <c r="B807" s="233" t="s">
        <v>1091</v>
      </c>
      <c r="C807" s="190" t="s">
        <v>801</v>
      </c>
      <c r="D807" s="191"/>
      <c r="E807" s="176"/>
      <c r="F807" s="177"/>
      <c r="G807" s="192"/>
      <c r="H807" s="179"/>
      <c r="I807" s="339" t="e">
        <f>IF(#REF!="",#REF!*#REF!,IF(#REF!=0,#REF!*#REF!,#REF!*#REF!*#REF!))</f>
        <v>#REF!</v>
      </c>
      <c r="J807" s="180" t="e">
        <f>#REF!*#REF!</f>
        <v>#REF!</v>
      </c>
      <c r="K807" s="178" t="e">
        <f>#REF!*mo</f>
        <v>#REF!</v>
      </c>
      <c r="L807" s="178" t="e">
        <f t="shared" si="99"/>
        <v>#REF!</v>
      </c>
      <c r="M807" s="178" t="e">
        <f>#REF!*#REF!</f>
        <v>#REF!</v>
      </c>
      <c r="N807" s="178" t="e">
        <f>#REF!+K807+#REF!</f>
        <v>#REF!</v>
      </c>
      <c r="O807" s="181" t="e">
        <f t="shared" si="98"/>
        <v>#REF!</v>
      </c>
    </row>
    <row r="808" spans="1:15" s="193" customFormat="1" outlineLevel="2">
      <c r="A808" s="155"/>
      <c r="B808" s="233" t="s">
        <v>1092</v>
      </c>
      <c r="C808" s="190" t="s">
        <v>795</v>
      </c>
      <c r="D808" s="191"/>
      <c r="E808" s="176"/>
      <c r="F808" s="177"/>
      <c r="G808" s="192"/>
      <c r="H808" s="179"/>
      <c r="I808" s="339" t="e">
        <f>IF(#REF!="",#REF!*#REF!,IF(#REF!=0,#REF!*#REF!,#REF!*#REF!*#REF!))</f>
        <v>#REF!</v>
      </c>
      <c r="J808" s="180" t="e">
        <f>#REF!*#REF!</f>
        <v>#REF!</v>
      </c>
      <c r="K808" s="178" t="e">
        <f>#REF!*mo</f>
        <v>#REF!</v>
      </c>
      <c r="L808" s="178" t="e">
        <f t="shared" ref="L808" si="102">J808*mo</f>
        <v>#REF!</v>
      </c>
      <c r="M808" s="178" t="e">
        <f>#REF!*#REF!</f>
        <v>#REF!</v>
      </c>
      <c r="N808" s="178" t="e">
        <f>#REF!+K808+#REF!</f>
        <v>#REF!</v>
      </c>
      <c r="O808" s="181" t="e">
        <f t="shared" si="98"/>
        <v>#REF!</v>
      </c>
    </row>
    <row r="809" spans="1:15" s="193" customFormat="1" outlineLevel="2">
      <c r="A809" s="155"/>
      <c r="B809" s="233" t="s">
        <v>1093</v>
      </c>
      <c r="C809" s="190" t="s">
        <v>795</v>
      </c>
      <c r="D809" s="191"/>
      <c r="E809" s="176"/>
      <c r="F809" s="177"/>
      <c r="G809" s="192"/>
      <c r="H809" s="179"/>
      <c r="I809" s="339" t="e">
        <f>IF(#REF!="",#REF!*#REF!,IF(#REF!=0,#REF!*#REF!,#REF!*#REF!*#REF!))</f>
        <v>#REF!</v>
      </c>
      <c r="J809" s="180" t="e">
        <f>#REF!*#REF!</f>
        <v>#REF!</v>
      </c>
      <c r="K809" s="178" t="e">
        <f>#REF!*mo</f>
        <v>#REF!</v>
      </c>
      <c r="L809" s="178" t="e">
        <f t="shared" si="99"/>
        <v>#REF!</v>
      </c>
      <c r="M809" s="178" t="e">
        <f>#REF!*#REF!</f>
        <v>#REF!</v>
      </c>
      <c r="N809" s="178" t="e">
        <f>#REF!+K809+#REF!</f>
        <v>#REF!</v>
      </c>
      <c r="O809" s="181" t="e">
        <f t="shared" si="98"/>
        <v>#REF!</v>
      </c>
    </row>
    <row r="810" spans="1:15" s="193" customFormat="1" outlineLevel="2">
      <c r="A810" s="155"/>
      <c r="B810" s="233" t="s">
        <v>1094</v>
      </c>
      <c r="C810" s="190" t="s">
        <v>795</v>
      </c>
      <c r="D810" s="191"/>
      <c r="E810" s="176"/>
      <c r="F810" s="177"/>
      <c r="G810" s="192"/>
      <c r="H810" s="179"/>
      <c r="I810" s="339" t="e">
        <f>IF(#REF!="",#REF!*#REF!,IF(#REF!=0,#REF!*#REF!,#REF!*#REF!*#REF!))</f>
        <v>#REF!</v>
      </c>
      <c r="J810" s="180" t="e">
        <f>#REF!*#REF!</f>
        <v>#REF!</v>
      </c>
      <c r="K810" s="178" t="e">
        <f>#REF!*mo</f>
        <v>#REF!</v>
      </c>
      <c r="L810" s="178" t="e">
        <f t="shared" si="99"/>
        <v>#REF!</v>
      </c>
      <c r="M810" s="178" t="e">
        <f>#REF!*#REF!</f>
        <v>#REF!</v>
      </c>
      <c r="N810" s="178" t="e">
        <f>#REF!+K810+#REF!</f>
        <v>#REF!</v>
      </c>
      <c r="O810" s="181" t="e">
        <f t="shared" si="98"/>
        <v>#REF!</v>
      </c>
    </row>
    <row r="811" spans="1:15" s="193" customFormat="1" outlineLevel="2">
      <c r="A811" s="157"/>
      <c r="B811" s="233" t="s">
        <v>1095</v>
      </c>
      <c r="C811" s="190" t="s">
        <v>795</v>
      </c>
      <c r="D811" s="191"/>
      <c r="E811" s="176"/>
      <c r="F811" s="177"/>
      <c r="G811" s="192"/>
      <c r="H811" s="179"/>
      <c r="I811" s="339" t="e">
        <f>IF(#REF!="",#REF!*#REF!,IF(#REF!=0,#REF!*#REF!,#REF!*#REF!*#REF!))</f>
        <v>#REF!</v>
      </c>
      <c r="J811" s="180" t="e">
        <f>#REF!*#REF!</f>
        <v>#REF!</v>
      </c>
      <c r="K811" s="178" t="e">
        <f>#REF!*mo</f>
        <v>#REF!</v>
      </c>
      <c r="L811" s="178" t="e">
        <f t="shared" si="99"/>
        <v>#REF!</v>
      </c>
      <c r="M811" s="178" t="e">
        <f>#REF!*#REF!</f>
        <v>#REF!</v>
      </c>
      <c r="N811" s="178" t="e">
        <f>#REF!+K811+#REF!</f>
        <v>#REF!</v>
      </c>
      <c r="O811" s="181" t="e">
        <f t="shared" si="98"/>
        <v>#REF!</v>
      </c>
    </row>
    <row r="812" spans="1:15" s="193" customFormat="1" outlineLevel="2">
      <c r="A812" s="155"/>
      <c r="B812" s="156" t="s">
        <v>1096</v>
      </c>
      <c r="C812" s="190" t="s">
        <v>795</v>
      </c>
      <c r="D812" s="191"/>
      <c r="E812" s="176"/>
      <c r="F812" s="177"/>
      <c r="G812" s="192"/>
      <c r="H812" s="179"/>
      <c r="I812" s="339" t="e">
        <f>IF(#REF!="",#REF!*#REF!,IF(#REF!=0,#REF!*#REF!,#REF!*#REF!*#REF!))</f>
        <v>#REF!</v>
      </c>
      <c r="J812" s="180" t="e">
        <f>#REF!*#REF!</f>
        <v>#REF!</v>
      </c>
      <c r="K812" s="178" t="e">
        <f>#REF!*mo</f>
        <v>#REF!</v>
      </c>
      <c r="L812" s="178" t="e">
        <f t="shared" si="99"/>
        <v>#REF!</v>
      </c>
      <c r="M812" s="178" t="e">
        <f>#REF!*#REF!</f>
        <v>#REF!</v>
      </c>
      <c r="N812" s="178" t="e">
        <f>#REF!+K812+#REF!</f>
        <v>#REF!</v>
      </c>
      <c r="O812" s="181" t="e">
        <f t="shared" si="98"/>
        <v>#REF!</v>
      </c>
    </row>
    <row r="813" spans="1:15" s="193" customFormat="1" outlineLevel="1">
      <c r="A813" s="155"/>
      <c r="B813" s="198" t="str">
        <f>"Total "&amp;B804</f>
        <v>Total CUISINE</v>
      </c>
      <c r="C813" s="190"/>
      <c r="D813" s="191"/>
      <c r="E813" s="176"/>
      <c r="F813" s="177"/>
      <c r="G813" s="192"/>
      <c r="H813" s="179">
        <f>SUM(G804:G813)</f>
        <v>0</v>
      </c>
      <c r="I813" s="339" t="e">
        <f>IF(#REF!="",#REF!*#REF!,IF(#REF!=0,#REF!*#REF!,#REF!*#REF!*#REF!))</f>
        <v>#REF!</v>
      </c>
      <c r="J813" s="180" t="e">
        <f>#REF!*#REF!</f>
        <v>#REF!</v>
      </c>
      <c r="K813" s="178" t="e">
        <f>#REF!*mo</f>
        <v>#REF!</v>
      </c>
      <c r="L813" s="178" t="e">
        <f t="shared" si="99"/>
        <v>#REF!</v>
      </c>
      <c r="M813" s="178" t="e">
        <f>#REF!*#REF!</f>
        <v>#REF!</v>
      </c>
      <c r="N813" s="178" t="e">
        <f>#REF!+K813+#REF!</f>
        <v>#REF!</v>
      </c>
      <c r="O813" s="181" t="e">
        <f t="shared" si="98"/>
        <v>#REF!</v>
      </c>
    </row>
    <row r="814" spans="1:15" s="193" customFormat="1" outlineLevel="1">
      <c r="A814" s="155"/>
      <c r="B814" s="198"/>
      <c r="C814" s="190"/>
      <c r="D814" s="191"/>
      <c r="E814" s="176"/>
      <c r="F814" s="177"/>
      <c r="G814" s="192"/>
      <c r="H814" s="235"/>
      <c r="I814" s="339" t="e">
        <f>IF(#REF!="",#REF!*#REF!,IF(#REF!=0,#REF!*#REF!,#REF!*#REF!*#REF!))</f>
        <v>#REF!</v>
      </c>
      <c r="J814" s="180" t="e">
        <f>#REF!*#REF!</f>
        <v>#REF!</v>
      </c>
      <c r="K814" s="178" t="e">
        <f>#REF!*mo</f>
        <v>#REF!</v>
      </c>
      <c r="L814" s="178" t="e">
        <f t="shared" si="99"/>
        <v>#REF!</v>
      </c>
      <c r="M814" s="178" t="e">
        <f>#REF!*#REF!</f>
        <v>#REF!</v>
      </c>
      <c r="N814" s="178" t="e">
        <f>#REF!+K814+#REF!</f>
        <v>#REF!</v>
      </c>
      <c r="O814" s="181" t="e">
        <f t="shared" si="98"/>
        <v>#REF!</v>
      </c>
    </row>
    <row r="815" spans="1:15" s="209" customFormat="1" outlineLevel="1">
      <c r="A815" s="157" t="str">
        <f>A775&amp;".5"</f>
        <v>8.5</v>
      </c>
      <c r="B815" s="158" t="s">
        <v>1097</v>
      </c>
      <c r="C815" s="195"/>
      <c r="D815" s="170"/>
      <c r="E815" s="176"/>
      <c r="F815" s="177"/>
      <c r="G815" s="192">
        <f>SUM(F815:F821)</f>
        <v>0</v>
      </c>
      <c r="H815" s="196"/>
      <c r="I815" s="339" t="e">
        <f>IF(#REF!="",#REF!*#REF!,IF(#REF!=0,#REF!*#REF!,#REF!*#REF!*#REF!))</f>
        <v>#REF!</v>
      </c>
      <c r="J815" s="180" t="e">
        <f>#REF!*#REF!</f>
        <v>#REF!</v>
      </c>
      <c r="K815" s="178" t="e">
        <f>#REF!*mo</f>
        <v>#REF!</v>
      </c>
      <c r="L815" s="178" t="e">
        <f t="shared" si="99"/>
        <v>#REF!</v>
      </c>
      <c r="M815" s="178" t="e">
        <f>#REF!*#REF!</f>
        <v>#REF!</v>
      </c>
      <c r="N815" s="178" t="e">
        <f>#REF!+K815+#REF!</f>
        <v>#REF!</v>
      </c>
      <c r="O815" s="181" t="e">
        <f t="shared" si="98"/>
        <v>#REF!</v>
      </c>
    </row>
    <row r="816" spans="1:15" s="193" customFormat="1" outlineLevel="2">
      <c r="A816" s="155"/>
      <c r="B816" s="156"/>
      <c r="C816" s="190"/>
      <c r="D816" s="191"/>
      <c r="E816" s="176"/>
      <c r="F816" s="177"/>
      <c r="G816" s="192"/>
      <c r="H816" s="179"/>
      <c r="I816" s="339" t="e">
        <f>IF(#REF!="",#REF!*#REF!,IF(#REF!=0,#REF!*#REF!,#REF!*#REF!*#REF!))</f>
        <v>#REF!</v>
      </c>
      <c r="J816" s="180" t="e">
        <f>#REF!*#REF!</f>
        <v>#REF!</v>
      </c>
      <c r="K816" s="178" t="e">
        <f>#REF!*mo</f>
        <v>#REF!</v>
      </c>
      <c r="L816" s="178" t="e">
        <f t="shared" si="99"/>
        <v>#REF!</v>
      </c>
      <c r="M816" s="178" t="e">
        <f>#REF!*#REF!</f>
        <v>#REF!</v>
      </c>
      <c r="N816" s="178" t="e">
        <f>#REF!+K816+#REF!</f>
        <v>#REF!</v>
      </c>
      <c r="O816" s="181" t="e">
        <f t="shared" si="98"/>
        <v>#REF!</v>
      </c>
    </row>
    <row r="817" spans="1:15" s="193" customFormat="1" outlineLevel="2">
      <c r="A817" s="155"/>
      <c r="B817" s="236" t="s">
        <v>1098</v>
      </c>
      <c r="C817" s="190" t="s">
        <v>795</v>
      </c>
      <c r="D817" s="191"/>
      <c r="E817" s="176"/>
      <c r="F817" s="177"/>
      <c r="G817" s="192"/>
      <c r="H817" s="179"/>
      <c r="I817" s="339" t="e">
        <f>IF(#REF!="",#REF!*#REF!,IF(#REF!=0,#REF!*#REF!,#REF!*#REF!*#REF!))</f>
        <v>#REF!</v>
      </c>
      <c r="J817" s="180" t="e">
        <f>#REF!*#REF!</f>
        <v>#REF!</v>
      </c>
      <c r="K817" s="178" t="e">
        <f>#REF!*mo</f>
        <v>#REF!</v>
      </c>
      <c r="L817" s="178" t="e">
        <f t="shared" si="99"/>
        <v>#REF!</v>
      </c>
      <c r="M817" s="178" t="e">
        <f>#REF!*#REF!</f>
        <v>#REF!</v>
      </c>
      <c r="N817" s="178" t="e">
        <f>#REF!+K817+#REF!</f>
        <v>#REF!</v>
      </c>
      <c r="O817" s="181" t="e">
        <f t="shared" si="98"/>
        <v>#REF!</v>
      </c>
    </row>
    <row r="818" spans="1:15" s="193" customFormat="1" outlineLevel="2">
      <c r="A818" s="155"/>
      <c r="B818" s="236" t="s">
        <v>1099</v>
      </c>
      <c r="C818" s="190" t="s">
        <v>795</v>
      </c>
      <c r="D818" s="191"/>
      <c r="E818" s="176"/>
      <c r="F818" s="177"/>
      <c r="G818" s="192"/>
      <c r="H818" s="179"/>
      <c r="I818" s="339" t="e">
        <f>IF(#REF!="",#REF!*#REF!,IF(#REF!=0,#REF!*#REF!,#REF!*#REF!*#REF!))</f>
        <v>#REF!</v>
      </c>
      <c r="J818" s="180" t="e">
        <f>#REF!*#REF!</f>
        <v>#REF!</v>
      </c>
      <c r="K818" s="178" t="e">
        <f>#REF!*mo</f>
        <v>#REF!</v>
      </c>
      <c r="L818" s="178" t="e">
        <f t="shared" si="99"/>
        <v>#REF!</v>
      </c>
      <c r="M818" s="178" t="e">
        <f>#REF!*#REF!</f>
        <v>#REF!</v>
      </c>
      <c r="N818" s="178" t="e">
        <f>#REF!+K818+#REF!</f>
        <v>#REF!</v>
      </c>
      <c r="O818" s="181" t="e">
        <f t="shared" si="98"/>
        <v>#REF!</v>
      </c>
    </row>
    <row r="819" spans="1:15" s="193" customFormat="1" outlineLevel="2">
      <c r="A819" s="155"/>
      <c r="B819" s="156"/>
      <c r="C819" s="190"/>
      <c r="D819" s="191"/>
      <c r="E819" s="176"/>
      <c r="F819" s="177"/>
      <c r="G819" s="192"/>
      <c r="H819" s="179"/>
      <c r="I819" s="339" t="e">
        <f>IF(#REF!="",#REF!*#REF!,IF(#REF!=0,#REF!*#REF!,#REF!*#REF!*#REF!))</f>
        <v>#REF!</v>
      </c>
      <c r="J819" s="180" t="e">
        <f>#REF!*#REF!</f>
        <v>#REF!</v>
      </c>
      <c r="K819" s="178" t="e">
        <f>#REF!*mo</f>
        <v>#REF!</v>
      </c>
      <c r="L819" s="178" t="e">
        <f t="shared" si="99"/>
        <v>#REF!</v>
      </c>
      <c r="M819" s="178" t="e">
        <f>#REF!*#REF!</f>
        <v>#REF!</v>
      </c>
      <c r="N819" s="178" t="e">
        <f>#REF!+K819+#REF!</f>
        <v>#REF!</v>
      </c>
      <c r="O819" s="181" t="e">
        <f t="shared" si="98"/>
        <v>#REF!</v>
      </c>
    </row>
    <row r="820" spans="1:15" s="193" customFormat="1" outlineLevel="1">
      <c r="A820" s="155"/>
      <c r="B820" s="198" t="str">
        <f>"Total "&amp;B815</f>
        <v>Total LOCAUX D'ENTRETIEN</v>
      </c>
      <c r="C820" s="190"/>
      <c r="D820" s="191"/>
      <c r="E820" s="176"/>
      <c r="F820" s="177"/>
      <c r="G820" s="192"/>
      <c r="H820" s="179">
        <f>G815</f>
        <v>0</v>
      </c>
      <c r="I820" s="339" t="e">
        <f>IF(#REF!="",#REF!*#REF!,IF(#REF!=0,#REF!*#REF!,#REF!*#REF!*#REF!))</f>
        <v>#REF!</v>
      </c>
      <c r="J820" s="180" t="e">
        <f>#REF!*#REF!</f>
        <v>#REF!</v>
      </c>
      <c r="K820" s="178" t="e">
        <f>#REF!*mo</f>
        <v>#REF!</v>
      </c>
      <c r="L820" s="178" t="e">
        <f t="shared" si="99"/>
        <v>#REF!</v>
      </c>
      <c r="M820" s="178" t="e">
        <f>#REF!*#REF!</f>
        <v>#REF!</v>
      </c>
      <c r="N820" s="178" t="e">
        <f>#REF!+K820+#REF!</f>
        <v>#REF!</v>
      </c>
      <c r="O820" s="181" t="e">
        <f t="shared" si="98"/>
        <v>#REF!</v>
      </c>
    </row>
    <row r="821" spans="1:15" s="193" customFormat="1" outlineLevel="1">
      <c r="A821" s="155"/>
      <c r="B821" s="156"/>
      <c r="C821" s="190"/>
      <c r="D821" s="191"/>
      <c r="E821" s="176"/>
      <c r="F821" s="177"/>
      <c r="G821" s="192"/>
      <c r="H821" s="179"/>
      <c r="I821" s="339" t="e">
        <f>IF(#REF!="",#REF!*#REF!,IF(#REF!=0,#REF!*#REF!,#REF!*#REF!*#REF!))</f>
        <v>#REF!</v>
      </c>
      <c r="J821" s="180" t="e">
        <f>#REF!*#REF!</f>
        <v>#REF!</v>
      </c>
      <c r="K821" s="178" t="e">
        <f>#REF!*mo</f>
        <v>#REF!</v>
      </c>
      <c r="L821" s="178" t="e">
        <f t="shared" si="99"/>
        <v>#REF!</v>
      </c>
      <c r="M821" s="178" t="e">
        <f>#REF!*#REF!</f>
        <v>#REF!</v>
      </c>
      <c r="N821" s="178" t="e">
        <f>#REF!+K821+#REF!</f>
        <v>#REF!</v>
      </c>
      <c r="O821" s="181" t="e">
        <f t="shared" si="98"/>
        <v>#REF!</v>
      </c>
    </row>
    <row r="822" spans="1:15" s="194" customFormat="1" ht="12.6">
      <c r="A822" s="153">
        <v>9</v>
      </c>
      <c r="B822" s="154" t="s">
        <v>1100</v>
      </c>
      <c r="C822" s="182"/>
      <c r="D822" s="183"/>
      <c r="E822" s="184"/>
      <c r="F822" s="185"/>
      <c r="G822" s="186"/>
      <c r="H822" s="187">
        <f>SUM(H838:H847)</f>
        <v>0</v>
      </c>
      <c r="I822" s="339" t="e">
        <f>IF(#REF!="",#REF!*#REF!,IF(#REF!=0,#REF!*#REF!,#REF!*#REF!*#REF!))</f>
        <v>#REF!</v>
      </c>
      <c r="J822" s="180" t="e">
        <f>#REF!*#REF!</f>
        <v>#REF!</v>
      </c>
      <c r="K822" s="178" t="e">
        <f>#REF!*mo</f>
        <v>#REF!</v>
      </c>
      <c r="L822" s="178" t="e">
        <f t="shared" si="99"/>
        <v>#REF!</v>
      </c>
      <c r="M822" s="178" t="e">
        <f>#REF!*#REF!</f>
        <v>#REF!</v>
      </c>
      <c r="N822" s="178" t="e">
        <f>#REF!+K822+#REF!</f>
        <v>#REF!</v>
      </c>
      <c r="O822" s="181" t="e">
        <f t="shared" si="98"/>
        <v>#REF!</v>
      </c>
    </row>
    <row r="823" spans="1:15" s="193" customFormat="1" outlineLevel="1">
      <c r="A823" s="155"/>
      <c r="B823" s="156"/>
      <c r="C823" s="190"/>
      <c r="D823" s="191"/>
      <c r="E823" s="176"/>
      <c r="F823" s="177"/>
      <c r="G823" s="192"/>
      <c r="H823" s="179"/>
      <c r="I823" s="339" t="e">
        <f>IF(#REF!="",#REF!*#REF!,IF(#REF!=0,#REF!*#REF!,#REF!*#REF!*#REF!))</f>
        <v>#REF!</v>
      </c>
      <c r="J823" s="180" t="e">
        <f>#REF!*#REF!</f>
        <v>#REF!</v>
      </c>
      <c r="K823" s="178" t="e">
        <f>#REF!*mo</f>
        <v>#REF!</v>
      </c>
      <c r="L823" s="178" t="e">
        <f t="shared" si="99"/>
        <v>#REF!</v>
      </c>
      <c r="M823" s="178" t="e">
        <f>#REF!*#REF!</f>
        <v>#REF!</v>
      </c>
      <c r="N823" s="178" t="e">
        <f>#REF!+K823+#REF!</f>
        <v>#REF!</v>
      </c>
      <c r="O823" s="181" t="e">
        <f t="shared" si="98"/>
        <v>#REF!</v>
      </c>
    </row>
    <row r="824" spans="1:15" s="251" customFormat="1" outlineLevel="1">
      <c r="A824" s="157" t="str">
        <f>$A$2135&amp;".2"</f>
        <v>.2</v>
      </c>
      <c r="B824" s="158" t="s">
        <v>1101</v>
      </c>
      <c r="C824" s="249"/>
      <c r="D824" s="250"/>
      <c r="E824" s="176"/>
      <c r="F824" s="177"/>
      <c r="G824" s="192">
        <f>SUM(F825:F836)</f>
        <v>0</v>
      </c>
      <c r="H824" s="179"/>
      <c r="I824" s="339" t="e">
        <f>IF(#REF!="",#REF!*#REF!,IF(#REF!=0,#REF!*#REF!,#REF!*#REF!*#REF!))</f>
        <v>#REF!</v>
      </c>
      <c r="J824" s="180" t="e">
        <f>#REF!*#REF!</f>
        <v>#REF!</v>
      </c>
      <c r="K824" s="178" t="e">
        <f>#REF!*mo</f>
        <v>#REF!</v>
      </c>
      <c r="L824" s="178" t="e">
        <f t="shared" ref="L824:L838" si="103">J824*mo</f>
        <v>#REF!</v>
      </c>
      <c r="M824" s="178" t="e">
        <f>#REF!*#REF!</f>
        <v>#REF!</v>
      </c>
      <c r="N824" s="178" t="e">
        <f>#REF!+K824+#REF!</f>
        <v>#REF!</v>
      </c>
      <c r="O824" s="181" t="e">
        <f t="shared" si="98"/>
        <v>#REF!</v>
      </c>
    </row>
    <row r="825" spans="1:15" s="193" customFormat="1" outlineLevel="2">
      <c r="A825" s="155"/>
      <c r="B825" s="156"/>
      <c r="C825" s="190"/>
      <c r="D825" s="191"/>
      <c r="E825" s="176"/>
      <c r="F825" s="177"/>
      <c r="G825" s="192"/>
      <c r="H825" s="179"/>
      <c r="I825" s="339" t="e">
        <f>IF(#REF!="",#REF!*#REF!,IF(#REF!=0,#REF!*#REF!,#REF!*#REF!*#REF!))</f>
        <v>#REF!</v>
      </c>
      <c r="J825" s="180" t="e">
        <f>#REF!*#REF!</f>
        <v>#REF!</v>
      </c>
      <c r="K825" s="178" t="e">
        <f>#REF!*mo</f>
        <v>#REF!</v>
      </c>
      <c r="L825" s="178" t="e">
        <f t="shared" si="103"/>
        <v>#REF!</v>
      </c>
      <c r="M825" s="178" t="e">
        <f>#REF!*#REF!</f>
        <v>#REF!</v>
      </c>
      <c r="N825" s="178" t="e">
        <f>#REF!+K825+#REF!</f>
        <v>#REF!</v>
      </c>
      <c r="O825" s="181" t="e">
        <f t="shared" si="98"/>
        <v>#REF!</v>
      </c>
    </row>
    <row r="826" spans="1:15" s="193" customFormat="1" outlineLevel="2">
      <c r="A826" s="155"/>
      <c r="B826" s="156" t="s">
        <v>1102</v>
      </c>
      <c r="C826" s="190" t="s">
        <v>93</v>
      </c>
      <c r="D826" s="191"/>
      <c r="E826" s="176"/>
      <c r="F826" s="177"/>
      <c r="G826" s="192"/>
      <c r="H826" s="179"/>
      <c r="I826" s="339" t="e">
        <f>IF(#REF!="",#REF!*#REF!,IF(#REF!=0,#REF!*#REF!,#REF!*#REF!*#REF!))</f>
        <v>#REF!</v>
      </c>
      <c r="J826" s="180" t="e">
        <f>#REF!*#REF!</f>
        <v>#REF!</v>
      </c>
      <c r="K826" s="178" t="e">
        <f>#REF!*mo</f>
        <v>#REF!</v>
      </c>
      <c r="L826" s="178" t="e">
        <f t="shared" si="103"/>
        <v>#REF!</v>
      </c>
      <c r="M826" s="178" t="e">
        <f>#REF!*#REF!</f>
        <v>#REF!</v>
      </c>
      <c r="N826" s="178" t="e">
        <f>#REF!+K826+#REF!</f>
        <v>#REF!</v>
      </c>
      <c r="O826" s="181" t="e">
        <f t="shared" si="98"/>
        <v>#REF!</v>
      </c>
    </row>
    <row r="827" spans="1:15" s="193" customFormat="1" outlineLevel="2">
      <c r="A827" s="155"/>
      <c r="B827" s="156" t="s">
        <v>1103</v>
      </c>
      <c r="C827" s="190" t="s">
        <v>123</v>
      </c>
      <c r="D827" s="191"/>
      <c r="E827" s="176"/>
      <c r="F827" s="177"/>
      <c r="G827" s="192"/>
      <c r="H827" s="179"/>
      <c r="I827" s="339" t="e">
        <f>IF(#REF!="",#REF!*#REF!,IF(#REF!=0,#REF!*#REF!,#REF!*#REF!*#REF!))</f>
        <v>#REF!</v>
      </c>
      <c r="J827" s="180" t="e">
        <f>#REF!*#REF!</f>
        <v>#REF!</v>
      </c>
      <c r="K827" s="178" t="e">
        <f>#REF!*mo</f>
        <v>#REF!</v>
      </c>
      <c r="L827" s="178" t="e">
        <f t="shared" si="103"/>
        <v>#REF!</v>
      </c>
      <c r="M827" s="178" t="e">
        <f>#REF!*#REF!</f>
        <v>#REF!</v>
      </c>
      <c r="N827" s="178" t="e">
        <f>#REF!+K827+#REF!</f>
        <v>#REF!</v>
      </c>
      <c r="O827" s="181" t="e">
        <f t="shared" si="98"/>
        <v>#REF!</v>
      </c>
    </row>
    <row r="828" spans="1:15" s="193" customFormat="1" outlineLevel="2">
      <c r="A828" s="155"/>
      <c r="B828" s="156" t="s">
        <v>1104</v>
      </c>
      <c r="C828" s="190" t="s">
        <v>93</v>
      </c>
      <c r="D828" s="191"/>
      <c r="E828" s="176"/>
      <c r="F828" s="177"/>
      <c r="G828" s="192"/>
      <c r="H828" s="179"/>
      <c r="I828" s="339" t="e">
        <f>IF(#REF!="",#REF!*#REF!,IF(#REF!=0,#REF!*#REF!,#REF!*#REF!*#REF!))</f>
        <v>#REF!</v>
      </c>
      <c r="J828" s="180" t="e">
        <f>#REF!*#REF!</f>
        <v>#REF!</v>
      </c>
      <c r="K828" s="178" t="e">
        <f>#REF!*mo</f>
        <v>#REF!</v>
      </c>
      <c r="L828" s="178" t="e">
        <f t="shared" si="103"/>
        <v>#REF!</v>
      </c>
      <c r="M828" s="178" t="e">
        <f>#REF!*#REF!</f>
        <v>#REF!</v>
      </c>
      <c r="N828" s="178" t="e">
        <f>#REF!+K828+#REF!</f>
        <v>#REF!</v>
      </c>
      <c r="O828" s="181" t="e">
        <f t="shared" si="98"/>
        <v>#REF!</v>
      </c>
    </row>
    <row r="829" spans="1:15" s="193" customFormat="1" outlineLevel="2">
      <c r="A829" s="155"/>
      <c r="B829" s="156" t="s">
        <v>1105</v>
      </c>
      <c r="C829" s="190" t="s">
        <v>93</v>
      </c>
      <c r="D829" s="191"/>
      <c r="E829" s="176"/>
      <c r="F829" s="177"/>
      <c r="G829" s="192"/>
      <c r="H829" s="179"/>
      <c r="I829" s="339" t="e">
        <f>IF(#REF!="",#REF!*#REF!,IF(#REF!=0,#REF!*#REF!,#REF!*#REF!*#REF!))</f>
        <v>#REF!</v>
      </c>
      <c r="J829" s="180" t="e">
        <f>#REF!*#REF!</f>
        <v>#REF!</v>
      </c>
      <c r="K829" s="178" t="e">
        <f>#REF!*mo</f>
        <v>#REF!</v>
      </c>
      <c r="L829" s="178" t="e">
        <f t="shared" si="103"/>
        <v>#REF!</v>
      </c>
      <c r="M829" s="178" t="e">
        <f>#REF!*#REF!</f>
        <v>#REF!</v>
      </c>
      <c r="N829" s="178" t="e">
        <f>#REF!+K829+#REF!</f>
        <v>#REF!</v>
      </c>
      <c r="O829" s="181" t="e">
        <f t="shared" si="98"/>
        <v>#REF!</v>
      </c>
    </row>
    <row r="830" spans="1:15" s="193" customFormat="1" outlineLevel="2">
      <c r="A830" s="155"/>
      <c r="B830" s="156" t="s">
        <v>1106</v>
      </c>
      <c r="C830" s="190" t="s">
        <v>93</v>
      </c>
      <c r="D830" s="191"/>
      <c r="E830" s="176"/>
      <c r="F830" s="177"/>
      <c r="G830" s="192"/>
      <c r="H830" s="179"/>
      <c r="I830" s="339" t="e">
        <f>IF(#REF!="",#REF!*#REF!,IF(#REF!=0,#REF!*#REF!,#REF!*#REF!*#REF!))</f>
        <v>#REF!</v>
      </c>
      <c r="J830" s="180" t="e">
        <f>#REF!*#REF!</f>
        <v>#REF!</v>
      </c>
      <c r="K830" s="178" t="e">
        <f>#REF!*mo</f>
        <v>#REF!</v>
      </c>
      <c r="L830" s="178" t="e">
        <f t="shared" si="103"/>
        <v>#REF!</v>
      </c>
      <c r="M830" s="178" t="e">
        <f>#REF!*#REF!</f>
        <v>#REF!</v>
      </c>
      <c r="N830" s="178" t="e">
        <f>#REF!+K830+#REF!</f>
        <v>#REF!</v>
      </c>
      <c r="O830" s="181" t="e">
        <f t="shared" si="98"/>
        <v>#REF!</v>
      </c>
    </row>
    <row r="831" spans="1:15" s="193" customFormat="1" outlineLevel="2">
      <c r="A831" s="155"/>
      <c r="B831" s="156"/>
      <c r="C831" s="190"/>
      <c r="D831" s="191"/>
      <c r="E831" s="176"/>
      <c r="F831" s="177"/>
      <c r="G831" s="192"/>
      <c r="H831" s="179"/>
      <c r="I831" s="339" t="e">
        <f>IF(#REF!="",#REF!*#REF!,IF(#REF!=0,#REF!*#REF!,#REF!*#REF!*#REF!))</f>
        <v>#REF!</v>
      </c>
      <c r="J831" s="180" t="e">
        <f>#REF!*#REF!</f>
        <v>#REF!</v>
      </c>
      <c r="K831" s="178" t="e">
        <f>#REF!*mo</f>
        <v>#REF!</v>
      </c>
      <c r="L831" s="178" t="e">
        <f t="shared" si="103"/>
        <v>#REF!</v>
      </c>
      <c r="M831" s="178" t="e">
        <f>#REF!*#REF!</f>
        <v>#REF!</v>
      </c>
      <c r="N831" s="178" t="e">
        <f>#REF!+K831+#REF!</f>
        <v>#REF!</v>
      </c>
      <c r="O831" s="181" t="e">
        <f t="shared" si="98"/>
        <v>#REF!</v>
      </c>
    </row>
    <row r="832" spans="1:15" s="193" customFormat="1" outlineLevel="2">
      <c r="A832" s="155"/>
      <c r="B832" s="156" t="s">
        <v>1107</v>
      </c>
      <c r="C832" s="190" t="s">
        <v>795</v>
      </c>
      <c r="D832" s="191"/>
      <c r="E832" s="176"/>
      <c r="F832" s="177"/>
      <c r="G832" s="192"/>
      <c r="H832" s="179"/>
      <c r="I832" s="339" t="e">
        <f>IF(#REF!="",#REF!*#REF!,IF(#REF!=0,#REF!*#REF!,#REF!*#REF!*#REF!))</f>
        <v>#REF!</v>
      </c>
      <c r="J832" s="180" t="e">
        <f>#REF!*#REF!</f>
        <v>#REF!</v>
      </c>
      <c r="K832" s="178" t="e">
        <f>#REF!*mo</f>
        <v>#REF!</v>
      </c>
      <c r="L832" s="178" t="e">
        <f t="shared" si="103"/>
        <v>#REF!</v>
      </c>
      <c r="M832" s="178" t="e">
        <f>#REF!*#REF!</f>
        <v>#REF!</v>
      </c>
      <c r="N832" s="178" t="e">
        <f>#REF!+K832+#REF!</f>
        <v>#REF!</v>
      </c>
      <c r="O832" s="181" t="e">
        <f t="shared" si="98"/>
        <v>#REF!</v>
      </c>
    </row>
    <row r="833" spans="1:15" s="193" customFormat="1" outlineLevel="2">
      <c r="A833" s="155"/>
      <c r="B833" s="156"/>
      <c r="C833" s="190"/>
      <c r="D833" s="191"/>
      <c r="E833" s="176"/>
      <c r="F833" s="177"/>
      <c r="G833" s="192"/>
      <c r="H833" s="179"/>
      <c r="I833" s="339" t="e">
        <f>IF(#REF!="",#REF!*#REF!,IF(#REF!=0,#REF!*#REF!,#REF!*#REF!*#REF!))</f>
        <v>#REF!</v>
      </c>
      <c r="J833" s="180" t="e">
        <f>#REF!*#REF!</f>
        <v>#REF!</v>
      </c>
      <c r="K833" s="178" t="e">
        <f>#REF!*mo</f>
        <v>#REF!</v>
      </c>
      <c r="L833" s="178" t="e">
        <f t="shared" si="103"/>
        <v>#REF!</v>
      </c>
      <c r="M833" s="178" t="e">
        <f>#REF!*#REF!</f>
        <v>#REF!</v>
      </c>
      <c r="N833" s="178" t="e">
        <f>#REF!+K833+#REF!</f>
        <v>#REF!</v>
      </c>
      <c r="O833" s="181" t="e">
        <f t="shared" si="98"/>
        <v>#REF!</v>
      </c>
    </row>
    <row r="834" spans="1:15" s="193" customFormat="1" outlineLevel="2">
      <c r="A834" s="155"/>
      <c r="B834" s="156" t="s">
        <v>1108</v>
      </c>
      <c r="C834" s="190" t="s">
        <v>795</v>
      </c>
      <c r="D834" s="191"/>
      <c r="E834" s="176"/>
      <c r="F834" s="177"/>
      <c r="G834" s="192"/>
      <c r="H834" s="179"/>
      <c r="I834" s="339" t="e">
        <f>IF(#REF!="",#REF!*#REF!,IF(#REF!=0,#REF!*#REF!,#REF!*#REF!*#REF!))</f>
        <v>#REF!</v>
      </c>
      <c r="J834" s="180" t="e">
        <f>#REF!*#REF!</f>
        <v>#REF!</v>
      </c>
      <c r="K834" s="178" t="e">
        <f>#REF!*mo</f>
        <v>#REF!</v>
      </c>
      <c r="L834" s="178" t="e">
        <f t="shared" si="103"/>
        <v>#REF!</v>
      </c>
      <c r="M834" s="178" t="e">
        <f>#REF!*#REF!</f>
        <v>#REF!</v>
      </c>
      <c r="N834" s="178" t="e">
        <f>#REF!+K834+#REF!</f>
        <v>#REF!</v>
      </c>
      <c r="O834" s="181" t="e">
        <f t="shared" si="98"/>
        <v>#REF!</v>
      </c>
    </row>
    <row r="835" spans="1:15" s="193" customFormat="1" outlineLevel="2">
      <c r="A835" s="155"/>
      <c r="B835" s="156"/>
      <c r="C835" s="190"/>
      <c r="D835" s="191"/>
      <c r="E835" s="176"/>
      <c r="F835" s="177"/>
      <c r="G835" s="192"/>
      <c r="H835" s="179"/>
      <c r="I835" s="339" t="e">
        <f>IF(#REF!="",#REF!*#REF!,IF(#REF!=0,#REF!*#REF!,#REF!*#REF!*#REF!))</f>
        <v>#REF!</v>
      </c>
      <c r="J835" s="180" t="e">
        <f>#REF!*#REF!</f>
        <v>#REF!</v>
      </c>
      <c r="K835" s="178" t="e">
        <f>#REF!*mo</f>
        <v>#REF!</v>
      </c>
      <c r="L835" s="178" t="e">
        <f t="shared" si="103"/>
        <v>#REF!</v>
      </c>
      <c r="M835" s="178" t="e">
        <f>#REF!*#REF!</f>
        <v>#REF!</v>
      </c>
      <c r="N835" s="178" t="e">
        <f>#REF!+K835+#REF!</f>
        <v>#REF!</v>
      </c>
      <c r="O835" s="181" t="e">
        <f t="shared" si="98"/>
        <v>#REF!</v>
      </c>
    </row>
    <row r="836" spans="1:15" s="193" customFormat="1" outlineLevel="2">
      <c r="A836" s="155"/>
      <c r="B836" s="156" t="s">
        <v>1109</v>
      </c>
      <c r="C836" s="190" t="s">
        <v>795</v>
      </c>
      <c r="D836" s="191"/>
      <c r="E836" s="176"/>
      <c r="F836" s="177"/>
      <c r="G836" s="192"/>
      <c r="H836" s="179"/>
      <c r="I836" s="339" t="e">
        <f>IF(#REF!="",#REF!*#REF!,IF(#REF!=0,#REF!*#REF!,#REF!*#REF!*#REF!))</f>
        <v>#REF!</v>
      </c>
      <c r="J836" s="180" t="e">
        <f>#REF!*#REF!</f>
        <v>#REF!</v>
      </c>
      <c r="K836" s="178" t="e">
        <f>#REF!*mo</f>
        <v>#REF!</v>
      </c>
      <c r="L836" s="178" t="e">
        <f t="shared" si="103"/>
        <v>#REF!</v>
      </c>
      <c r="M836" s="178" t="e">
        <f>#REF!*#REF!</f>
        <v>#REF!</v>
      </c>
      <c r="N836" s="178" t="e">
        <f>#REF!+K836+#REF!</f>
        <v>#REF!</v>
      </c>
      <c r="O836" s="181" t="e">
        <f t="shared" si="98"/>
        <v>#REF!</v>
      </c>
    </row>
    <row r="837" spans="1:15" s="193" customFormat="1" outlineLevel="2">
      <c r="A837" s="155"/>
      <c r="B837" s="156"/>
      <c r="C837" s="190"/>
      <c r="D837" s="191"/>
      <c r="E837" s="176"/>
      <c r="F837" s="177"/>
      <c r="G837" s="192"/>
      <c r="H837" s="179"/>
      <c r="I837" s="339" t="e">
        <f>IF(#REF!="",#REF!*#REF!,IF(#REF!=0,#REF!*#REF!,#REF!*#REF!*#REF!))</f>
        <v>#REF!</v>
      </c>
      <c r="J837" s="180" t="e">
        <f>#REF!*#REF!</f>
        <v>#REF!</v>
      </c>
      <c r="K837" s="178" t="e">
        <f>#REF!*mo</f>
        <v>#REF!</v>
      </c>
      <c r="L837" s="178" t="e">
        <f t="shared" ref="L837" si="104">J837*mo</f>
        <v>#REF!</v>
      </c>
      <c r="M837" s="178" t="e">
        <f>#REF!*#REF!</f>
        <v>#REF!</v>
      </c>
      <c r="N837" s="178" t="e">
        <f>#REF!+K837+#REF!</f>
        <v>#REF!</v>
      </c>
      <c r="O837" s="181" t="e">
        <f t="shared" si="98"/>
        <v>#REF!</v>
      </c>
    </row>
    <row r="838" spans="1:15" s="251" customFormat="1" outlineLevel="1">
      <c r="A838" s="157"/>
      <c r="B838" s="198" t="str">
        <f>"Total "&amp;B824</f>
        <v>Total COLONNES SECHES</v>
      </c>
      <c r="C838" s="249"/>
      <c r="D838" s="250"/>
      <c r="E838" s="176"/>
      <c r="F838" s="177"/>
      <c r="H838" s="179">
        <f>SUM(F825:F838)</f>
        <v>0</v>
      </c>
      <c r="I838" s="339" t="e">
        <f>IF(#REF!="",#REF!*#REF!,IF(#REF!=0,#REF!*#REF!,#REF!*#REF!*#REF!))</f>
        <v>#REF!</v>
      </c>
      <c r="J838" s="180" t="e">
        <f>#REF!*#REF!</f>
        <v>#REF!</v>
      </c>
      <c r="K838" s="178" t="e">
        <f>#REF!*mo</f>
        <v>#REF!</v>
      </c>
      <c r="L838" s="178" t="e">
        <f t="shared" si="103"/>
        <v>#REF!</v>
      </c>
      <c r="M838" s="178" t="e">
        <f>#REF!*#REF!</f>
        <v>#REF!</v>
      </c>
      <c r="N838" s="178" t="e">
        <f>#REF!+K838+#REF!</f>
        <v>#REF!</v>
      </c>
      <c r="O838" s="181" t="e">
        <f t="shared" si="98"/>
        <v>#REF!</v>
      </c>
    </row>
    <row r="839" spans="1:15" s="193" customFormat="1" outlineLevel="1">
      <c r="A839" s="155"/>
      <c r="B839" s="156"/>
      <c r="C839" s="190"/>
      <c r="D839" s="191"/>
      <c r="E839" s="176"/>
      <c r="F839" s="177"/>
      <c r="G839" s="192"/>
      <c r="H839" s="179"/>
      <c r="I839" s="339" t="e">
        <f>IF(#REF!="",#REF!*#REF!,IF(#REF!=0,#REF!*#REF!,#REF!*#REF!*#REF!))</f>
        <v>#REF!</v>
      </c>
      <c r="J839" s="180" t="e">
        <f>#REF!*#REF!</f>
        <v>#REF!</v>
      </c>
      <c r="K839" s="178" t="e">
        <f>#REF!*mo</f>
        <v>#REF!</v>
      </c>
      <c r="L839" s="178" t="e">
        <f t="shared" si="99"/>
        <v>#REF!</v>
      </c>
      <c r="M839" s="178" t="e">
        <f>#REF!*#REF!</f>
        <v>#REF!</v>
      </c>
      <c r="N839" s="178" t="e">
        <f>#REF!+K839+#REF!</f>
        <v>#REF!</v>
      </c>
      <c r="O839" s="181" t="e">
        <f t="shared" si="98"/>
        <v>#REF!</v>
      </c>
    </row>
    <row r="840" spans="1:15" s="251" customFormat="1" outlineLevel="1">
      <c r="A840" s="157" t="str">
        <f>$A$822&amp;".1"</f>
        <v>9.1</v>
      </c>
      <c r="B840" s="158" t="s">
        <v>1110</v>
      </c>
      <c r="C840" s="249"/>
      <c r="D840" s="250"/>
      <c r="E840" s="176"/>
      <c r="F840" s="177"/>
      <c r="G840" s="192">
        <f>SUM(F841:F845)</f>
        <v>0</v>
      </c>
      <c r="H840" s="179"/>
      <c r="I840" s="339" t="e">
        <f>IF(#REF!="",#REF!*#REF!,IF(#REF!=0,#REF!*#REF!,#REF!*#REF!*#REF!))</f>
        <v>#REF!</v>
      </c>
      <c r="J840" s="180" t="e">
        <f>#REF!*#REF!</f>
        <v>#REF!</v>
      </c>
      <c r="K840" s="178" t="e">
        <f>#REF!*mo</f>
        <v>#REF!</v>
      </c>
      <c r="L840" s="178" t="e">
        <f t="shared" si="99"/>
        <v>#REF!</v>
      </c>
      <c r="M840" s="178" t="e">
        <f>#REF!*#REF!</f>
        <v>#REF!</v>
      </c>
      <c r="N840" s="178" t="e">
        <f>#REF!+K840+#REF!</f>
        <v>#REF!</v>
      </c>
      <c r="O840" s="181" t="e">
        <f t="shared" si="98"/>
        <v>#REF!</v>
      </c>
    </row>
    <row r="841" spans="1:15" s="193" customFormat="1" ht="12" customHeight="1" outlineLevel="2">
      <c r="A841" s="155"/>
      <c r="B841" s="236"/>
      <c r="C841" s="190"/>
      <c r="D841" s="191"/>
      <c r="E841" s="176"/>
      <c r="F841" s="177"/>
      <c r="G841" s="192"/>
      <c r="H841" s="179"/>
      <c r="I841" s="339" t="e">
        <f>IF(#REF!="",#REF!*#REF!,IF(#REF!=0,#REF!*#REF!,#REF!*#REF!*#REF!))</f>
        <v>#REF!</v>
      </c>
      <c r="J841" s="180" t="e">
        <f>#REF!*#REF!</f>
        <v>#REF!</v>
      </c>
      <c r="K841" s="178" t="e">
        <f>#REF!*mo</f>
        <v>#REF!</v>
      </c>
      <c r="L841" s="178" t="e">
        <f t="shared" si="99"/>
        <v>#REF!</v>
      </c>
      <c r="M841" s="178" t="e">
        <f>#REF!*#REF!</f>
        <v>#REF!</v>
      </c>
      <c r="N841" s="178" t="e">
        <f>#REF!+K841+#REF!</f>
        <v>#REF!</v>
      </c>
      <c r="O841" s="181" t="e">
        <f t="shared" ref="O841:O880" si="105">M841+L841+I841</f>
        <v>#REF!</v>
      </c>
    </row>
    <row r="842" spans="1:15" s="193" customFormat="1" ht="12" customHeight="1" outlineLevel="2">
      <c r="A842" s="155"/>
      <c r="B842" s="236" t="s">
        <v>1111</v>
      </c>
      <c r="C842" s="190" t="s">
        <v>93</v>
      </c>
      <c r="D842" s="191"/>
      <c r="E842" s="176"/>
      <c r="F842" s="177"/>
      <c r="G842" s="192"/>
      <c r="H842" s="179"/>
      <c r="I842" s="339" t="e">
        <f>IF(#REF!="",#REF!*#REF!,IF(#REF!=0,#REF!*#REF!,#REF!*#REF!*#REF!))</f>
        <v>#REF!</v>
      </c>
      <c r="J842" s="180" t="e">
        <f>#REF!*#REF!</f>
        <v>#REF!</v>
      </c>
      <c r="K842" s="178" t="e">
        <f>#REF!*mo</f>
        <v>#REF!</v>
      </c>
      <c r="L842" s="178" t="e">
        <f t="shared" si="99"/>
        <v>#REF!</v>
      </c>
      <c r="M842" s="178" t="e">
        <f>#REF!*#REF!</f>
        <v>#REF!</v>
      </c>
      <c r="N842" s="178" t="e">
        <f>#REF!+K842+#REF!</f>
        <v>#REF!</v>
      </c>
      <c r="O842" s="181" t="e">
        <f t="shared" si="105"/>
        <v>#REF!</v>
      </c>
    </row>
    <row r="843" spans="1:15" s="193" customFormat="1" outlineLevel="2">
      <c r="A843" s="155"/>
      <c r="B843" s="236" t="s">
        <v>1112</v>
      </c>
      <c r="C843" s="190" t="s">
        <v>93</v>
      </c>
      <c r="D843" s="191"/>
      <c r="E843" s="176"/>
      <c r="F843" s="177"/>
      <c r="G843" s="192"/>
      <c r="H843" s="179"/>
      <c r="I843" s="339" t="e">
        <f>IF(#REF!="",#REF!*#REF!,IF(#REF!=0,#REF!*#REF!,#REF!*#REF!*#REF!))</f>
        <v>#REF!</v>
      </c>
      <c r="J843" s="180" t="e">
        <f>#REF!*#REF!</f>
        <v>#REF!</v>
      </c>
      <c r="K843" s="178" t="e">
        <f>#REF!*mo</f>
        <v>#REF!</v>
      </c>
      <c r="L843" s="178" t="e">
        <f t="shared" si="99"/>
        <v>#REF!</v>
      </c>
      <c r="M843" s="178" t="e">
        <f>#REF!*#REF!</f>
        <v>#REF!</v>
      </c>
      <c r="N843" s="178" t="e">
        <f>#REF!+K843+#REF!</f>
        <v>#REF!</v>
      </c>
      <c r="O843" s="181" t="e">
        <f t="shared" si="105"/>
        <v>#REF!</v>
      </c>
    </row>
    <row r="844" spans="1:15" s="193" customFormat="1" outlineLevel="2">
      <c r="A844" s="155"/>
      <c r="B844" s="236" t="s">
        <v>1113</v>
      </c>
      <c r="C844" s="190" t="s">
        <v>93</v>
      </c>
      <c r="D844" s="191"/>
      <c r="E844" s="176"/>
      <c r="F844" s="177"/>
      <c r="G844" s="192"/>
      <c r="H844" s="179"/>
      <c r="I844" s="339" t="e">
        <f>IF(#REF!="",#REF!*#REF!,IF(#REF!=0,#REF!*#REF!,#REF!*#REF!*#REF!))</f>
        <v>#REF!</v>
      </c>
      <c r="J844" s="180" t="e">
        <f>#REF!*#REF!</f>
        <v>#REF!</v>
      </c>
      <c r="K844" s="178" t="e">
        <f>#REF!*mo</f>
        <v>#REF!</v>
      </c>
      <c r="L844" s="178" t="e">
        <f t="shared" si="99"/>
        <v>#REF!</v>
      </c>
      <c r="M844" s="178" t="e">
        <f>#REF!*#REF!</f>
        <v>#REF!</v>
      </c>
      <c r="N844" s="178" t="e">
        <f>#REF!+K844+#REF!</f>
        <v>#REF!</v>
      </c>
      <c r="O844" s="181" t="e">
        <f t="shared" si="105"/>
        <v>#REF!</v>
      </c>
    </row>
    <row r="845" spans="1:15" s="193" customFormat="1" outlineLevel="2">
      <c r="A845" s="155"/>
      <c r="B845" s="236"/>
      <c r="C845" s="190"/>
      <c r="D845" s="191"/>
      <c r="E845" s="176"/>
      <c r="F845" s="177"/>
      <c r="G845" s="192"/>
      <c r="H845" s="179"/>
      <c r="I845" s="339" t="e">
        <f>IF(#REF!="",#REF!*#REF!,IF(#REF!=0,#REF!*#REF!,#REF!*#REF!*#REF!))</f>
        <v>#REF!</v>
      </c>
      <c r="J845" s="180" t="e">
        <f>#REF!*#REF!</f>
        <v>#REF!</v>
      </c>
      <c r="K845" s="178" t="e">
        <f>#REF!*mo</f>
        <v>#REF!</v>
      </c>
      <c r="L845" s="178" t="e">
        <f t="shared" si="99"/>
        <v>#REF!</v>
      </c>
      <c r="M845" s="178" t="e">
        <f>#REF!*#REF!</f>
        <v>#REF!</v>
      </c>
      <c r="N845" s="178" t="e">
        <f>#REF!+K845+#REF!</f>
        <v>#REF!</v>
      </c>
      <c r="O845" s="181" t="e">
        <f t="shared" si="105"/>
        <v>#REF!</v>
      </c>
    </row>
    <row r="846" spans="1:15" s="251" customFormat="1" ht="12.6" customHeight="1" outlineLevel="1">
      <c r="A846" s="157"/>
      <c r="B846" s="198" t="str">
        <f>"Total "&amp;B840</f>
        <v>Total EXTINCTEURS</v>
      </c>
      <c r="C846" s="249"/>
      <c r="D846" s="250"/>
      <c r="E846" s="176"/>
      <c r="F846" s="177"/>
      <c r="G846" s="192"/>
      <c r="H846" s="179">
        <f>SUM(F840:F846)</f>
        <v>0</v>
      </c>
      <c r="I846" s="339" t="e">
        <f>IF(#REF!="",#REF!*#REF!,IF(#REF!=0,#REF!*#REF!,#REF!*#REF!*#REF!))</f>
        <v>#REF!</v>
      </c>
      <c r="J846" s="180" t="e">
        <f>#REF!*#REF!</f>
        <v>#REF!</v>
      </c>
      <c r="K846" s="178" t="e">
        <f>#REF!*mo</f>
        <v>#REF!</v>
      </c>
      <c r="L846" s="178" t="e">
        <f t="shared" si="99"/>
        <v>#REF!</v>
      </c>
      <c r="M846" s="178" t="e">
        <f>#REF!*#REF!</f>
        <v>#REF!</v>
      </c>
      <c r="N846" s="178" t="e">
        <f>#REF!+K846+#REF!</f>
        <v>#REF!</v>
      </c>
      <c r="O846" s="181" t="e">
        <f t="shared" si="105"/>
        <v>#REF!</v>
      </c>
    </row>
    <row r="847" spans="1:15" s="251" customFormat="1" ht="12.6" customHeight="1" outlineLevel="1">
      <c r="A847" s="157"/>
      <c r="B847" s="198"/>
      <c r="C847" s="249"/>
      <c r="D847" s="250"/>
      <c r="E847" s="176"/>
      <c r="F847" s="177"/>
      <c r="G847" s="192"/>
      <c r="H847" s="179"/>
      <c r="I847" s="339" t="e">
        <f>IF(#REF!="",#REF!*#REF!,IF(#REF!=0,#REF!*#REF!,#REF!*#REF!*#REF!))</f>
        <v>#REF!</v>
      </c>
      <c r="J847" s="180" t="e">
        <f>#REF!*#REF!</f>
        <v>#REF!</v>
      </c>
      <c r="K847" s="178" t="e">
        <f>#REF!*mo</f>
        <v>#REF!</v>
      </c>
      <c r="L847" s="178" t="e">
        <f t="shared" si="99"/>
        <v>#REF!</v>
      </c>
      <c r="M847" s="178" t="e">
        <f>#REF!*#REF!</f>
        <v>#REF!</v>
      </c>
      <c r="N847" s="178" t="e">
        <f>#REF!+K847+#REF!</f>
        <v>#REF!</v>
      </c>
      <c r="O847" s="181" t="e">
        <f t="shared" si="105"/>
        <v>#REF!</v>
      </c>
    </row>
    <row r="848" spans="1:15" s="194" customFormat="1" ht="12.6">
      <c r="A848" s="153">
        <v>10</v>
      </c>
      <c r="B848" s="154" t="s">
        <v>1114</v>
      </c>
      <c r="C848" s="182"/>
      <c r="D848" s="183"/>
      <c r="E848" s="184"/>
      <c r="F848" s="185"/>
      <c r="G848" s="186"/>
      <c r="H848" s="187">
        <f>SUM(H849:H880)</f>
        <v>0</v>
      </c>
      <c r="I848" s="339" t="e">
        <f>IF(#REF!="",#REF!*#REF!,IF(#REF!=0,#REF!*#REF!,#REF!*#REF!*#REF!))</f>
        <v>#REF!</v>
      </c>
      <c r="J848" s="180" t="e">
        <f>#REF!*#REF!</f>
        <v>#REF!</v>
      </c>
      <c r="K848" s="178" t="e">
        <f>#REF!*mo</f>
        <v>#REF!</v>
      </c>
      <c r="L848" s="178" t="e">
        <f t="shared" ref="L848:L878" si="106">J848*mo</f>
        <v>#REF!</v>
      </c>
      <c r="M848" s="178" t="e">
        <f>#REF!*#REF!</f>
        <v>#REF!</v>
      </c>
      <c r="N848" s="178" t="e">
        <f>#REF!+K848+#REF!</f>
        <v>#REF!</v>
      </c>
      <c r="O848" s="181" t="e">
        <f t="shared" si="105"/>
        <v>#REF!</v>
      </c>
    </row>
    <row r="849" spans="1:15" s="193" customFormat="1" outlineLevel="1">
      <c r="A849" s="155"/>
      <c r="B849" s="156"/>
      <c r="C849" s="190"/>
      <c r="D849" s="191"/>
      <c r="E849" s="176"/>
      <c r="F849" s="177"/>
      <c r="G849" s="192"/>
      <c r="H849" s="179"/>
      <c r="I849" s="339" t="e">
        <f>IF(#REF!="",#REF!*#REF!,IF(#REF!=0,#REF!*#REF!,#REF!*#REF!*#REF!))</f>
        <v>#REF!</v>
      </c>
      <c r="J849" s="180" t="e">
        <f>#REF!*#REF!</f>
        <v>#REF!</v>
      </c>
      <c r="K849" s="178" t="e">
        <f>#REF!*mo</f>
        <v>#REF!</v>
      </c>
      <c r="L849" s="178" t="e">
        <f t="shared" si="106"/>
        <v>#REF!</v>
      </c>
      <c r="M849" s="178" t="e">
        <f>#REF!*#REF!</f>
        <v>#REF!</v>
      </c>
      <c r="N849" s="178" t="e">
        <f>#REF!+K849+#REF!</f>
        <v>#REF!</v>
      </c>
      <c r="O849" s="181" t="e">
        <f t="shared" si="105"/>
        <v>#REF!</v>
      </c>
    </row>
    <row r="850" spans="1:15" s="209" customFormat="1" outlineLevel="1">
      <c r="A850" s="157" t="str">
        <f>$A$848&amp;".1"</f>
        <v>10.1</v>
      </c>
      <c r="B850" s="158" t="s">
        <v>1115</v>
      </c>
      <c r="C850" s="195"/>
      <c r="D850" s="170"/>
      <c r="E850" s="176"/>
      <c r="F850" s="177"/>
      <c r="G850" s="192">
        <f>SUM(F851:F856)</f>
        <v>0</v>
      </c>
      <c r="H850" s="196"/>
      <c r="I850" s="339" t="e">
        <f>IF(#REF!="",#REF!*#REF!,IF(#REF!=0,#REF!*#REF!,#REF!*#REF!*#REF!))</f>
        <v>#REF!</v>
      </c>
      <c r="J850" s="180" t="e">
        <f>#REF!*#REF!</f>
        <v>#REF!</v>
      </c>
      <c r="K850" s="178" t="e">
        <f>#REF!*mo</f>
        <v>#REF!</v>
      </c>
      <c r="L850" s="178" t="e">
        <f t="shared" si="106"/>
        <v>#REF!</v>
      </c>
      <c r="M850" s="178" t="e">
        <f>#REF!*#REF!</f>
        <v>#REF!</v>
      </c>
      <c r="N850" s="178" t="e">
        <f>#REF!+K850+#REF!</f>
        <v>#REF!</v>
      </c>
      <c r="O850" s="181" t="e">
        <f t="shared" si="105"/>
        <v>#REF!</v>
      </c>
    </row>
    <row r="851" spans="1:15" s="193" customFormat="1" outlineLevel="2">
      <c r="A851" s="155"/>
      <c r="B851" s="156"/>
      <c r="C851" s="190"/>
      <c r="D851" s="191"/>
      <c r="E851" s="176"/>
      <c r="F851" s="177"/>
      <c r="G851" s="192"/>
      <c r="H851" s="179"/>
      <c r="I851" s="339" t="e">
        <f>IF(#REF!="",#REF!*#REF!,IF(#REF!=0,#REF!*#REF!,#REF!*#REF!*#REF!))</f>
        <v>#REF!</v>
      </c>
      <c r="J851" s="180" t="e">
        <f>#REF!*#REF!</f>
        <v>#REF!</v>
      </c>
      <c r="K851" s="178" t="e">
        <f>#REF!*mo</f>
        <v>#REF!</v>
      </c>
      <c r="L851" s="178" t="e">
        <f t="shared" si="106"/>
        <v>#REF!</v>
      </c>
      <c r="M851" s="178" t="e">
        <f>#REF!*#REF!</f>
        <v>#REF!</v>
      </c>
      <c r="N851" s="178" t="e">
        <f>#REF!+K851+#REF!</f>
        <v>#REF!</v>
      </c>
      <c r="O851" s="181" t="e">
        <f t="shared" si="105"/>
        <v>#REF!</v>
      </c>
    </row>
    <row r="852" spans="1:15" s="193" customFormat="1" outlineLevel="2">
      <c r="A852" s="155"/>
      <c r="B852" s="156" t="s">
        <v>1116</v>
      </c>
      <c r="C852" s="190" t="s">
        <v>795</v>
      </c>
      <c r="D852" s="191"/>
      <c r="E852" s="176"/>
      <c r="F852" s="177"/>
      <c r="G852" s="192"/>
      <c r="H852" s="179"/>
      <c r="I852" s="339" t="e">
        <f>IF(#REF!="",#REF!*#REF!,IF(#REF!=0,#REF!*#REF!,#REF!*#REF!*#REF!))</f>
        <v>#REF!</v>
      </c>
      <c r="J852" s="180" t="e">
        <f>#REF!*#REF!</f>
        <v>#REF!</v>
      </c>
      <c r="K852" s="178" t="e">
        <f>#REF!*mo</f>
        <v>#REF!</v>
      </c>
      <c r="L852" s="178" t="e">
        <f t="shared" si="106"/>
        <v>#REF!</v>
      </c>
      <c r="M852" s="178" t="e">
        <f>#REF!*#REF!</f>
        <v>#REF!</v>
      </c>
      <c r="N852" s="178" t="e">
        <f>#REF!+K852+#REF!</f>
        <v>#REF!</v>
      </c>
      <c r="O852" s="181" t="e">
        <f t="shared" si="105"/>
        <v>#REF!</v>
      </c>
    </row>
    <row r="853" spans="1:15" s="193" customFormat="1" outlineLevel="2">
      <c r="A853" s="155"/>
      <c r="B853" s="156" t="s">
        <v>1117</v>
      </c>
      <c r="C853" s="190" t="s">
        <v>795</v>
      </c>
      <c r="D853" s="191"/>
      <c r="E853" s="176"/>
      <c r="F853" s="177"/>
      <c r="G853" s="192"/>
      <c r="H853" s="179"/>
      <c r="I853" s="339" t="e">
        <f>IF(#REF!="",#REF!*#REF!,IF(#REF!=0,#REF!*#REF!,#REF!*#REF!*#REF!))</f>
        <v>#REF!</v>
      </c>
      <c r="J853" s="180" t="e">
        <f>#REF!*#REF!</f>
        <v>#REF!</v>
      </c>
      <c r="K853" s="178" t="e">
        <f>#REF!*mo</f>
        <v>#REF!</v>
      </c>
      <c r="L853" s="178" t="e">
        <f t="shared" si="106"/>
        <v>#REF!</v>
      </c>
      <c r="M853" s="178" t="e">
        <f>#REF!*#REF!</f>
        <v>#REF!</v>
      </c>
      <c r="N853" s="178" t="e">
        <f>#REF!+K853+#REF!</f>
        <v>#REF!</v>
      </c>
      <c r="O853" s="181" t="e">
        <f t="shared" si="105"/>
        <v>#REF!</v>
      </c>
    </row>
    <row r="854" spans="1:15" s="193" customFormat="1" outlineLevel="2">
      <c r="A854" s="155"/>
      <c r="B854" s="156" t="s">
        <v>1118</v>
      </c>
      <c r="C854" s="190" t="s">
        <v>795</v>
      </c>
      <c r="D854" s="191"/>
      <c r="E854" s="176"/>
      <c r="F854" s="177"/>
      <c r="G854" s="192"/>
      <c r="H854" s="179"/>
      <c r="I854" s="339" t="e">
        <f>IF(#REF!="",#REF!*#REF!,IF(#REF!=0,#REF!*#REF!,#REF!*#REF!*#REF!))</f>
        <v>#REF!</v>
      </c>
      <c r="J854" s="180" t="e">
        <f>#REF!*#REF!</f>
        <v>#REF!</v>
      </c>
      <c r="K854" s="178" t="e">
        <f>#REF!*mo</f>
        <v>#REF!</v>
      </c>
      <c r="L854" s="178" t="e">
        <f t="shared" si="106"/>
        <v>#REF!</v>
      </c>
      <c r="M854" s="178" t="e">
        <f>#REF!*#REF!</f>
        <v>#REF!</v>
      </c>
      <c r="N854" s="178" t="e">
        <f>#REF!+K854+#REF!</f>
        <v>#REF!</v>
      </c>
      <c r="O854" s="181" t="e">
        <f t="shared" si="105"/>
        <v>#REF!</v>
      </c>
    </row>
    <row r="855" spans="1:15" s="193" customFormat="1" outlineLevel="2">
      <c r="A855" s="155"/>
      <c r="B855" s="156"/>
      <c r="C855" s="190"/>
      <c r="D855" s="191"/>
      <c r="E855" s="176"/>
      <c r="F855" s="177"/>
      <c r="G855" s="192"/>
      <c r="H855" s="179"/>
      <c r="I855" s="339" t="e">
        <f>IF(#REF!="",#REF!*#REF!,IF(#REF!=0,#REF!*#REF!,#REF!*#REF!*#REF!))</f>
        <v>#REF!</v>
      </c>
      <c r="J855" s="180" t="e">
        <f>#REF!*#REF!</f>
        <v>#REF!</v>
      </c>
      <c r="K855" s="178" t="e">
        <f>#REF!*mo</f>
        <v>#REF!</v>
      </c>
      <c r="L855" s="178" t="e">
        <f t="shared" si="106"/>
        <v>#REF!</v>
      </c>
      <c r="M855" s="178" t="e">
        <f>#REF!*#REF!</f>
        <v>#REF!</v>
      </c>
      <c r="N855" s="178" t="e">
        <f>#REF!+K855+#REF!</f>
        <v>#REF!</v>
      </c>
      <c r="O855" s="181" t="e">
        <f t="shared" si="105"/>
        <v>#REF!</v>
      </c>
    </row>
    <row r="856" spans="1:15" s="193" customFormat="1" outlineLevel="1">
      <c r="A856" s="155"/>
      <c r="B856" s="198" t="str">
        <f>"Total "&amp;B850</f>
        <v>Total ETUDES</v>
      </c>
      <c r="C856" s="190"/>
      <c r="D856" s="191"/>
      <c r="E856" s="176"/>
      <c r="F856" s="177"/>
      <c r="G856" s="192"/>
      <c r="H856" s="179">
        <f>G850</f>
        <v>0</v>
      </c>
      <c r="I856" s="339" t="e">
        <f>IF(#REF!="",#REF!*#REF!,IF(#REF!=0,#REF!*#REF!,#REF!*#REF!*#REF!))</f>
        <v>#REF!</v>
      </c>
      <c r="J856" s="180" t="e">
        <f>#REF!*#REF!</f>
        <v>#REF!</v>
      </c>
      <c r="K856" s="178" t="e">
        <f>#REF!*mo</f>
        <v>#REF!</v>
      </c>
      <c r="L856" s="178" t="e">
        <f t="shared" si="106"/>
        <v>#REF!</v>
      </c>
      <c r="M856" s="178" t="e">
        <f>#REF!*#REF!</f>
        <v>#REF!</v>
      </c>
      <c r="N856" s="178" t="e">
        <f>#REF!+K856+#REF!</f>
        <v>#REF!</v>
      </c>
      <c r="O856" s="181" t="e">
        <f t="shared" si="105"/>
        <v>#REF!</v>
      </c>
    </row>
    <row r="857" spans="1:15" s="193" customFormat="1" outlineLevel="1">
      <c r="A857" s="155"/>
      <c r="B857" s="198"/>
      <c r="C857" s="190"/>
      <c r="D857" s="191"/>
      <c r="E857" s="176"/>
      <c r="F857" s="177"/>
      <c r="G857" s="192"/>
      <c r="H857" s="235"/>
      <c r="I857" s="339" t="e">
        <f>IF(#REF!="",#REF!*#REF!,IF(#REF!=0,#REF!*#REF!,#REF!*#REF!*#REF!))</f>
        <v>#REF!</v>
      </c>
      <c r="J857" s="180" t="e">
        <f>#REF!*#REF!</f>
        <v>#REF!</v>
      </c>
      <c r="K857" s="178" t="e">
        <f>#REF!*mo</f>
        <v>#REF!</v>
      </c>
      <c r="L857" s="178" t="e">
        <f t="shared" si="106"/>
        <v>#REF!</v>
      </c>
      <c r="M857" s="178" t="e">
        <f>#REF!*#REF!</f>
        <v>#REF!</v>
      </c>
      <c r="N857" s="178" t="e">
        <f>#REF!+K857+#REF!</f>
        <v>#REF!</v>
      </c>
      <c r="O857" s="181" t="e">
        <f t="shared" si="105"/>
        <v>#REF!</v>
      </c>
    </row>
    <row r="858" spans="1:15" s="209" customFormat="1" outlineLevel="1">
      <c r="A858" s="157" t="str">
        <f>$A$848&amp;".2"</f>
        <v>10.2</v>
      </c>
      <c r="B858" s="158" t="s">
        <v>1119</v>
      </c>
      <c r="C858" s="195"/>
      <c r="D858" s="170"/>
      <c r="E858" s="176"/>
      <c r="F858" s="177"/>
      <c r="G858" s="192">
        <f>SUM(F859:F865)</f>
        <v>0</v>
      </c>
      <c r="H858" s="196"/>
      <c r="I858" s="339" t="e">
        <f>IF(#REF!="",#REF!*#REF!,IF(#REF!=0,#REF!*#REF!,#REF!*#REF!*#REF!))</f>
        <v>#REF!</v>
      </c>
      <c r="J858" s="180" t="e">
        <f>#REF!*#REF!</f>
        <v>#REF!</v>
      </c>
      <c r="K858" s="178" t="e">
        <f>#REF!*mo</f>
        <v>#REF!</v>
      </c>
      <c r="L858" s="178" t="e">
        <f t="shared" si="106"/>
        <v>#REF!</v>
      </c>
      <c r="M858" s="178" t="e">
        <f>#REF!*#REF!</f>
        <v>#REF!</v>
      </c>
      <c r="N858" s="178" t="e">
        <f>#REF!+K858+#REF!</f>
        <v>#REF!</v>
      </c>
      <c r="O858" s="181" t="e">
        <f t="shared" si="105"/>
        <v>#REF!</v>
      </c>
    </row>
    <row r="859" spans="1:15" s="193" customFormat="1" outlineLevel="2">
      <c r="A859" s="155"/>
      <c r="B859" s="156"/>
      <c r="C859" s="190"/>
      <c r="D859" s="191"/>
      <c r="E859" s="176"/>
      <c r="F859" s="177"/>
      <c r="G859" s="192"/>
      <c r="H859" s="179"/>
      <c r="I859" s="339" t="e">
        <f>IF(#REF!="",#REF!*#REF!,IF(#REF!=0,#REF!*#REF!,#REF!*#REF!*#REF!))</f>
        <v>#REF!</v>
      </c>
      <c r="J859" s="180" t="e">
        <f>#REF!*#REF!</f>
        <v>#REF!</v>
      </c>
      <c r="K859" s="178" t="e">
        <f>#REF!*mo</f>
        <v>#REF!</v>
      </c>
      <c r="L859" s="178" t="e">
        <f t="shared" si="106"/>
        <v>#REF!</v>
      </c>
      <c r="M859" s="178" t="e">
        <f>#REF!*#REF!</f>
        <v>#REF!</v>
      </c>
      <c r="N859" s="178" t="e">
        <f>#REF!+K859+#REF!</f>
        <v>#REF!</v>
      </c>
      <c r="O859" s="181" t="e">
        <f t="shared" si="105"/>
        <v>#REF!</v>
      </c>
    </row>
    <row r="860" spans="1:15" s="193" customFormat="1" outlineLevel="2">
      <c r="A860" s="155"/>
      <c r="B860" s="236" t="s">
        <v>1120</v>
      </c>
      <c r="C860" s="190" t="s">
        <v>93</v>
      </c>
      <c r="D860" s="191"/>
      <c r="E860" s="176"/>
      <c r="F860" s="177"/>
      <c r="G860" s="192"/>
      <c r="H860" s="179"/>
      <c r="I860" s="339" t="e">
        <f>IF(#REF!="",#REF!*#REF!,IF(#REF!=0,#REF!*#REF!,#REF!*#REF!*#REF!))</f>
        <v>#REF!</v>
      </c>
      <c r="J860" s="180" t="e">
        <f>#REF!*#REF!</f>
        <v>#REF!</v>
      </c>
      <c r="K860" s="178" t="e">
        <f>#REF!*mo</f>
        <v>#REF!</v>
      </c>
      <c r="L860" s="178" t="e">
        <f t="shared" si="106"/>
        <v>#REF!</v>
      </c>
      <c r="M860" s="178" t="e">
        <f>#REF!*#REF!</f>
        <v>#REF!</v>
      </c>
      <c r="N860" s="178" t="e">
        <f>#REF!+K860+#REF!</f>
        <v>#REF!</v>
      </c>
      <c r="O860" s="181" t="e">
        <f t="shared" si="105"/>
        <v>#REF!</v>
      </c>
    </row>
    <row r="861" spans="1:15" s="193" customFormat="1" outlineLevel="2">
      <c r="A861" s="155"/>
      <c r="B861" s="236" t="s">
        <v>1121</v>
      </c>
      <c r="C861" s="190" t="s">
        <v>801</v>
      </c>
      <c r="D861" s="191"/>
      <c r="E861" s="176"/>
      <c r="F861" s="177"/>
      <c r="G861" s="192"/>
      <c r="H861" s="179"/>
      <c r="I861" s="339" t="e">
        <f>IF(#REF!="",#REF!*#REF!,IF(#REF!=0,#REF!*#REF!,#REF!*#REF!*#REF!))</f>
        <v>#REF!</v>
      </c>
      <c r="J861" s="180" t="e">
        <f>#REF!*#REF!</f>
        <v>#REF!</v>
      </c>
      <c r="K861" s="178" t="e">
        <f>#REF!*mo</f>
        <v>#REF!</v>
      </c>
      <c r="L861" s="178" t="e">
        <f t="shared" si="106"/>
        <v>#REF!</v>
      </c>
      <c r="M861" s="178" t="e">
        <f>#REF!*#REF!</f>
        <v>#REF!</v>
      </c>
      <c r="N861" s="178" t="e">
        <f>#REF!+K861+#REF!</f>
        <v>#REF!</v>
      </c>
      <c r="O861" s="181" t="e">
        <f t="shared" si="105"/>
        <v>#REF!</v>
      </c>
    </row>
    <row r="862" spans="1:15" s="193" customFormat="1" outlineLevel="2">
      <c r="A862" s="155"/>
      <c r="B862" s="236" t="s">
        <v>1122</v>
      </c>
      <c r="C862" s="190" t="s">
        <v>801</v>
      </c>
      <c r="D862" s="191"/>
      <c r="E862" s="176"/>
      <c r="F862" s="177"/>
      <c r="G862" s="192"/>
      <c r="H862" s="179"/>
      <c r="I862" s="339" t="e">
        <f>IF(#REF!="",#REF!*#REF!,IF(#REF!=0,#REF!*#REF!,#REF!*#REF!*#REF!))</f>
        <v>#REF!</v>
      </c>
      <c r="J862" s="180" t="e">
        <f>#REF!*#REF!</f>
        <v>#REF!</v>
      </c>
      <c r="K862" s="178" t="e">
        <f>#REF!*mo</f>
        <v>#REF!</v>
      </c>
      <c r="L862" s="178" t="e">
        <f t="shared" si="106"/>
        <v>#REF!</v>
      </c>
      <c r="M862" s="178" t="e">
        <f>#REF!*#REF!</f>
        <v>#REF!</v>
      </c>
      <c r="N862" s="178" t="e">
        <f>#REF!+K862+#REF!</f>
        <v>#REF!</v>
      </c>
      <c r="O862" s="181" t="e">
        <f t="shared" si="105"/>
        <v>#REF!</v>
      </c>
    </row>
    <row r="863" spans="1:15" s="193" customFormat="1" outlineLevel="2">
      <c r="A863" s="155"/>
      <c r="B863" s="236" t="s">
        <v>1123</v>
      </c>
      <c r="C863" s="190" t="s">
        <v>801</v>
      </c>
      <c r="D863" s="191"/>
      <c r="E863" s="176"/>
      <c r="F863" s="177"/>
      <c r="G863" s="192"/>
      <c r="H863" s="179"/>
      <c r="I863" s="339" t="e">
        <f>IF(#REF!="",#REF!*#REF!,IF(#REF!=0,#REF!*#REF!,#REF!*#REF!*#REF!))</f>
        <v>#REF!</v>
      </c>
      <c r="J863" s="180" t="e">
        <f>#REF!*#REF!</f>
        <v>#REF!</v>
      </c>
      <c r="K863" s="178" t="e">
        <f>#REF!*mo</f>
        <v>#REF!</v>
      </c>
      <c r="L863" s="178" t="e">
        <f t="shared" si="106"/>
        <v>#REF!</v>
      </c>
      <c r="M863" s="178" t="e">
        <f>#REF!*#REF!</f>
        <v>#REF!</v>
      </c>
      <c r="N863" s="178" t="e">
        <f>#REF!+K863+#REF!</f>
        <v>#REF!</v>
      </c>
      <c r="O863" s="181" t="e">
        <f t="shared" si="105"/>
        <v>#REF!</v>
      </c>
    </row>
    <row r="864" spans="1:15" s="193" customFormat="1" outlineLevel="2">
      <c r="A864" s="155"/>
      <c r="B864" s="233"/>
      <c r="C864" s="190"/>
      <c r="D864" s="191"/>
      <c r="E864" s="176"/>
      <c r="F864" s="177"/>
      <c r="G864" s="192"/>
      <c r="H864" s="179"/>
      <c r="I864" s="339" t="e">
        <f>IF(#REF!="",#REF!*#REF!,IF(#REF!=0,#REF!*#REF!,#REF!*#REF!*#REF!))</f>
        <v>#REF!</v>
      </c>
      <c r="J864" s="180" t="e">
        <f>#REF!*#REF!</f>
        <v>#REF!</v>
      </c>
      <c r="K864" s="178" t="e">
        <f>#REF!*mo</f>
        <v>#REF!</v>
      </c>
      <c r="L864" s="178" t="e">
        <f t="shared" si="106"/>
        <v>#REF!</v>
      </c>
      <c r="M864" s="178" t="e">
        <f>#REF!*#REF!</f>
        <v>#REF!</v>
      </c>
      <c r="N864" s="178" t="e">
        <f>#REF!+K864+#REF!</f>
        <v>#REF!</v>
      </c>
      <c r="O864" s="181" t="e">
        <f t="shared" si="105"/>
        <v>#REF!</v>
      </c>
    </row>
    <row r="865" spans="1:15" s="193" customFormat="1" outlineLevel="1">
      <c r="A865" s="155"/>
      <c r="B865" s="198" t="str">
        <f>"Total "&amp;B858</f>
        <v>Total INSTALLATIONS DE CHANTIER</v>
      </c>
      <c r="C865" s="190"/>
      <c r="D865" s="191"/>
      <c r="E865" s="176"/>
      <c r="F865" s="177"/>
      <c r="G865" s="192"/>
      <c r="H865" s="179">
        <f>G858</f>
        <v>0</v>
      </c>
      <c r="I865" s="339" t="e">
        <f>IF(#REF!="",#REF!*#REF!,IF(#REF!=0,#REF!*#REF!,#REF!*#REF!*#REF!))</f>
        <v>#REF!</v>
      </c>
      <c r="J865" s="180" t="e">
        <f>#REF!*#REF!</f>
        <v>#REF!</v>
      </c>
      <c r="K865" s="178" t="e">
        <f>#REF!*mo</f>
        <v>#REF!</v>
      </c>
      <c r="L865" s="178" t="e">
        <f t="shared" si="106"/>
        <v>#REF!</v>
      </c>
      <c r="M865" s="178" t="e">
        <f>#REF!*#REF!</f>
        <v>#REF!</v>
      </c>
      <c r="N865" s="178" t="e">
        <f>#REF!+K865+#REF!</f>
        <v>#REF!</v>
      </c>
      <c r="O865" s="181" t="e">
        <f t="shared" si="105"/>
        <v>#REF!</v>
      </c>
    </row>
    <row r="866" spans="1:15" s="193" customFormat="1" outlineLevel="1">
      <c r="A866" s="155"/>
      <c r="B866" s="198"/>
      <c r="C866" s="190"/>
      <c r="D866" s="191"/>
      <c r="E866" s="176"/>
      <c r="F866" s="177"/>
      <c r="G866" s="192"/>
      <c r="H866" s="235"/>
      <c r="I866" s="339" t="e">
        <f>IF(#REF!="",#REF!*#REF!,IF(#REF!=0,#REF!*#REF!,#REF!*#REF!*#REF!))</f>
        <v>#REF!</v>
      </c>
      <c r="J866" s="180" t="e">
        <f>#REF!*#REF!</f>
        <v>#REF!</v>
      </c>
      <c r="K866" s="178" t="e">
        <f>#REF!*mo</f>
        <v>#REF!</v>
      </c>
      <c r="L866" s="178" t="e">
        <f t="shared" si="106"/>
        <v>#REF!</v>
      </c>
      <c r="M866" s="178" t="e">
        <f>#REF!*#REF!</f>
        <v>#REF!</v>
      </c>
      <c r="N866" s="178" t="e">
        <f>#REF!+K866+#REF!</f>
        <v>#REF!</v>
      </c>
      <c r="O866" s="181" t="e">
        <f t="shared" si="105"/>
        <v>#REF!</v>
      </c>
    </row>
    <row r="867" spans="1:15" s="209" customFormat="1" outlineLevel="1">
      <c r="A867" s="157" t="str">
        <f>$A$848&amp;".5"</f>
        <v>10.5</v>
      </c>
      <c r="B867" s="158" t="s">
        <v>1124</v>
      </c>
      <c r="C867" s="195"/>
      <c r="D867" s="170"/>
      <c r="E867" s="176"/>
      <c r="F867" s="177"/>
      <c r="G867" s="192">
        <f>SUM(F868:F873)</f>
        <v>0</v>
      </c>
      <c r="H867" s="196"/>
      <c r="I867" s="339" t="e">
        <f>IF(#REF!="",#REF!*#REF!,IF(#REF!=0,#REF!*#REF!,#REF!*#REF!*#REF!))</f>
        <v>#REF!</v>
      </c>
      <c r="J867" s="180" t="e">
        <f>#REF!*#REF!</f>
        <v>#REF!</v>
      </c>
      <c r="K867" s="178" t="e">
        <f>#REF!*mo</f>
        <v>#REF!</v>
      </c>
      <c r="L867" s="178" t="e">
        <f t="shared" si="106"/>
        <v>#REF!</v>
      </c>
      <c r="M867" s="178" t="e">
        <f>#REF!*#REF!</f>
        <v>#REF!</v>
      </c>
      <c r="N867" s="178" t="e">
        <f>#REF!+K867+#REF!</f>
        <v>#REF!</v>
      </c>
      <c r="O867" s="181" t="e">
        <f t="shared" si="105"/>
        <v>#REF!</v>
      </c>
    </row>
    <row r="868" spans="1:15" s="193" customFormat="1" outlineLevel="2">
      <c r="A868" s="155"/>
      <c r="B868" s="156"/>
      <c r="C868" s="190"/>
      <c r="D868" s="191"/>
      <c r="E868" s="176"/>
      <c r="F868" s="177"/>
      <c r="G868" s="192"/>
      <c r="H868" s="179"/>
      <c r="I868" s="339" t="e">
        <f>IF(#REF!="",#REF!*#REF!,IF(#REF!=0,#REF!*#REF!,#REF!*#REF!*#REF!))</f>
        <v>#REF!</v>
      </c>
      <c r="J868" s="180" t="e">
        <f>#REF!*#REF!</f>
        <v>#REF!</v>
      </c>
      <c r="K868" s="178" t="e">
        <f>#REF!*mo</f>
        <v>#REF!</v>
      </c>
      <c r="L868" s="178" t="e">
        <f t="shared" si="106"/>
        <v>#REF!</v>
      </c>
      <c r="M868" s="178" t="e">
        <f>#REF!*#REF!</f>
        <v>#REF!</v>
      </c>
      <c r="N868" s="178" t="e">
        <f>#REF!+K868+#REF!</f>
        <v>#REF!</v>
      </c>
      <c r="O868" s="181" t="e">
        <f t="shared" si="105"/>
        <v>#REF!</v>
      </c>
    </row>
    <row r="869" spans="1:15" s="193" customFormat="1" outlineLevel="2">
      <c r="A869" s="155"/>
      <c r="B869" s="156" t="s">
        <v>1125</v>
      </c>
      <c r="C869" s="190" t="s">
        <v>801</v>
      </c>
      <c r="D869" s="191"/>
      <c r="E869" s="176"/>
      <c r="F869" s="177"/>
      <c r="G869" s="192"/>
      <c r="H869" s="179"/>
      <c r="I869" s="339" t="e">
        <f>IF(#REF!="",#REF!*#REF!,IF(#REF!=0,#REF!*#REF!,#REF!*#REF!*#REF!))</f>
        <v>#REF!</v>
      </c>
      <c r="J869" s="180" t="e">
        <f>#REF!*#REF!</f>
        <v>#REF!</v>
      </c>
      <c r="K869" s="178" t="e">
        <f>#REF!*mo</f>
        <v>#REF!</v>
      </c>
      <c r="L869" s="178" t="e">
        <f t="shared" si="106"/>
        <v>#REF!</v>
      </c>
      <c r="M869" s="178" t="e">
        <f>#REF!*#REF!</f>
        <v>#REF!</v>
      </c>
      <c r="N869" s="178" t="e">
        <f>#REF!+K869+#REF!</f>
        <v>#REF!</v>
      </c>
      <c r="O869" s="181" t="e">
        <f t="shared" si="105"/>
        <v>#REF!</v>
      </c>
    </row>
    <row r="870" spans="1:15" s="193" customFormat="1" outlineLevel="2">
      <c r="A870" s="155"/>
      <c r="B870" s="156" t="s">
        <v>1126</v>
      </c>
      <c r="C870" s="190" t="s">
        <v>801</v>
      </c>
      <c r="D870" s="191"/>
      <c r="E870" s="176"/>
      <c r="F870" s="177"/>
      <c r="G870" s="192"/>
      <c r="H870" s="179"/>
      <c r="I870" s="339" t="e">
        <f>IF(#REF!="",#REF!*#REF!,IF(#REF!=0,#REF!*#REF!,#REF!*#REF!*#REF!))</f>
        <v>#REF!</v>
      </c>
      <c r="J870" s="180" t="e">
        <f>#REF!*#REF!</f>
        <v>#REF!</v>
      </c>
      <c r="K870" s="178" t="e">
        <f>#REF!*mo</f>
        <v>#REF!</v>
      </c>
      <c r="L870" s="178" t="e">
        <f t="shared" si="106"/>
        <v>#REF!</v>
      </c>
      <c r="M870" s="178" t="e">
        <f>#REF!*#REF!</f>
        <v>#REF!</v>
      </c>
      <c r="N870" s="178" t="e">
        <f>#REF!+K870+#REF!</f>
        <v>#REF!</v>
      </c>
      <c r="O870" s="181" t="e">
        <f t="shared" si="105"/>
        <v>#REF!</v>
      </c>
    </row>
    <row r="871" spans="1:15" s="193" customFormat="1" outlineLevel="2">
      <c r="A871" s="155"/>
      <c r="B871" s="156" t="s">
        <v>1127</v>
      </c>
      <c r="C871" s="190" t="s">
        <v>801</v>
      </c>
      <c r="D871" s="191"/>
      <c r="E871" s="176"/>
      <c r="F871" s="177"/>
      <c r="G871" s="192"/>
      <c r="H871" s="179"/>
      <c r="I871" s="339" t="e">
        <f>IF(#REF!="",#REF!*#REF!,IF(#REF!=0,#REF!*#REF!,#REF!*#REF!*#REF!))</f>
        <v>#REF!</v>
      </c>
      <c r="J871" s="180" t="e">
        <f>#REF!*#REF!</f>
        <v>#REF!</v>
      </c>
      <c r="K871" s="178" t="e">
        <f>#REF!*mo</f>
        <v>#REF!</v>
      </c>
      <c r="L871" s="178" t="e">
        <f t="shared" si="106"/>
        <v>#REF!</v>
      </c>
      <c r="M871" s="178" t="e">
        <f>#REF!*#REF!</f>
        <v>#REF!</v>
      </c>
      <c r="N871" s="178" t="e">
        <f>#REF!+K871+#REF!</f>
        <v>#REF!</v>
      </c>
      <c r="O871" s="181" t="e">
        <f t="shared" si="105"/>
        <v>#REF!</v>
      </c>
    </row>
    <row r="872" spans="1:15" s="193" customFormat="1" outlineLevel="2">
      <c r="A872" s="155"/>
      <c r="B872" s="156"/>
      <c r="C872" s="190"/>
      <c r="D872" s="191"/>
      <c r="E872" s="176"/>
      <c r="F872" s="177"/>
      <c r="G872" s="192"/>
      <c r="H872" s="179"/>
      <c r="I872" s="339" t="e">
        <f>IF(#REF!="",#REF!*#REF!,IF(#REF!=0,#REF!*#REF!,#REF!*#REF!*#REF!))</f>
        <v>#REF!</v>
      </c>
      <c r="J872" s="180" t="e">
        <f>#REF!*#REF!</f>
        <v>#REF!</v>
      </c>
      <c r="K872" s="178" t="e">
        <f>#REF!*mo</f>
        <v>#REF!</v>
      </c>
      <c r="L872" s="178" t="e">
        <f t="shared" si="106"/>
        <v>#REF!</v>
      </c>
      <c r="M872" s="178" t="e">
        <f>#REF!*#REF!</f>
        <v>#REF!</v>
      </c>
      <c r="N872" s="178" t="e">
        <f>#REF!+K872+#REF!</f>
        <v>#REF!</v>
      </c>
      <c r="O872" s="181" t="e">
        <f t="shared" si="105"/>
        <v>#REF!</v>
      </c>
    </row>
    <row r="873" spans="1:15" s="193" customFormat="1" outlineLevel="1">
      <c r="A873" s="155"/>
      <c r="B873" s="198" t="str">
        <f>"Total "&amp;B867</f>
        <v>Total MISE EN SERVICE</v>
      </c>
      <c r="C873" s="190"/>
      <c r="D873" s="191"/>
      <c r="E873" s="176"/>
      <c r="F873" s="177"/>
      <c r="G873" s="192"/>
      <c r="H873" s="179">
        <f>G867</f>
        <v>0</v>
      </c>
      <c r="I873" s="339" t="e">
        <f>IF(#REF!="",#REF!*#REF!,IF(#REF!=0,#REF!*#REF!,#REF!*#REF!*#REF!))</f>
        <v>#REF!</v>
      </c>
      <c r="J873" s="180" t="e">
        <f>#REF!*#REF!</f>
        <v>#REF!</v>
      </c>
      <c r="K873" s="178" t="e">
        <f>#REF!*mo</f>
        <v>#REF!</v>
      </c>
      <c r="L873" s="178" t="e">
        <f t="shared" si="106"/>
        <v>#REF!</v>
      </c>
      <c r="M873" s="178" t="e">
        <f>#REF!*#REF!</f>
        <v>#REF!</v>
      </c>
      <c r="N873" s="178" t="e">
        <f>#REF!+K873+#REF!</f>
        <v>#REF!</v>
      </c>
      <c r="O873" s="181" t="e">
        <f t="shared" si="105"/>
        <v>#REF!</v>
      </c>
    </row>
    <row r="874" spans="1:15" s="193" customFormat="1" outlineLevel="1">
      <c r="A874" s="155"/>
      <c r="B874" s="198"/>
      <c r="C874" s="190"/>
      <c r="D874" s="191"/>
      <c r="E874" s="176"/>
      <c r="F874" s="177"/>
      <c r="G874" s="192"/>
      <c r="H874" s="235"/>
      <c r="I874" s="339" t="e">
        <f>IF(#REF!="",#REF!*#REF!,IF(#REF!=0,#REF!*#REF!,#REF!*#REF!*#REF!))</f>
        <v>#REF!</v>
      </c>
      <c r="J874" s="180" t="e">
        <f>#REF!*#REF!</f>
        <v>#REF!</v>
      </c>
      <c r="K874" s="178" t="e">
        <f>#REF!*mo</f>
        <v>#REF!</v>
      </c>
      <c r="L874" s="178" t="e">
        <f t="shared" si="106"/>
        <v>#REF!</v>
      </c>
      <c r="M874" s="178" t="e">
        <f>#REF!*#REF!</f>
        <v>#REF!</v>
      </c>
      <c r="N874" s="178" t="e">
        <f>#REF!+K874+#REF!</f>
        <v>#REF!</v>
      </c>
      <c r="O874" s="181" t="e">
        <f t="shared" si="105"/>
        <v>#REF!</v>
      </c>
    </row>
    <row r="875" spans="1:15" s="209" customFormat="1" outlineLevel="1">
      <c r="A875" s="157" t="str">
        <f>$A$848&amp;".6"</f>
        <v>10.6</v>
      </c>
      <c r="B875" s="158" t="s">
        <v>1128</v>
      </c>
      <c r="C875" s="195"/>
      <c r="D875" s="170"/>
      <c r="E875" s="176"/>
      <c r="F875" s="177"/>
      <c r="G875" s="192">
        <f>SUM(F875:F880)</f>
        <v>0</v>
      </c>
      <c r="H875" s="196"/>
      <c r="I875" s="339" t="e">
        <f>IF(#REF!="",#REF!*#REF!,IF(#REF!=0,#REF!*#REF!,#REF!*#REF!*#REF!))</f>
        <v>#REF!</v>
      </c>
      <c r="J875" s="180" t="e">
        <f>#REF!*#REF!</f>
        <v>#REF!</v>
      </c>
      <c r="K875" s="178" t="e">
        <f>#REF!*mo</f>
        <v>#REF!</v>
      </c>
      <c r="L875" s="178" t="e">
        <f t="shared" si="106"/>
        <v>#REF!</v>
      </c>
      <c r="M875" s="178" t="e">
        <f>#REF!*#REF!</f>
        <v>#REF!</v>
      </c>
      <c r="N875" s="178" t="e">
        <f>#REF!+K875+#REF!</f>
        <v>#REF!</v>
      </c>
      <c r="O875" s="181" t="e">
        <f t="shared" si="105"/>
        <v>#REF!</v>
      </c>
    </row>
    <row r="876" spans="1:15" s="193" customFormat="1" outlineLevel="2">
      <c r="A876" s="155"/>
      <c r="B876" s="156"/>
      <c r="C876" s="190"/>
      <c r="D876" s="191"/>
      <c r="E876" s="176"/>
      <c r="F876" s="177"/>
      <c r="G876" s="192"/>
      <c r="H876" s="179"/>
      <c r="I876" s="339" t="e">
        <f>IF(#REF!="",#REF!*#REF!,IF(#REF!=0,#REF!*#REF!,#REF!*#REF!*#REF!))</f>
        <v>#REF!</v>
      </c>
      <c r="J876" s="180" t="e">
        <f>#REF!*#REF!</f>
        <v>#REF!</v>
      </c>
      <c r="K876" s="178" t="e">
        <f>#REF!*mo</f>
        <v>#REF!</v>
      </c>
      <c r="L876" s="178" t="e">
        <f t="shared" si="106"/>
        <v>#REF!</v>
      </c>
      <c r="M876" s="178" t="e">
        <f>#REF!*#REF!</f>
        <v>#REF!</v>
      </c>
      <c r="N876" s="178" t="e">
        <f>#REF!+K876+#REF!</f>
        <v>#REF!</v>
      </c>
      <c r="O876" s="181" t="e">
        <f t="shared" si="105"/>
        <v>#REF!</v>
      </c>
    </row>
    <row r="877" spans="1:15" s="193" customFormat="1" outlineLevel="2">
      <c r="A877" s="155"/>
      <c r="B877" s="156" t="s">
        <v>1129</v>
      </c>
      <c r="C877" s="190" t="s">
        <v>93</v>
      </c>
      <c r="D877" s="191"/>
      <c r="E877" s="176"/>
      <c r="F877" s="177"/>
      <c r="G877" s="192"/>
      <c r="H877" s="179"/>
      <c r="I877" s="339" t="e">
        <f>IF(#REF!="",#REF!*#REF!,IF(#REF!=0,#REF!*#REF!,#REF!*#REF!*#REF!))</f>
        <v>#REF!</v>
      </c>
      <c r="J877" s="180" t="e">
        <f>#REF!*#REF!</f>
        <v>#REF!</v>
      </c>
      <c r="K877" s="178" t="e">
        <f>#REF!*mo</f>
        <v>#REF!</v>
      </c>
      <c r="L877" s="178" t="e">
        <f t="shared" si="106"/>
        <v>#REF!</v>
      </c>
      <c r="M877" s="178" t="e">
        <f>#REF!*#REF!</f>
        <v>#REF!</v>
      </c>
      <c r="N877" s="178" t="e">
        <f>#REF!+K877+#REF!</f>
        <v>#REF!</v>
      </c>
      <c r="O877" s="181" t="e">
        <f t="shared" si="105"/>
        <v>#REF!</v>
      </c>
    </row>
    <row r="878" spans="1:15" s="193" customFormat="1" outlineLevel="2">
      <c r="A878" s="155"/>
      <c r="B878" s="156" t="s">
        <v>1130</v>
      </c>
      <c r="C878" s="190" t="s">
        <v>93</v>
      </c>
      <c r="D878" s="191"/>
      <c r="E878" s="176"/>
      <c r="F878" s="177"/>
      <c r="G878" s="192"/>
      <c r="H878" s="179"/>
      <c r="I878" s="339" t="e">
        <f>IF(#REF!="",#REF!*#REF!,IF(#REF!=0,#REF!*#REF!,#REF!*#REF!*#REF!))</f>
        <v>#REF!</v>
      </c>
      <c r="J878" s="180" t="e">
        <f>#REF!*#REF!</f>
        <v>#REF!</v>
      </c>
      <c r="K878" s="178" t="e">
        <f>#REF!*mo</f>
        <v>#REF!</v>
      </c>
      <c r="L878" s="178" t="e">
        <f t="shared" si="106"/>
        <v>#REF!</v>
      </c>
      <c r="M878" s="178" t="e">
        <f>#REF!*#REF!</f>
        <v>#REF!</v>
      </c>
      <c r="N878" s="178" t="e">
        <f>#REF!+K878+#REF!</f>
        <v>#REF!</v>
      </c>
      <c r="O878" s="181" t="e">
        <f t="shared" si="105"/>
        <v>#REF!</v>
      </c>
    </row>
    <row r="879" spans="1:15" s="193" customFormat="1" outlineLevel="1">
      <c r="A879" s="155"/>
      <c r="B879" s="198" t="str">
        <f>"Total "&amp;B875</f>
        <v>Total DOE</v>
      </c>
      <c r="C879" s="190"/>
      <c r="D879" s="191"/>
      <c r="E879" s="176"/>
      <c r="F879" s="177"/>
      <c r="G879" s="192"/>
      <c r="H879" s="179">
        <f>G875</f>
        <v>0</v>
      </c>
      <c r="I879" s="339" t="e">
        <f>IF(#REF!="",#REF!*#REF!,IF(#REF!=0,#REF!*#REF!,#REF!*#REF!*#REF!))</f>
        <v>#REF!</v>
      </c>
      <c r="J879" s="180" t="e">
        <f>#REF!*#REF!</f>
        <v>#REF!</v>
      </c>
      <c r="K879" s="178" t="e">
        <f>#REF!*mo</f>
        <v>#REF!</v>
      </c>
      <c r="L879" s="178" t="e">
        <f t="shared" ref="L879:L880" si="107">J879*mo</f>
        <v>#REF!</v>
      </c>
      <c r="M879" s="178" t="e">
        <f>#REF!*#REF!</f>
        <v>#REF!</v>
      </c>
      <c r="N879" s="178" t="e">
        <f>#REF!+K879+#REF!</f>
        <v>#REF!</v>
      </c>
      <c r="O879" s="181" t="e">
        <f t="shared" si="105"/>
        <v>#REF!</v>
      </c>
    </row>
    <row r="880" spans="1:15" s="193" customFormat="1" ht="12" thickBot="1">
      <c r="A880" s="155"/>
      <c r="B880" s="156"/>
      <c r="C880" s="190"/>
      <c r="D880" s="191"/>
      <c r="E880" s="176"/>
      <c r="F880" s="177"/>
      <c r="G880" s="192"/>
      <c r="H880" s="179"/>
      <c r="I880" s="252" t="e">
        <f>IF(#REF!="",#REF!*#REF!,IF(#REF!=0,#REF!*#REF!,#REF!*#REF!*#REF!))</f>
        <v>#REF!</v>
      </c>
      <c r="J880" s="253" t="e">
        <f>#REF!*#REF!</f>
        <v>#REF!</v>
      </c>
      <c r="K880" s="254" t="e">
        <f>#REF!*mo</f>
        <v>#REF!</v>
      </c>
      <c r="L880" s="254" t="e">
        <f t="shared" si="107"/>
        <v>#REF!</v>
      </c>
      <c r="M880" s="254" t="e">
        <f>#REF!*#REF!</f>
        <v>#REF!</v>
      </c>
      <c r="N880" s="254" t="e">
        <f>#REF!+K880+#REF!</f>
        <v>#REF!</v>
      </c>
      <c r="O880" s="255" t="e">
        <f t="shared" si="105"/>
        <v>#REF!</v>
      </c>
    </row>
    <row r="881" spans="1:16" s="261" customFormat="1" ht="26.25" customHeight="1" thickBot="1">
      <c r="A881" s="406" t="str">
        <f>[3]PDG!B6</f>
        <v>RÉHABILITATION DE 6 LOGEMENTS • RESTRUCTURATION LOURDE POUR CRÉATION DE 7 LOGEMENTS</v>
      </c>
      <c r="B881" s="408"/>
      <c r="C881" s="256" t="s">
        <v>1131</v>
      </c>
      <c r="D881" s="257"/>
      <c r="E881" s="258"/>
      <c r="F881" s="259"/>
      <c r="G881" s="259">
        <f>SUM(G6:G880)</f>
        <v>0</v>
      </c>
      <c r="H881" s="260">
        <f>SUM(H6:H880)/2</f>
        <v>0</v>
      </c>
    </row>
    <row r="882" spans="1:16" s="261" customFormat="1" ht="13.2" outlineLevel="1" thickBot="1">
      <c r="A882" s="409"/>
      <c r="B882" s="411"/>
      <c r="C882" s="262" t="e">
        <f>IF(Crem="","Remise 0%",IF(Crem=0,"Remise 0%",Crem))</f>
        <v>#REF!</v>
      </c>
      <c r="D882" s="263"/>
      <c r="E882" s="264"/>
      <c r="F882" s="265"/>
      <c r="G882" s="265" t="e">
        <f>IF(Crem="","0,00 €",IF(Crem=0,"0,00 €",-G881*Crem))</f>
        <v>#REF!</v>
      </c>
      <c r="H882" s="266" t="e">
        <f>IF(Crem="","0,00 €",IF(Crem=0,"0,00 €",-H881*Crem))</f>
        <v>#REF!</v>
      </c>
    </row>
    <row r="883" spans="1:16" s="261" customFormat="1" ht="30" customHeight="1" outlineLevel="1" thickBot="1">
      <c r="A883" s="409"/>
      <c r="B883" s="411"/>
      <c r="C883" s="256" t="s">
        <v>1132</v>
      </c>
      <c r="D883" s="267"/>
      <c r="E883" s="268"/>
      <c r="F883" s="269"/>
      <c r="G883" s="269" t="e">
        <f>G881+G882</f>
        <v>#REF!</v>
      </c>
      <c r="H883" s="270" t="e">
        <f>H881+H882</f>
        <v>#REF!</v>
      </c>
    </row>
    <row r="884" spans="1:16" ht="12.75" customHeight="1" thickBot="1">
      <c r="A884" s="409"/>
      <c r="B884" s="411"/>
      <c r="C884" s="271">
        <v>0.2</v>
      </c>
      <c r="D884" s="272"/>
      <c r="E884" s="273"/>
      <c r="F884" s="274"/>
      <c r="G884" s="274" t="e">
        <f>G883*$C884</f>
        <v>#REF!</v>
      </c>
      <c r="H884" s="275" t="e">
        <f t="shared" ref="H884" si="108">H883*$C884</f>
        <v>#REF!</v>
      </c>
      <c r="I884" s="160"/>
      <c r="K884" s="160"/>
      <c r="L884" s="160"/>
      <c r="M884" s="160"/>
      <c r="N884" s="160"/>
      <c r="O884" s="160"/>
    </row>
    <row r="885" spans="1:16" s="261" customFormat="1" ht="30" customHeight="1" thickBot="1">
      <c r="A885" s="412"/>
      <c r="B885" s="414"/>
      <c r="C885" s="256" t="s">
        <v>1133</v>
      </c>
      <c r="D885" s="276"/>
      <c r="E885" s="277"/>
      <c r="F885" s="278"/>
      <c r="G885" s="278" t="e">
        <f>G881+G884</f>
        <v>#REF!</v>
      </c>
      <c r="H885" s="279" t="e">
        <f>H881+H884</f>
        <v>#REF!</v>
      </c>
    </row>
    <row r="886" spans="1:16">
      <c r="B886" s="280"/>
    </row>
    <row r="887" spans="1:16" ht="53.55" customHeight="1">
      <c r="A887" s="444" t="str">
        <f>[3]PDG!B892 &amp;" Bâtiment B"</f>
        <v xml:space="preserve"> Bâtiment B</v>
      </c>
      <c r="B887" s="444"/>
      <c r="C887" s="444"/>
      <c r="D887" s="444"/>
      <c r="E887" s="444"/>
      <c r="F887" s="444"/>
      <c r="G887" s="444"/>
      <c r="H887" s="444"/>
    </row>
    <row r="888" spans="1:16" ht="15">
      <c r="A888" s="419" t="s">
        <v>773</v>
      </c>
      <c r="B888" s="419"/>
      <c r="C888" s="419"/>
      <c r="D888" s="419"/>
      <c r="E888" s="419"/>
      <c r="F888" s="419"/>
      <c r="G888" s="419"/>
      <c r="H888" s="419"/>
    </row>
    <row r="889" spans="1:16" ht="25.5" customHeight="1" thickBot="1">
      <c r="A889" s="422"/>
      <c r="B889" s="422"/>
      <c r="C889" s="422"/>
      <c r="D889" s="422"/>
      <c r="E889" s="422"/>
      <c r="F889" s="422"/>
      <c r="G889" s="422"/>
      <c r="H889" s="422"/>
    </row>
    <row r="890" spans="1:16" s="170" customFormat="1" ht="53.55" customHeight="1" thickBot="1">
      <c r="A890" s="424" t="s">
        <v>774</v>
      </c>
      <c r="B890" s="425"/>
      <c r="C890" s="161" t="s">
        <v>48</v>
      </c>
      <c r="D890" s="162" t="s">
        <v>775</v>
      </c>
      <c r="E890" s="163" t="s">
        <v>776</v>
      </c>
      <c r="F890" s="164" t="s">
        <v>777</v>
      </c>
      <c r="G890" s="164" t="s">
        <v>778</v>
      </c>
      <c r="H890" s="165" t="s">
        <v>779</v>
      </c>
      <c r="I890" s="166" t="s">
        <v>780</v>
      </c>
      <c r="J890" s="167" t="s">
        <v>781</v>
      </c>
      <c r="K890" s="168" t="s">
        <v>782</v>
      </c>
      <c r="L890" s="168" t="s">
        <v>783</v>
      </c>
      <c r="M890" s="168" t="s">
        <v>784</v>
      </c>
      <c r="N890" s="168" t="s">
        <v>785</v>
      </c>
      <c r="O890" s="169" t="s">
        <v>786</v>
      </c>
    </row>
    <row r="891" spans="1:16" ht="134.55000000000001" customHeight="1" thickBot="1">
      <c r="A891" s="426" t="s">
        <v>787</v>
      </c>
      <c r="B891" s="427"/>
      <c r="C891" s="427"/>
      <c r="D891" s="427"/>
      <c r="E891" s="427"/>
      <c r="F891" s="427"/>
      <c r="G891" s="427"/>
      <c r="H891" s="428"/>
      <c r="I891" s="287"/>
      <c r="J891" s="171"/>
      <c r="K891" s="171"/>
      <c r="L891" s="171"/>
      <c r="M891" s="171"/>
      <c r="N891" s="171"/>
      <c r="O891" s="172"/>
    </row>
    <row r="892" spans="1:16">
      <c r="A892" s="173"/>
      <c r="B892" s="174"/>
      <c r="C892" s="173"/>
      <c r="D892" s="175"/>
      <c r="E892" s="176"/>
      <c r="F892" s="177"/>
      <c r="G892" s="178"/>
      <c r="H892" s="179"/>
      <c r="I892" s="283" t="e">
        <f>IF(#REF!="",#REF!*#REF!,IF(#REF!=0,#REF!*#REF!,#REF!*#REF!*#REF!))</f>
        <v>#REF!</v>
      </c>
      <c r="J892" s="180" t="e">
        <f>#REF!*#REF!</f>
        <v>#REF!</v>
      </c>
      <c r="K892" s="178" t="e">
        <f>#REF!*mo</f>
        <v>#REF!</v>
      </c>
      <c r="L892" s="178" t="e">
        <f>J892*mo</f>
        <v>#REF!</v>
      </c>
      <c r="M892" s="178" t="e">
        <f>#REF!*#REF!</f>
        <v>#REF!</v>
      </c>
      <c r="N892" s="178" t="e">
        <f>#REF!+K892+#REF!</f>
        <v>#REF!</v>
      </c>
      <c r="O892" s="181" t="e">
        <f>M892+L892+I892</f>
        <v>#REF!</v>
      </c>
    </row>
    <row r="893" spans="1:16" s="189" customFormat="1" ht="12.6">
      <c r="A893" s="153">
        <v>1</v>
      </c>
      <c r="B893" s="154" t="s">
        <v>788</v>
      </c>
      <c r="C893" s="182"/>
      <c r="D893" s="183"/>
      <c r="E893" s="184"/>
      <c r="F893" s="185"/>
      <c r="G893" s="186"/>
      <c r="H893" s="187"/>
      <c r="I893" s="288" t="e">
        <f>IF(#REF!="",#REF!*#REF!,IF(#REF!=0,#REF!*#REF!,#REF!*#REF!*#REF!))</f>
        <v>#REF!</v>
      </c>
      <c r="J893" s="188" t="e">
        <f>#REF!*#REF!</f>
        <v>#REF!</v>
      </c>
      <c r="K893" s="186" t="e">
        <f>#REF!*mo</f>
        <v>#REF!</v>
      </c>
      <c r="L893" s="186" t="e">
        <f>J893*mo</f>
        <v>#REF!</v>
      </c>
      <c r="M893" s="186" t="e">
        <f>#REF!*#REF!</f>
        <v>#REF!</v>
      </c>
      <c r="N893" s="186" t="e">
        <f>#REF!+K893+#REF!</f>
        <v>#REF!</v>
      </c>
      <c r="O893" s="187" t="e">
        <f>M893+L893+I893</f>
        <v>#REF!</v>
      </c>
    </row>
    <row r="894" spans="1:16" outlineLevel="2">
      <c r="A894" s="155"/>
      <c r="B894" s="156"/>
      <c r="C894" s="190"/>
      <c r="D894" s="191"/>
      <c r="E894" s="176"/>
      <c r="F894" s="177"/>
      <c r="G894" s="192"/>
      <c r="H894" s="179"/>
      <c r="I894" s="283" t="e">
        <f>IF(#REF!="",#REF!*#REF!,IF(#REF!=0,#REF!*#REF!,#REF!*#REF!*#REF!))</f>
        <v>#REF!</v>
      </c>
      <c r="J894" s="180" t="e">
        <f>#REF!*#REF!</f>
        <v>#REF!</v>
      </c>
      <c r="K894" s="178" t="e">
        <f>#REF!*mo</f>
        <v>#REF!</v>
      </c>
      <c r="L894" s="178" t="e">
        <f>J894*mo</f>
        <v>#REF!</v>
      </c>
      <c r="M894" s="178" t="e">
        <f>#REF!*#REF!</f>
        <v>#REF!</v>
      </c>
      <c r="N894" s="178" t="e">
        <f>#REF!+K894+#REF!</f>
        <v>#REF!</v>
      </c>
      <c r="O894" s="181" t="e">
        <f>M894+L894+I894</f>
        <v>#REF!</v>
      </c>
    </row>
    <row r="895" spans="1:16" ht="22.8" outlineLevel="2">
      <c r="A895" s="155"/>
      <c r="B895" s="156" t="s">
        <v>789</v>
      </c>
      <c r="C895" s="190"/>
      <c r="D895" s="191"/>
      <c r="E895" s="176"/>
      <c r="F895" s="177"/>
      <c r="G895" s="192"/>
      <c r="H895" s="179"/>
      <c r="I895" s="283" t="e">
        <f>IF(#REF!="",#REF!*#REF!,IF(#REF!=0,#REF!*#REF!,#REF!*#REF!*#REF!))</f>
        <v>#REF!</v>
      </c>
      <c r="J895" s="180" t="e">
        <f>#REF!*#REF!</f>
        <v>#REF!</v>
      </c>
      <c r="K895" s="178" t="e">
        <f>#REF!*mo</f>
        <v>#REF!</v>
      </c>
      <c r="L895" s="178" t="e">
        <f t="shared" ref="L895:L896" si="109">J895*mo</f>
        <v>#REF!</v>
      </c>
      <c r="M895" s="178" t="e">
        <f>#REF!*#REF!</f>
        <v>#REF!</v>
      </c>
      <c r="N895" s="178" t="e">
        <f>#REF!+K895+#REF!</f>
        <v>#REF!</v>
      </c>
      <c r="O895" s="181" t="e">
        <f t="shared" ref="O895:O896" si="110">M895+L895+I895</f>
        <v>#REF!</v>
      </c>
      <c r="P895" s="193"/>
    </row>
    <row r="896" spans="1:16" outlineLevel="1">
      <c r="A896" s="155"/>
      <c r="B896" s="156"/>
      <c r="C896" s="190"/>
      <c r="D896" s="191"/>
      <c r="E896" s="176"/>
      <c r="F896" s="177"/>
      <c r="G896" s="192"/>
      <c r="H896" s="179"/>
      <c r="I896" s="283" t="e">
        <f>IF(#REF!="",#REF!*#REF!,IF(#REF!=0,#REF!*#REF!,#REF!*#REF!*#REF!))</f>
        <v>#REF!</v>
      </c>
      <c r="J896" s="180" t="e">
        <f>#REF!*#REF!</f>
        <v>#REF!</v>
      </c>
      <c r="K896" s="178" t="e">
        <f>#REF!*mo</f>
        <v>#REF!</v>
      </c>
      <c r="L896" s="178" t="e">
        <f t="shared" si="109"/>
        <v>#REF!</v>
      </c>
      <c r="M896" s="178" t="e">
        <f>#REF!*#REF!</f>
        <v>#REF!</v>
      </c>
      <c r="N896" s="178" t="e">
        <f>#REF!+K896+#REF!</f>
        <v>#REF!</v>
      </c>
      <c r="O896" s="181" t="e">
        <f t="shared" si="110"/>
        <v>#REF!</v>
      </c>
      <c r="P896" s="193"/>
    </row>
    <row r="897" spans="1:16" s="194" customFormat="1" ht="12.6">
      <c r="A897" s="153">
        <v>2</v>
      </c>
      <c r="B897" s="154" t="s">
        <v>790</v>
      </c>
      <c r="C897" s="182"/>
      <c r="D897" s="183"/>
      <c r="E897" s="184"/>
      <c r="F897" s="185"/>
      <c r="G897" s="186"/>
      <c r="H897" s="187">
        <f>SUM(H898:H899)</f>
        <v>0</v>
      </c>
      <c r="I897" s="288" t="e">
        <f>IF(#REF!="",#REF!*#REF!,IF(#REF!=0,#REF!*#REF!,#REF!*#REF!*#REF!))</f>
        <v>#REF!</v>
      </c>
      <c r="J897" s="188"/>
      <c r="K897" s="186"/>
      <c r="L897" s="186"/>
      <c r="M897" s="186"/>
      <c r="N897" s="186"/>
      <c r="O897" s="187"/>
    </row>
    <row r="898" spans="1:16" s="193" customFormat="1" outlineLevel="1">
      <c r="A898" s="155"/>
      <c r="B898" s="156"/>
      <c r="C898" s="190"/>
      <c r="D898" s="191"/>
      <c r="E898" s="176"/>
      <c r="F898" s="177"/>
      <c r="G898" s="192"/>
      <c r="H898" s="179"/>
      <c r="I898" s="283" t="e">
        <f>IF(#REF!="",#REF!*#REF!,IF(#REF!=0,#REF!*#REF!,#REF!*#REF!*#REF!))</f>
        <v>#REF!</v>
      </c>
      <c r="J898" s="180" t="e">
        <f>#REF!*#REF!</f>
        <v>#REF!</v>
      </c>
      <c r="K898" s="178" t="e">
        <f>#REF!*mo</f>
        <v>#REF!</v>
      </c>
      <c r="L898" s="178" t="e">
        <f>J898*mo</f>
        <v>#REF!</v>
      </c>
      <c r="M898" s="178" t="e">
        <f>#REF!*#REF!</f>
        <v>#REF!</v>
      </c>
      <c r="N898" s="178" t="e">
        <f>#REF!+K898+#REF!</f>
        <v>#REF!</v>
      </c>
      <c r="O898" s="181" t="e">
        <f>M898+L898+I898</f>
        <v>#REF!</v>
      </c>
    </row>
    <row r="899" spans="1:16" s="193" customFormat="1" outlineLevel="1">
      <c r="A899" s="155"/>
      <c r="B899" s="156"/>
      <c r="C899" s="190"/>
      <c r="D899" s="191"/>
      <c r="E899" s="176"/>
      <c r="F899" s="177"/>
      <c r="G899" s="192"/>
      <c r="H899" s="179"/>
      <c r="I899" s="283" t="e">
        <f>IF(#REF!="",#REF!*#REF!,IF(#REF!=0,#REF!*#REF!,#REF!*#REF!*#REF!))</f>
        <v>#REF!</v>
      </c>
      <c r="J899" s="180" t="e">
        <f>#REF!*#REF!</f>
        <v>#REF!</v>
      </c>
      <c r="K899" s="178" t="e">
        <f>#REF!*mo</f>
        <v>#REF!</v>
      </c>
      <c r="L899" s="178" t="e">
        <f t="shared" ref="L899" si="111">J899*mo</f>
        <v>#REF!</v>
      </c>
      <c r="M899" s="178" t="e">
        <f>#REF!*#REF!</f>
        <v>#REF!</v>
      </c>
      <c r="N899" s="178" t="e">
        <f>#REF!+K899+#REF!</f>
        <v>#REF!</v>
      </c>
      <c r="O899" s="181" t="e">
        <f t="shared" ref="O899" si="112">M899+L899+I899</f>
        <v>#REF!</v>
      </c>
    </row>
    <row r="900" spans="1:16" s="189" customFormat="1" ht="12.6">
      <c r="A900" s="153">
        <v>3</v>
      </c>
      <c r="B900" s="154" t="s">
        <v>791</v>
      </c>
      <c r="C900" s="182"/>
      <c r="D900" s="183"/>
      <c r="E900" s="184"/>
      <c r="F900" s="185"/>
      <c r="G900" s="186"/>
      <c r="H900" s="187">
        <f>SUM(H901:H1124)</f>
        <v>0</v>
      </c>
      <c r="I900" s="288" t="e">
        <f>IF(#REF!="",#REF!*#REF!,IF(#REF!=0,#REF!*#REF!,#REF!*#REF!*#REF!))</f>
        <v>#REF!</v>
      </c>
      <c r="J900" s="188" t="e">
        <f>#REF!*#REF!</f>
        <v>#REF!</v>
      </c>
      <c r="K900" s="186" t="e">
        <f>#REF!*mo</f>
        <v>#REF!</v>
      </c>
      <c r="L900" s="186" t="e">
        <f>J900*mo</f>
        <v>#REF!</v>
      </c>
      <c r="M900" s="186" t="e">
        <f>#REF!*#REF!</f>
        <v>#REF!</v>
      </c>
      <c r="N900" s="186" t="e">
        <f>#REF!+K900+#REF!</f>
        <v>#REF!</v>
      </c>
      <c r="O900" s="187" t="e">
        <f>M900+L900+I900</f>
        <v>#REF!</v>
      </c>
      <c r="P900" s="194"/>
    </row>
    <row r="901" spans="1:16" s="193" customFormat="1" outlineLevel="1">
      <c r="A901" s="155"/>
      <c r="B901" s="156"/>
      <c r="C901" s="190"/>
      <c r="D901" s="191"/>
      <c r="E901" s="176"/>
      <c r="F901" s="177"/>
      <c r="G901" s="192"/>
      <c r="H901" s="179"/>
      <c r="I901" s="283" t="e">
        <f>IF(#REF!="",#REF!*#REF!,IF(#REF!=0,#REF!*#REF!,#REF!*#REF!*#REF!))</f>
        <v>#REF!</v>
      </c>
      <c r="J901" s="180" t="e">
        <f>#REF!*#REF!</f>
        <v>#REF!</v>
      </c>
      <c r="K901" s="178" t="e">
        <f>#REF!*mo</f>
        <v>#REF!</v>
      </c>
      <c r="L901" s="178" t="e">
        <f t="shared" ref="L901:L902" si="113">J901*mo</f>
        <v>#REF!</v>
      </c>
      <c r="M901" s="178" t="e">
        <f>#REF!*#REF!</f>
        <v>#REF!</v>
      </c>
      <c r="N901" s="178" t="e">
        <f>#REF!+K901+#REF!</f>
        <v>#REF!</v>
      </c>
      <c r="O901" s="181" t="e">
        <f t="shared" ref="O901:O902" si="114">M901+L901+I901</f>
        <v>#REF!</v>
      </c>
    </row>
    <row r="902" spans="1:16" s="193" customFormat="1" outlineLevel="1">
      <c r="A902" s="157" t="str">
        <f>$A$14&amp;".2"</f>
        <v>3.2</v>
      </c>
      <c r="B902" s="158" t="s">
        <v>821</v>
      </c>
      <c r="C902" s="190"/>
      <c r="D902" s="191"/>
      <c r="E902" s="176"/>
      <c r="F902" s="177"/>
      <c r="G902" s="192"/>
      <c r="H902" s="199"/>
      <c r="I902" s="283" t="e">
        <f>IF(#REF!="",#REF!*#REF!,IF(#REF!=0,#REF!*#REF!,#REF!*#REF!*#REF!))</f>
        <v>#REF!</v>
      </c>
      <c r="J902" s="180" t="e">
        <f>#REF!*#REF!</f>
        <v>#REF!</v>
      </c>
      <c r="K902" s="178" t="e">
        <f>#REF!*mo</f>
        <v>#REF!</v>
      </c>
      <c r="L902" s="178" t="e">
        <f t="shared" si="113"/>
        <v>#REF!</v>
      </c>
      <c r="M902" s="178" t="e">
        <f>#REF!*#REF!</f>
        <v>#REF!</v>
      </c>
      <c r="N902" s="178" t="e">
        <f>#REF!+K902+#REF!</f>
        <v>#REF!</v>
      </c>
      <c r="O902" s="181" t="e">
        <f t="shared" si="114"/>
        <v>#REF!</v>
      </c>
    </row>
    <row r="903" spans="1:16" s="193" customFormat="1" outlineLevel="1">
      <c r="A903" s="157" t="str">
        <f>$A$16&amp;".1"</f>
        <v>3.1.1</v>
      </c>
      <c r="B903" s="158" t="s">
        <v>822</v>
      </c>
      <c r="C903" s="190"/>
      <c r="D903" s="191"/>
      <c r="E903" s="176"/>
      <c r="F903" s="177"/>
      <c r="G903" s="192">
        <f>SUM(F904:F907)</f>
        <v>0</v>
      </c>
      <c r="H903" s="179"/>
      <c r="I903" s="283"/>
      <c r="J903" s="180"/>
      <c r="K903" s="178"/>
      <c r="L903" s="178"/>
      <c r="M903" s="178"/>
      <c r="N903" s="178"/>
      <c r="O903" s="181"/>
    </row>
    <row r="904" spans="1:16" s="193" customFormat="1" outlineLevel="2">
      <c r="A904" s="155"/>
      <c r="B904" s="156" t="s">
        <v>823</v>
      </c>
      <c r="C904" s="190" t="s">
        <v>46</v>
      </c>
      <c r="D904" s="191"/>
      <c r="E904" s="176"/>
      <c r="F904" s="177"/>
      <c r="G904" s="192"/>
      <c r="H904" s="179"/>
      <c r="I904" s="283" t="e">
        <f>IF(#REF!="",#REF!*#REF!,IF(#REF!=0,#REF!*#REF!,#REF!*#REF!*#REF!))</f>
        <v>#REF!</v>
      </c>
      <c r="J904" s="180" t="e">
        <f>#REF!*#REF!</f>
        <v>#REF!</v>
      </c>
      <c r="K904" s="178" t="e">
        <f>#REF!*mo</f>
        <v>#REF!</v>
      </c>
      <c r="L904" s="178" t="e">
        <f t="shared" ref="L904" si="115">J904*mo</f>
        <v>#REF!</v>
      </c>
      <c r="M904" s="178" t="e">
        <f>#REF!*#REF!</f>
        <v>#REF!</v>
      </c>
      <c r="N904" s="178" t="e">
        <f>#REF!+K904+#REF!</f>
        <v>#REF!</v>
      </c>
      <c r="O904" s="181" t="e">
        <f t="shared" ref="O904" si="116">M904+L904+I904</f>
        <v>#REF!</v>
      </c>
    </row>
    <row r="905" spans="1:16" s="193" customFormat="1" outlineLevel="2">
      <c r="A905" s="155"/>
      <c r="B905" s="156" t="s">
        <v>824</v>
      </c>
      <c r="C905" s="190" t="s">
        <v>801</v>
      </c>
      <c r="D905" s="191"/>
      <c r="E905" s="176"/>
      <c r="F905" s="177"/>
      <c r="G905" s="192"/>
      <c r="H905" s="179"/>
      <c r="I905" s="283"/>
      <c r="J905" s="180"/>
      <c r="K905" s="178"/>
      <c r="L905" s="178"/>
      <c r="M905" s="178"/>
      <c r="N905" s="178"/>
      <c r="O905" s="181"/>
    </row>
    <row r="906" spans="1:16" s="193" customFormat="1" outlineLevel="2">
      <c r="A906" s="155"/>
      <c r="B906" s="156" t="s">
        <v>825</v>
      </c>
      <c r="C906" s="190" t="s">
        <v>801</v>
      </c>
      <c r="D906" s="191"/>
      <c r="E906" s="176"/>
      <c r="F906" s="177"/>
      <c r="G906" s="192"/>
      <c r="H906" s="179"/>
      <c r="I906" s="283"/>
      <c r="J906" s="180"/>
      <c r="K906" s="178"/>
      <c r="L906" s="178"/>
      <c r="M906" s="178"/>
      <c r="N906" s="178"/>
      <c r="O906" s="181"/>
    </row>
    <row r="907" spans="1:16" s="193" customFormat="1" outlineLevel="2">
      <c r="A907" s="155"/>
      <c r="B907" s="156"/>
      <c r="C907" s="190"/>
      <c r="D907" s="191"/>
      <c r="E907" s="176"/>
      <c r="F907" s="177"/>
      <c r="G907" s="192"/>
      <c r="H907" s="179"/>
      <c r="I907" s="283"/>
      <c r="J907" s="180"/>
      <c r="K907" s="178"/>
      <c r="L907" s="178"/>
      <c r="M907" s="178"/>
      <c r="N907" s="178"/>
      <c r="O907" s="181"/>
    </row>
    <row r="908" spans="1:16" s="193" customFormat="1" outlineLevel="1">
      <c r="A908" s="157" t="str">
        <f>$A$16&amp;".2"</f>
        <v>3.1.2</v>
      </c>
      <c r="B908" s="158" t="s">
        <v>826</v>
      </c>
      <c r="C908" s="190"/>
      <c r="D908" s="191"/>
      <c r="E908" s="176"/>
      <c r="F908" s="177"/>
      <c r="G908" s="192">
        <f>SUM(F910:F926)</f>
        <v>0</v>
      </c>
      <c r="H908" s="179"/>
      <c r="I908" s="283" t="e">
        <f>IF(#REF!="",#REF!*#REF!,IF(#REF!=0,#REF!*#REF!,#REF!*#REF!*#REF!))</f>
        <v>#REF!</v>
      </c>
      <c r="J908" s="180" t="e">
        <f>#REF!*#REF!</f>
        <v>#REF!</v>
      </c>
      <c r="K908" s="178" t="e">
        <f>#REF!*mo</f>
        <v>#REF!</v>
      </c>
      <c r="L908" s="178" t="e">
        <f t="shared" ref="L908:L913" si="117">J908*mo</f>
        <v>#REF!</v>
      </c>
      <c r="M908" s="178" t="e">
        <f>#REF!*#REF!</f>
        <v>#REF!</v>
      </c>
      <c r="N908" s="178" t="e">
        <f>#REF!+K908+#REF!</f>
        <v>#REF!</v>
      </c>
      <c r="O908" s="181" t="e">
        <f t="shared" ref="O908:O943" si="118">M908+L908+I908</f>
        <v>#REF!</v>
      </c>
    </row>
    <row r="909" spans="1:16" s="193" customFormat="1" outlineLevel="2">
      <c r="A909" s="157"/>
      <c r="B909" s="158"/>
      <c r="C909" s="190"/>
      <c r="D909" s="191"/>
      <c r="E909" s="176"/>
      <c r="F909" s="177"/>
      <c r="G909" s="192"/>
      <c r="H909" s="179"/>
      <c r="I909" s="283"/>
      <c r="J909" s="180"/>
      <c r="K909" s="178"/>
      <c r="L909" s="178"/>
      <c r="M909" s="178"/>
      <c r="N909" s="178"/>
      <c r="O909" s="181"/>
    </row>
    <row r="910" spans="1:16" s="193" customFormat="1" outlineLevel="2">
      <c r="A910" s="157"/>
      <c r="B910" s="156" t="s">
        <v>827</v>
      </c>
      <c r="C910" s="190" t="s">
        <v>795</v>
      </c>
      <c r="D910" s="191"/>
      <c r="E910" s="176"/>
      <c r="F910" s="177"/>
      <c r="G910" s="192"/>
      <c r="H910" s="179"/>
      <c r="I910" s="283" t="e">
        <f>IF(#REF!="",#REF!*#REF!,IF(#REF!=0,#REF!*#REF!,#REF!*#REF!*#REF!))</f>
        <v>#REF!</v>
      </c>
      <c r="J910" s="180" t="e">
        <f>#REF!*#REF!</f>
        <v>#REF!</v>
      </c>
      <c r="K910" s="178" t="e">
        <f>#REF!*mo</f>
        <v>#REF!</v>
      </c>
      <c r="L910" s="178" t="e">
        <f t="shared" ref="L910" si="119">J910*mo</f>
        <v>#REF!</v>
      </c>
      <c r="M910" s="178" t="e">
        <f>#REF!*#REF!</f>
        <v>#REF!</v>
      </c>
      <c r="N910" s="178" t="e">
        <f>#REF!+K910+#REF!</f>
        <v>#REF!</v>
      </c>
      <c r="O910" s="181" t="e">
        <f t="shared" ref="O910" si="120">M910+L910+I910</f>
        <v>#REF!</v>
      </c>
    </row>
    <row r="911" spans="1:16" s="193" customFormat="1" outlineLevel="2">
      <c r="A911" s="155"/>
      <c r="B911" s="156"/>
      <c r="C911" s="190"/>
      <c r="D911" s="191"/>
      <c r="E911" s="176"/>
      <c r="F911" s="177"/>
      <c r="G911" s="192"/>
      <c r="H911" s="179"/>
      <c r="I911" s="283" t="e">
        <f>IF(#REF!="",#REF!*#REF!,IF(#REF!=0,#REF!*#REF!,#REF!*#REF!*#REF!))</f>
        <v>#REF!</v>
      </c>
      <c r="J911" s="180" t="e">
        <f>#REF!*#REF!</f>
        <v>#REF!</v>
      </c>
      <c r="K911" s="178" t="e">
        <f>#REF!*mo</f>
        <v>#REF!</v>
      </c>
      <c r="L911" s="178" t="e">
        <f t="shared" si="117"/>
        <v>#REF!</v>
      </c>
      <c r="M911" s="178" t="e">
        <f>#REF!*#REF!</f>
        <v>#REF!</v>
      </c>
      <c r="N911" s="178" t="e">
        <f>#REF!+K911+#REF!</f>
        <v>#REF!</v>
      </c>
      <c r="O911" s="181" t="e">
        <f t="shared" si="118"/>
        <v>#REF!</v>
      </c>
    </row>
    <row r="912" spans="1:16" s="193" customFormat="1" outlineLevel="2">
      <c r="A912" s="155"/>
      <c r="B912" s="156" t="s">
        <v>830</v>
      </c>
      <c r="C912" s="190" t="s">
        <v>795</v>
      </c>
      <c r="D912" s="191"/>
      <c r="E912" s="176"/>
      <c r="F912" s="177"/>
      <c r="G912" s="192"/>
      <c r="H912" s="179"/>
      <c r="I912" s="283" t="e">
        <f>IF(#REF!="",#REF!*#REF!,IF(#REF!=0,#REF!*#REF!,#REF!*#REF!*#REF!))</f>
        <v>#REF!</v>
      </c>
      <c r="J912" s="180" t="e">
        <f>#REF!*#REF!</f>
        <v>#REF!</v>
      </c>
      <c r="K912" s="178" t="e">
        <f>#REF!*mo</f>
        <v>#REF!</v>
      </c>
      <c r="L912" s="178" t="e">
        <f t="shared" si="117"/>
        <v>#REF!</v>
      </c>
      <c r="M912" s="178" t="e">
        <f>#REF!*#REF!</f>
        <v>#REF!</v>
      </c>
      <c r="N912" s="178" t="e">
        <f>#REF!+K912+#REF!</f>
        <v>#REF!</v>
      </c>
      <c r="O912" s="181" t="e">
        <f t="shared" si="118"/>
        <v>#REF!</v>
      </c>
    </row>
    <row r="913" spans="1:15" s="193" customFormat="1" outlineLevel="2">
      <c r="A913" s="155"/>
      <c r="B913" s="156" t="s">
        <v>831</v>
      </c>
      <c r="C913" s="190" t="s">
        <v>93</v>
      </c>
      <c r="D913" s="191"/>
      <c r="E913" s="176"/>
      <c r="F913" s="177"/>
      <c r="G913" s="192"/>
      <c r="H913" s="179"/>
      <c r="I913" s="283" t="e">
        <f>IF(#REF!="",#REF!*#REF!,IF(#REF!=0,#REF!*#REF!,#REF!*#REF!*#REF!))</f>
        <v>#REF!</v>
      </c>
      <c r="J913" s="180" t="e">
        <f>#REF!*#REF!</f>
        <v>#REF!</v>
      </c>
      <c r="K913" s="178" t="e">
        <f>#REF!*mo</f>
        <v>#REF!</v>
      </c>
      <c r="L913" s="178" t="e">
        <f t="shared" si="117"/>
        <v>#REF!</v>
      </c>
      <c r="M913" s="178" t="e">
        <f>#REF!*#REF!</f>
        <v>#REF!</v>
      </c>
      <c r="N913" s="178" t="e">
        <f>#REF!+K913+#REF!</f>
        <v>#REF!</v>
      </c>
      <c r="O913" s="181" t="e">
        <f t="shared" si="118"/>
        <v>#REF!</v>
      </c>
    </row>
    <row r="914" spans="1:15" s="193" customFormat="1" outlineLevel="2">
      <c r="A914" s="155"/>
      <c r="B914" s="156" t="s">
        <v>832</v>
      </c>
      <c r="C914" s="190" t="s">
        <v>93</v>
      </c>
      <c r="D914" s="191"/>
      <c r="E914" s="176"/>
      <c r="F914" s="177"/>
      <c r="G914" s="192"/>
      <c r="H914" s="179"/>
      <c r="I914" s="283" t="e">
        <f>IF(#REF!="",#REF!*#REF!,IF(#REF!=0,#REF!*#REF!,#REF!*#REF!*#REF!))</f>
        <v>#REF!</v>
      </c>
      <c r="J914" s="180" t="e">
        <f>#REF!*#REF!</f>
        <v>#REF!</v>
      </c>
      <c r="K914" s="178" t="e">
        <f>#REF!*mo</f>
        <v>#REF!</v>
      </c>
      <c r="L914" s="178" t="e">
        <f t="shared" ref="L914:L919" si="121">J914*mo</f>
        <v>#REF!</v>
      </c>
      <c r="M914" s="178" t="e">
        <f>#REF!*#REF!</f>
        <v>#REF!</v>
      </c>
      <c r="N914" s="178" t="e">
        <f>#REF!+K914+#REF!</f>
        <v>#REF!</v>
      </c>
      <c r="O914" s="181" t="e">
        <f t="shared" si="118"/>
        <v>#REF!</v>
      </c>
    </row>
    <row r="915" spans="1:15" s="193" customFormat="1" outlineLevel="2">
      <c r="A915" s="155"/>
      <c r="B915" s="156" t="s">
        <v>833</v>
      </c>
      <c r="C915" s="190" t="s">
        <v>93</v>
      </c>
      <c r="D915" s="191"/>
      <c r="E915" s="176"/>
      <c r="F915" s="177"/>
      <c r="G915" s="192"/>
      <c r="H915" s="179"/>
      <c r="I915" s="283" t="e">
        <f>IF(#REF!="",#REF!*#REF!,IF(#REF!=0,#REF!*#REF!,#REF!*#REF!*#REF!))</f>
        <v>#REF!</v>
      </c>
      <c r="J915" s="180" t="e">
        <f>#REF!*#REF!</f>
        <v>#REF!</v>
      </c>
      <c r="K915" s="178" t="e">
        <f>#REF!*mo</f>
        <v>#REF!</v>
      </c>
      <c r="L915" s="178" t="e">
        <f t="shared" si="121"/>
        <v>#REF!</v>
      </c>
      <c r="M915" s="178" t="e">
        <f>#REF!*#REF!</f>
        <v>#REF!</v>
      </c>
      <c r="N915" s="178" t="e">
        <f>#REF!+K915+#REF!</f>
        <v>#REF!</v>
      </c>
      <c r="O915" s="181" t="e">
        <f t="shared" si="118"/>
        <v>#REF!</v>
      </c>
    </row>
    <row r="916" spans="1:15" s="193" customFormat="1" outlineLevel="2">
      <c r="A916" s="155"/>
      <c r="B916" s="156" t="s">
        <v>834</v>
      </c>
      <c r="C916" s="190" t="s">
        <v>93</v>
      </c>
      <c r="D916" s="191"/>
      <c r="E916" s="176"/>
      <c r="F916" s="177"/>
      <c r="G916" s="192"/>
      <c r="H916" s="179"/>
      <c r="I916" s="283" t="e">
        <f>IF(#REF!="",#REF!*#REF!,IF(#REF!=0,#REF!*#REF!,#REF!*#REF!*#REF!))</f>
        <v>#REF!</v>
      </c>
      <c r="J916" s="180" t="e">
        <f>#REF!*#REF!</f>
        <v>#REF!</v>
      </c>
      <c r="K916" s="178" t="e">
        <f>#REF!*mo</f>
        <v>#REF!</v>
      </c>
      <c r="L916" s="178" t="e">
        <f t="shared" si="121"/>
        <v>#REF!</v>
      </c>
      <c r="M916" s="178" t="e">
        <f>#REF!*#REF!</f>
        <v>#REF!</v>
      </c>
      <c r="N916" s="178" t="e">
        <f>#REF!+K916+#REF!</f>
        <v>#REF!</v>
      </c>
      <c r="O916" s="181" t="e">
        <f t="shared" si="118"/>
        <v>#REF!</v>
      </c>
    </row>
    <row r="917" spans="1:15" s="193" customFormat="1" outlineLevel="2">
      <c r="A917" s="155"/>
      <c r="B917" s="156" t="s">
        <v>817</v>
      </c>
      <c r="C917" s="190" t="s">
        <v>93</v>
      </c>
      <c r="D917" s="191"/>
      <c r="E917" s="176"/>
      <c r="F917" s="177"/>
      <c r="G917" s="192"/>
      <c r="H917" s="179"/>
      <c r="I917" s="283" t="e">
        <f>IF(#REF!="",#REF!*#REF!,IF(#REF!=0,#REF!*#REF!,#REF!*#REF!*#REF!))</f>
        <v>#REF!</v>
      </c>
      <c r="J917" s="180" t="e">
        <f>#REF!*#REF!</f>
        <v>#REF!</v>
      </c>
      <c r="K917" s="178" t="e">
        <f>#REF!*mo</f>
        <v>#REF!</v>
      </c>
      <c r="L917" s="178" t="e">
        <f t="shared" si="121"/>
        <v>#REF!</v>
      </c>
      <c r="M917" s="178" t="e">
        <f>#REF!*#REF!</f>
        <v>#REF!</v>
      </c>
      <c r="N917" s="178" t="e">
        <f>#REF!+K917+#REF!</f>
        <v>#REF!</v>
      </c>
      <c r="O917" s="181" t="e">
        <f t="shared" si="118"/>
        <v>#REF!</v>
      </c>
    </row>
    <row r="918" spans="1:15" s="193" customFormat="1" outlineLevel="2">
      <c r="A918" s="155"/>
      <c r="B918" s="156" t="s">
        <v>835</v>
      </c>
      <c r="C918" s="190" t="s">
        <v>93</v>
      </c>
      <c r="D918" s="191"/>
      <c r="E918" s="176"/>
      <c r="F918" s="177"/>
      <c r="G918" s="192"/>
      <c r="H918" s="179"/>
      <c r="I918" s="283" t="e">
        <f>IF(#REF!="",#REF!*#REF!,IF(#REF!=0,#REF!*#REF!,#REF!*#REF!*#REF!))</f>
        <v>#REF!</v>
      </c>
      <c r="J918" s="180" t="e">
        <f>#REF!*#REF!</f>
        <v>#REF!</v>
      </c>
      <c r="K918" s="178" t="e">
        <f>#REF!*mo</f>
        <v>#REF!</v>
      </c>
      <c r="L918" s="178" t="e">
        <f t="shared" si="121"/>
        <v>#REF!</v>
      </c>
      <c r="M918" s="178" t="e">
        <f>#REF!*#REF!</f>
        <v>#REF!</v>
      </c>
      <c r="N918" s="178" t="e">
        <f>#REF!+K918+#REF!</f>
        <v>#REF!</v>
      </c>
      <c r="O918" s="181" t="e">
        <f t="shared" si="118"/>
        <v>#REF!</v>
      </c>
    </row>
    <row r="919" spans="1:15" s="193" customFormat="1" outlineLevel="2">
      <c r="A919" s="155"/>
      <c r="B919" s="156" t="s">
        <v>815</v>
      </c>
      <c r="C919" s="190" t="s">
        <v>93</v>
      </c>
      <c r="D919" s="191"/>
      <c r="E919" s="176"/>
      <c r="F919" s="177"/>
      <c r="G919" s="192"/>
      <c r="H919" s="179"/>
      <c r="I919" s="283" t="e">
        <f>IF(#REF!="",#REF!*#REF!,IF(#REF!=0,#REF!*#REF!,#REF!*#REF!*#REF!))</f>
        <v>#REF!</v>
      </c>
      <c r="J919" s="180" t="e">
        <f>#REF!*#REF!</f>
        <v>#REF!</v>
      </c>
      <c r="K919" s="178" t="e">
        <f>#REF!*mo</f>
        <v>#REF!</v>
      </c>
      <c r="L919" s="178" t="e">
        <f t="shared" si="121"/>
        <v>#REF!</v>
      </c>
      <c r="M919" s="178" t="e">
        <f>#REF!*#REF!</f>
        <v>#REF!</v>
      </c>
      <c r="N919" s="178" t="e">
        <f>#REF!+K919+#REF!</f>
        <v>#REF!</v>
      </c>
      <c r="O919" s="181" t="e">
        <f t="shared" si="118"/>
        <v>#REF!</v>
      </c>
    </row>
    <row r="920" spans="1:15" s="193" customFormat="1" outlineLevel="2">
      <c r="A920" s="155"/>
      <c r="B920" s="156" t="s">
        <v>836</v>
      </c>
      <c r="C920" s="190" t="s">
        <v>93</v>
      </c>
      <c r="D920" s="191"/>
      <c r="E920" s="176"/>
      <c r="F920" s="177"/>
      <c r="G920" s="192"/>
      <c r="H920" s="179"/>
      <c r="I920" s="283" t="e">
        <f>IF(#REF!="",#REF!*#REF!,IF(#REF!=0,#REF!*#REF!,#REF!*#REF!*#REF!))</f>
        <v>#REF!</v>
      </c>
      <c r="J920" s="180" t="e">
        <f>#REF!*#REF!</f>
        <v>#REF!</v>
      </c>
      <c r="K920" s="178" t="e">
        <f>#REF!*mo</f>
        <v>#REF!</v>
      </c>
      <c r="L920" s="178" t="e">
        <f t="shared" ref="L920:L943" si="122">J920*mo</f>
        <v>#REF!</v>
      </c>
      <c r="M920" s="178" t="e">
        <f>#REF!*#REF!</f>
        <v>#REF!</v>
      </c>
      <c r="N920" s="178" t="e">
        <f>#REF!+K920+#REF!</f>
        <v>#REF!</v>
      </c>
      <c r="O920" s="181" t="e">
        <f t="shared" si="118"/>
        <v>#REF!</v>
      </c>
    </row>
    <row r="921" spans="1:15" s="193" customFormat="1" outlineLevel="2">
      <c r="A921" s="155"/>
      <c r="B921" s="197" t="s">
        <v>837</v>
      </c>
      <c r="C921" s="190" t="s">
        <v>93</v>
      </c>
      <c r="D921" s="191"/>
      <c r="E921" s="176"/>
      <c r="F921" s="177"/>
      <c r="G921" s="192"/>
      <c r="H921" s="179"/>
      <c r="I921" s="283" t="e">
        <f>IF(#REF!="",#REF!*#REF!,IF(#REF!=0,#REF!*#REF!,#REF!*#REF!*#REF!))</f>
        <v>#REF!</v>
      </c>
      <c r="J921" s="180" t="e">
        <f>#REF!*#REF!</f>
        <v>#REF!</v>
      </c>
      <c r="K921" s="178" t="e">
        <f>#REF!*mo</f>
        <v>#REF!</v>
      </c>
      <c r="L921" s="178" t="e">
        <f t="shared" si="122"/>
        <v>#REF!</v>
      </c>
      <c r="M921" s="178" t="e">
        <f>#REF!*#REF!</f>
        <v>#REF!</v>
      </c>
      <c r="N921" s="178" t="e">
        <f>#REF!+K921+#REF!</f>
        <v>#REF!</v>
      </c>
      <c r="O921" s="181" t="e">
        <f t="shared" si="118"/>
        <v>#REF!</v>
      </c>
    </row>
    <row r="922" spans="1:15" s="193" customFormat="1" outlineLevel="2">
      <c r="A922" s="155"/>
      <c r="B922" s="156" t="s">
        <v>838</v>
      </c>
      <c r="C922" s="190" t="s">
        <v>93</v>
      </c>
      <c r="D922" s="191"/>
      <c r="E922" s="176"/>
      <c r="F922" s="177"/>
      <c r="G922" s="192"/>
      <c r="H922" s="179"/>
      <c r="I922" s="283" t="e">
        <f>IF(#REF!="",#REF!*#REF!,IF(#REF!=0,#REF!*#REF!,#REF!*#REF!*#REF!))</f>
        <v>#REF!</v>
      </c>
      <c r="J922" s="180" t="e">
        <f>#REF!*#REF!</f>
        <v>#REF!</v>
      </c>
      <c r="K922" s="178" t="e">
        <f>#REF!*mo</f>
        <v>#REF!</v>
      </c>
      <c r="L922" s="178" t="e">
        <f t="shared" si="122"/>
        <v>#REF!</v>
      </c>
      <c r="M922" s="178" t="e">
        <f>#REF!*#REF!</f>
        <v>#REF!</v>
      </c>
      <c r="N922" s="178" t="e">
        <f>#REF!+K922+#REF!</f>
        <v>#REF!</v>
      </c>
      <c r="O922" s="181" t="e">
        <f t="shared" si="118"/>
        <v>#REF!</v>
      </c>
    </row>
    <row r="923" spans="1:15" s="193" customFormat="1" outlineLevel="2">
      <c r="A923" s="155"/>
      <c r="B923" s="197" t="s">
        <v>839</v>
      </c>
      <c r="C923" s="190" t="s">
        <v>795</v>
      </c>
      <c r="D923" s="191"/>
      <c r="E923" s="176"/>
      <c r="F923" s="177"/>
      <c r="G923" s="192"/>
      <c r="H923" s="179"/>
      <c r="I923" s="283" t="e">
        <f>IF(#REF!="",#REF!*#REF!,IF(#REF!=0,#REF!*#REF!,#REF!*#REF!*#REF!))</f>
        <v>#REF!</v>
      </c>
      <c r="J923" s="180" t="e">
        <f>#REF!*#REF!</f>
        <v>#REF!</v>
      </c>
      <c r="K923" s="178" t="e">
        <f>#REF!*mo</f>
        <v>#REF!</v>
      </c>
      <c r="L923" s="178" t="e">
        <f t="shared" si="122"/>
        <v>#REF!</v>
      </c>
      <c r="M923" s="178" t="e">
        <f>#REF!*#REF!</f>
        <v>#REF!</v>
      </c>
      <c r="N923" s="178" t="e">
        <f>#REF!+K923+#REF!</f>
        <v>#REF!</v>
      </c>
      <c r="O923" s="181" t="e">
        <f t="shared" si="118"/>
        <v>#REF!</v>
      </c>
    </row>
    <row r="924" spans="1:15" s="193" customFormat="1" outlineLevel="2">
      <c r="A924" s="155"/>
      <c r="B924" s="197" t="s">
        <v>840</v>
      </c>
      <c r="C924" s="190" t="s">
        <v>795</v>
      </c>
      <c r="D924" s="191"/>
      <c r="E924" s="176"/>
      <c r="F924" s="177"/>
      <c r="G924" s="192"/>
      <c r="H924" s="179"/>
      <c r="I924" s="283" t="e">
        <f>IF(#REF!="",#REF!*#REF!,IF(#REF!=0,#REF!*#REF!,#REF!*#REF!*#REF!))</f>
        <v>#REF!</v>
      </c>
      <c r="J924" s="180" t="e">
        <f>#REF!*#REF!</f>
        <v>#REF!</v>
      </c>
      <c r="K924" s="178" t="e">
        <f>#REF!*mo</f>
        <v>#REF!</v>
      </c>
      <c r="L924" s="178" t="e">
        <f t="shared" si="122"/>
        <v>#REF!</v>
      </c>
      <c r="M924" s="178" t="e">
        <f>#REF!*#REF!</f>
        <v>#REF!</v>
      </c>
      <c r="N924" s="178" t="e">
        <f>#REF!+K924+#REF!</f>
        <v>#REF!</v>
      </c>
      <c r="O924" s="181" t="e">
        <f t="shared" si="118"/>
        <v>#REF!</v>
      </c>
    </row>
    <row r="925" spans="1:15" s="193" customFormat="1" outlineLevel="2">
      <c r="A925" s="155"/>
      <c r="B925" s="197" t="s">
        <v>841</v>
      </c>
      <c r="C925" s="190" t="s">
        <v>795</v>
      </c>
      <c r="D925" s="191"/>
      <c r="E925" s="176"/>
      <c r="F925" s="177"/>
      <c r="G925" s="192"/>
      <c r="H925" s="179"/>
      <c r="I925" s="283" t="e">
        <f>IF(#REF!="",#REF!*#REF!,IF(#REF!=0,#REF!*#REF!,#REF!*#REF!*#REF!))</f>
        <v>#REF!</v>
      </c>
      <c r="J925" s="180" t="e">
        <f>#REF!*#REF!</f>
        <v>#REF!</v>
      </c>
      <c r="K925" s="178" t="e">
        <f>#REF!*mo</f>
        <v>#REF!</v>
      </c>
      <c r="L925" s="178" t="e">
        <f t="shared" si="122"/>
        <v>#REF!</v>
      </c>
      <c r="M925" s="178" t="e">
        <f>#REF!*#REF!</f>
        <v>#REF!</v>
      </c>
      <c r="N925" s="178" t="e">
        <f>#REF!+K925+#REF!</f>
        <v>#REF!</v>
      </c>
      <c r="O925" s="181" t="e">
        <f t="shared" si="118"/>
        <v>#REF!</v>
      </c>
    </row>
    <row r="926" spans="1:15" s="193" customFormat="1" outlineLevel="2">
      <c r="A926" s="155"/>
      <c r="B926" s="156"/>
      <c r="C926" s="190"/>
      <c r="D926" s="191"/>
      <c r="E926" s="176"/>
      <c r="F926" s="177"/>
      <c r="G926" s="192"/>
      <c r="H926" s="179"/>
      <c r="I926" s="283" t="e">
        <f>IF(#REF!="",#REF!*#REF!,IF(#REF!=0,#REF!*#REF!,#REF!*#REF!*#REF!))</f>
        <v>#REF!</v>
      </c>
      <c r="J926" s="180" t="e">
        <f>#REF!*#REF!</f>
        <v>#REF!</v>
      </c>
      <c r="K926" s="178" t="e">
        <f>#REF!*mo</f>
        <v>#REF!</v>
      </c>
      <c r="L926" s="178" t="e">
        <f t="shared" si="122"/>
        <v>#REF!</v>
      </c>
      <c r="M926" s="178" t="e">
        <f>#REF!*#REF!</f>
        <v>#REF!</v>
      </c>
      <c r="N926" s="178" t="e">
        <f>#REF!+K926+#REF!</f>
        <v>#REF!</v>
      </c>
      <c r="O926" s="181" t="e">
        <f t="shared" si="118"/>
        <v>#REF!</v>
      </c>
    </row>
    <row r="927" spans="1:15" s="193" customFormat="1" outlineLevel="1">
      <c r="A927" s="157" t="str">
        <f>$A$16&amp;".3"</f>
        <v>3.1.3</v>
      </c>
      <c r="B927" s="158" t="s">
        <v>842</v>
      </c>
      <c r="C927" s="190"/>
      <c r="D927" s="191"/>
      <c r="E927" s="176"/>
      <c r="F927" s="177"/>
      <c r="G927" s="192">
        <f>SUM(F928:F959)</f>
        <v>0</v>
      </c>
      <c r="H927" s="179"/>
      <c r="I927" s="283" t="e">
        <f>IF(#REF!="",#REF!*#REF!,IF(#REF!=0,#REF!*#REF!,#REF!*#REF!*#REF!))</f>
        <v>#REF!</v>
      </c>
      <c r="J927" s="180" t="e">
        <f>#REF!*#REF!</f>
        <v>#REF!</v>
      </c>
      <c r="K927" s="178" t="e">
        <f>#REF!*mo</f>
        <v>#REF!</v>
      </c>
      <c r="L927" s="178" t="e">
        <f t="shared" si="122"/>
        <v>#REF!</v>
      </c>
      <c r="M927" s="178" t="e">
        <f>#REF!*#REF!</f>
        <v>#REF!</v>
      </c>
      <c r="N927" s="178" t="e">
        <f>#REF!+K927+#REF!</f>
        <v>#REF!</v>
      </c>
      <c r="O927" s="181" t="e">
        <f t="shared" si="118"/>
        <v>#REF!</v>
      </c>
    </row>
    <row r="928" spans="1:15" s="193" customFormat="1" outlineLevel="2">
      <c r="A928" s="155"/>
      <c r="B928" s="156"/>
      <c r="C928" s="190"/>
      <c r="D928" s="191"/>
      <c r="E928" s="176"/>
      <c r="F928" s="177"/>
      <c r="G928" s="192"/>
      <c r="H928" s="179"/>
      <c r="I928" s="283" t="e">
        <f>IF(#REF!="",#REF!*#REF!,IF(#REF!=0,#REF!*#REF!,#REF!*#REF!*#REF!))</f>
        <v>#REF!</v>
      </c>
      <c r="J928" s="180" t="e">
        <f>#REF!*#REF!</f>
        <v>#REF!</v>
      </c>
      <c r="K928" s="178" t="e">
        <f>#REF!*mo</f>
        <v>#REF!</v>
      </c>
      <c r="L928" s="178" t="e">
        <f t="shared" si="122"/>
        <v>#REF!</v>
      </c>
      <c r="M928" s="178" t="e">
        <f>#REF!*#REF!</f>
        <v>#REF!</v>
      </c>
      <c r="N928" s="178" t="e">
        <f>#REF!+K928+#REF!</f>
        <v>#REF!</v>
      </c>
      <c r="O928" s="181" t="e">
        <f t="shared" si="118"/>
        <v>#REF!</v>
      </c>
    </row>
    <row r="929" spans="1:15" s="193" customFormat="1" outlineLevel="2">
      <c r="A929" s="155"/>
      <c r="B929" s="201" t="s">
        <v>843</v>
      </c>
      <c r="C929" s="202"/>
      <c r="D929" s="203"/>
      <c r="E929" s="176"/>
      <c r="F929" s="177"/>
      <c r="G929" s="192"/>
      <c r="H929" s="179"/>
      <c r="I929" s="283" t="e">
        <f>IF(#REF!="",#REF!*#REF!,IF(#REF!=0,#REF!*#REF!,#REF!*#REF!*#REF!))</f>
        <v>#REF!</v>
      </c>
      <c r="J929" s="180" t="e">
        <f>#REF!*#REF!</f>
        <v>#REF!</v>
      </c>
      <c r="K929" s="178" t="e">
        <f>#REF!*mo</f>
        <v>#REF!</v>
      </c>
      <c r="L929" s="178" t="e">
        <f t="shared" si="122"/>
        <v>#REF!</v>
      </c>
      <c r="M929" s="178" t="e">
        <f>#REF!*#REF!</f>
        <v>#REF!</v>
      </c>
      <c r="N929" s="178" t="e">
        <f>#REF!+K929+#REF!</f>
        <v>#REF!</v>
      </c>
      <c r="O929" s="181" t="e">
        <f t="shared" si="118"/>
        <v>#REF!</v>
      </c>
    </row>
    <row r="930" spans="1:15" s="193" customFormat="1" outlineLevel="2">
      <c r="A930" s="155"/>
      <c r="B930" s="204"/>
      <c r="C930" s="202"/>
      <c r="D930" s="203"/>
      <c r="E930" s="176"/>
      <c r="F930" s="177"/>
      <c r="G930" s="192"/>
      <c r="H930" s="179"/>
      <c r="I930" s="283" t="e">
        <f>IF(#REF!="",#REF!*#REF!,IF(#REF!=0,#REF!*#REF!,#REF!*#REF!*#REF!))</f>
        <v>#REF!</v>
      </c>
      <c r="J930" s="180" t="e">
        <f>#REF!*#REF!</f>
        <v>#REF!</v>
      </c>
      <c r="K930" s="178" t="e">
        <f>#REF!*mo</f>
        <v>#REF!</v>
      </c>
      <c r="L930" s="178" t="e">
        <f t="shared" si="122"/>
        <v>#REF!</v>
      </c>
      <c r="M930" s="178" t="e">
        <f>#REF!*#REF!</f>
        <v>#REF!</v>
      </c>
      <c r="N930" s="178" t="e">
        <f>#REF!+K930+#REF!</f>
        <v>#REF!</v>
      </c>
      <c r="O930" s="181" t="e">
        <f t="shared" si="118"/>
        <v>#REF!</v>
      </c>
    </row>
    <row r="931" spans="1:15" s="193" customFormat="1" outlineLevel="2">
      <c r="A931" s="155"/>
      <c r="B931" s="205" t="s">
        <v>844</v>
      </c>
      <c r="C931" s="202" t="s">
        <v>795</v>
      </c>
      <c r="D931" s="203"/>
      <c r="E931" s="176"/>
      <c r="F931" s="177"/>
      <c r="G931" s="192"/>
      <c r="H931" s="179"/>
      <c r="I931" s="283" t="e">
        <f>IF(#REF!="",#REF!*#REF!,IF(#REF!=0,#REF!*#REF!,#REF!*#REF!*#REF!))</f>
        <v>#REF!</v>
      </c>
      <c r="J931" s="180" t="e">
        <f>#REF!*#REF!</f>
        <v>#REF!</v>
      </c>
      <c r="K931" s="178" t="e">
        <f>#REF!*mo</f>
        <v>#REF!</v>
      </c>
      <c r="L931" s="178" t="e">
        <f t="shared" si="122"/>
        <v>#REF!</v>
      </c>
      <c r="M931" s="178" t="e">
        <f>#REF!*#REF!</f>
        <v>#REF!</v>
      </c>
      <c r="N931" s="178" t="e">
        <f>#REF!+K931+#REF!</f>
        <v>#REF!</v>
      </c>
      <c r="O931" s="181" t="e">
        <f t="shared" si="118"/>
        <v>#REF!</v>
      </c>
    </row>
    <row r="932" spans="1:15" s="193" customFormat="1" outlineLevel="2">
      <c r="A932" s="155"/>
      <c r="B932" s="205" t="s">
        <v>845</v>
      </c>
      <c r="C932" s="202" t="s">
        <v>93</v>
      </c>
      <c r="D932" s="203"/>
      <c r="E932" s="176"/>
      <c r="F932" s="177"/>
      <c r="G932" s="192"/>
      <c r="H932" s="179"/>
      <c r="I932" s="283" t="e">
        <f>IF(#REF!="",#REF!*#REF!,IF(#REF!=0,#REF!*#REF!,#REF!*#REF!*#REF!))</f>
        <v>#REF!</v>
      </c>
      <c r="J932" s="180" t="e">
        <f>#REF!*#REF!</f>
        <v>#REF!</v>
      </c>
      <c r="K932" s="178" t="e">
        <f>#REF!*mo</f>
        <v>#REF!</v>
      </c>
      <c r="L932" s="178" t="e">
        <f t="shared" si="122"/>
        <v>#REF!</v>
      </c>
      <c r="M932" s="178" t="e">
        <f>#REF!*#REF!</f>
        <v>#REF!</v>
      </c>
      <c r="N932" s="178" t="e">
        <f>#REF!+K932+#REF!</f>
        <v>#REF!</v>
      </c>
      <c r="O932" s="181" t="e">
        <f t="shared" si="118"/>
        <v>#REF!</v>
      </c>
    </row>
    <row r="933" spans="1:15" s="193" customFormat="1" outlineLevel="2">
      <c r="A933" s="155"/>
      <c r="B933" s="205" t="s">
        <v>846</v>
      </c>
      <c r="C933" s="202" t="s">
        <v>93</v>
      </c>
      <c r="D933" s="203"/>
      <c r="E933" s="176"/>
      <c r="F933" s="177"/>
      <c r="G933" s="192"/>
      <c r="H933" s="179"/>
      <c r="I933" s="283" t="e">
        <f>IF(#REF!="",#REF!*#REF!,IF(#REF!=0,#REF!*#REF!,#REF!*#REF!*#REF!))</f>
        <v>#REF!</v>
      </c>
      <c r="J933" s="180" t="e">
        <f>#REF!*#REF!</f>
        <v>#REF!</v>
      </c>
      <c r="K933" s="178" t="e">
        <f>#REF!*mo</f>
        <v>#REF!</v>
      </c>
      <c r="L933" s="178" t="e">
        <f t="shared" si="122"/>
        <v>#REF!</v>
      </c>
      <c r="M933" s="178" t="e">
        <f>#REF!*#REF!</f>
        <v>#REF!</v>
      </c>
      <c r="N933" s="178" t="e">
        <f>#REF!+K933+#REF!</f>
        <v>#REF!</v>
      </c>
      <c r="O933" s="181" t="e">
        <f t="shared" si="118"/>
        <v>#REF!</v>
      </c>
    </row>
    <row r="934" spans="1:15" s="193" customFormat="1" outlineLevel="2">
      <c r="A934" s="155"/>
      <c r="B934" s="205" t="s">
        <v>813</v>
      </c>
      <c r="C934" s="202" t="s">
        <v>93</v>
      </c>
      <c r="D934" s="203"/>
      <c r="E934" s="176"/>
      <c r="F934" s="177"/>
      <c r="G934" s="192"/>
      <c r="H934" s="179"/>
      <c r="I934" s="283" t="e">
        <f>IF(#REF!="",#REF!*#REF!,IF(#REF!=0,#REF!*#REF!,#REF!*#REF!*#REF!))</f>
        <v>#REF!</v>
      </c>
      <c r="J934" s="180" t="e">
        <f>#REF!*#REF!</f>
        <v>#REF!</v>
      </c>
      <c r="K934" s="178" t="e">
        <f>#REF!*mo</f>
        <v>#REF!</v>
      </c>
      <c r="L934" s="178" t="e">
        <f t="shared" si="122"/>
        <v>#REF!</v>
      </c>
      <c r="M934" s="178" t="e">
        <f>#REF!*#REF!</f>
        <v>#REF!</v>
      </c>
      <c r="N934" s="178" t="e">
        <f>#REF!+K934+#REF!</f>
        <v>#REF!</v>
      </c>
      <c r="O934" s="181" t="e">
        <f t="shared" si="118"/>
        <v>#REF!</v>
      </c>
    </row>
    <row r="935" spans="1:15" s="193" customFormat="1" outlineLevel="2">
      <c r="A935" s="155"/>
      <c r="B935" s="205" t="s">
        <v>847</v>
      </c>
      <c r="C935" s="202" t="s">
        <v>93</v>
      </c>
      <c r="D935" s="203"/>
      <c r="E935" s="176"/>
      <c r="F935" s="177"/>
      <c r="G935" s="192"/>
      <c r="H935" s="179"/>
      <c r="I935" s="283" t="e">
        <f>IF(#REF!="",#REF!*#REF!,IF(#REF!=0,#REF!*#REF!,#REF!*#REF!*#REF!))</f>
        <v>#REF!</v>
      </c>
      <c r="J935" s="180" t="e">
        <f>#REF!*#REF!</f>
        <v>#REF!</v>
      </c>
      <c r="K935" s="178" t="e">
        <f>#REF!*mo</f>
        <v>#REF!</v>
      </c>
      <c r="L935" s="178" t="e">
        <f t="shared" si="122"/>
        <v>#REF!</v>
      </c>
      <c r="M935" s="178" t="e">
        <f>#REF!*#REF!</f>
        <v>#REF!</v>
      </c>
      <c r="N935" s="178" t="e">
        <f>#REF!+K935+#REF!</f>
        <v>#REF!</v>
      </c>
      <c r="O935" s="181" t="e">
        <f t="shared" si="118"/>
        <v>#REF!</v>
      </c>
    </row>
    <row r="936" spans="1:15" s="193" customFormat="1" outlineLevel="2">
      <c r="A936" s="155"/>
      <c r="B936" s="205" t="s">
        <v>848</v>
      </c>
      <c r="C936" s="202" t="s">
        <v>93</v>
      </c>
      <c r="D936" s="203"/>
      <c r="E936" s="176"/>
      <c r="F936" s="177"/>
      <c r="G936" s="192"/>
      <c r="H936" s="179"/>
      <c r="I936" s="283" t="e">
        <f>IF(#REF!="",#REF!*#REF!,IF(#REF!=0,#REF!*#REF!,#REF!*#REF!*#REF!))</f>
        <v>#REF!</v>
      </c>
      <c r="J936" s="180" t="e">
        <f>#REF!*#REF!</f>
        <v>#REF!</v>
      </c>
      <c r="K936" s="178" t="e">
        <f>#REF!*mo</f>
        <v>#REF!</v>
      </c>
      <c r="L936" s="178" t="e">
        <f t="shared" si="122"/>
        <v>#REF!</v>
      </c>
      <c r="M936" s="178" t="e">
        <f>#REF!*#REF!</f>
        <v>#REF!</v>
      </c>
      <c r="N936" s="178" t="e">
        <f>#REF!+K936+#REF!</f>
        <v>#REF!</v>
      </c>
      <c r="O936" s="181" t="e">
        <f t="shared" si="118"/>
        <v>#REF!</v>
      </c>
    </row>
    <row r="937" spans="1:15" s="193" customFormat="1" outlineLevel="2">
      <c r="A937" s="155"/>
      <c r="B937" s="205" t="s">
        <v>841</v>
      </c>
      <c r="C937" s="202" t="s">
        <v>93</v>
      </c>
      <c r="D937" s="203"/>
      <c r="E937" s="176"/>
      <c r="F937" s="177"/>
      <c r="G937" s="192"/>
      <c r="H937" s="179"/>
      <c r="I937" s="283" t="e">
        <f>IF(#REF!="",#REF!*#REF!,IF(#REF!=0,#REF!*#REF!,#REF!*#REF!*#REF!))</f>
        <v>#REF!</v>
      </c>
      <c r="J937" s="180" t="e">
        <f>#REF!*#REF!</f>
        <v>#REF!</v>
      </c>
      <c r="K937" s="178" t="e">
        <f>#REF!*mo</f>
        <v>#REF!</v>
      </c>
      <c r="L937" s="178" t="e">
        <f t="shared" si="122"/>
        <v>#REF!</v>
      </c>
      <c r="M937" s="178" t="e">
        <f>#REF!*#REF!</f>
        <v>#REF!</v>
      </c>
      <c r="N937" s="178" t="e">
        <f>#REF!+K937+#REF!</f>
        <v>#REF!</v>
      </c>
      <c r="O937" s="181" t="e">
        <f t="shared" si="118"/>
        <v>#REF!</v>
      </c>
    </row>
    <row r="938" spans="1:15" s="193" customFormat="1" outlineLevel="2">
      <c r="A938" s="155"/>
      <c r="B938" s="205" t="s">
        <v>840</v>
      </c>
      <c r="C938" s="202" t="s">
        <v>93</v>
      </c>
      <c r="D938" s="203"/>
      <c r="E938" s="176"/>
      <c r="F938" s="177"/>
      <c r="G938" s="192"/>
      <c r="H938" s="179"/>
      <c r="I938" s="283" t="e">
        <f>IF(#REF!="",#REF!*#REF!,IF(#REF!=0,#REF!*#REF!,#REF!*#REF!*#REF!))</f>
        <v>#REF!</v>
      </c>
      <c r="J938" s="180" t="e">
        <f>#REF!*#REF!</f>
        <v>#REF!</v>
      </c>
      <c r="K938" s="178" t="e">
        <f>#REF!*mo</f>
        <v>#REF!</v>
      </c>
      <c r="L938" s="178" t="e">
        <f t="shared" si="122"/>
        <v>#REF!</v>
      </c>
      <c r="M938" s="178" t="e">
        <f>#REF!*#REF!</f>
        <v>#REF!</v>
      </c>
      <c r="N938" s="178" t="e">
        <f>#REF!+K938+#REF!</f>
        <v>#REF!</v>
      </c>
      <c r="O938" s="181" t="e">
        <f t="shared" si="118"/>
        <v>#REF!</v>
      </c>
    </row>
    <row r="939" spans="1:15" s="193" customFormat="1" outlineLevel="2">
      <c r="A939" s="155"/>
      <c r="B939" s="205" t="s">
        <v>849</v>
      </c>
      <c r="C939" s="202" t="s">
        <v>93</v>
      </c>
      <c r="D939" s="203"/>
      <c r="E939" s="176"/>
      <c r="F939" s="177"/>
      <c r="G939" s="192"/>
      <c r="H939" s="179"/>
      <c r="I939" s="283" t="e">
        <f>IF(#REF!="",#REF!*#REF!,IF(#REF!=0,#REF!*#REF!,#REF!*#REF!*#REF!))</f>
        <v>#REF!</v>
      </c>
      <c r="J939" s="180" t="e">
        <f>#REF!*#REF!</f>
        <v>#REF!</v>
      </c>
      <c r="K939" s="178" t="e">
        <f>#REF!*mo</f>
        <v>#REF!</v>
      </c>
      <c r="L939" s="178" t="e">
        <f t="shared" si="122"/>
        <v>#REF!</v>
      </c>
      <c r="M939" s="178" t="e">
        <f>#REF!*#REF!</f>
        <v>#REF!</v>
      </c>
      <c r="N939" s="178" t="e">
        <f>#REF!+K939+#REF!</f>
        <v>#REF!</v>
      </c>
      <c r="O939" s="181" t="e">
        <f t="shared" si="118"/>
        <v>#REF!</v>
      </c>
    </row>
    <row r="940" spans="1:15" s="193" customFormat="1" outlineLevel="2">
      <c r="A940" s="155"/>
      <c r="B940" s="205" t="s">
        <v>850</v>
      </c>
      <c r="C940" s="202" t="s">
        <v>93</v>
      </c>
      <c r="D940" s="203"/>
      <c r="E940" s="176"/>
      <c r="F940" s="177"/>
      <c r="G940" s="192"/>
      <c r="H940" s="179"/>
      <c r="I940" s="283" t="e">
        <f>IF(#REF!="",#REF!*#REF!,IF(#REF!=0,#REF!*#REF!,#REF!*#REF!*#REF!))</f>
        <v>#REF!</v>
      </c>
      <c r="J940" s="180" t="e">
        <f>#REF!*#REF!</f>
        <v>#REF!</v>
      </c>
      <c r="K940" s="178" t="e">
        <f>#REF!*mo</f>
        <v>#REF!</v>
      </c>
      <c r="L940" s="178" t="e">
        <f t="shared" si="122"/>
        <v>#REF!</v>
      </c>
      <c r="M940" s="178" t="e">
        <f>#REF!*#REF!</f>
        <v>#REF!</v>
      </c>
      <c r="N940" s="178" t="e">
        <f>#REF!+K940+#REF!</f>
        <v>#REF!</v>
      </c>
      <c r="O940" s="181" t="e">
        <f t="shared" si="118"/>
        <v>#REF!</v>
      </c>
    </row>
    <row r="941" spans="1:15" s="193" customFormat="1" outlineLevel="2">
      <c r="A941" s="155"/>
      <c r="B941" s="205" t="s">
        <v>851</v>
      </c>
      <c r="C941" s="202" t="s">
        <v>93</v>
      </c>
      <c r="D941" s="203"/>
      <c r="E941" s="176"/>
      <c r="F941" s="177"/>
      <c r="G941" s="192"/>
      <c r="H941" s="179"/>
      <c r="I941" s="283" t="e">
        <f>IF(#REF!="",#REF!*#REF!,IF(#REF!=0,#REF!*#REF!,#REF!*#REF!*#REF!))</f>
        <v>#REF!</v>
      </c>
      <c r="J941" s="180" t="e">
        <f>#REF!*#REF!</f>
        <v>#REF!</v>
      </c>
      <c r="K941" s="178" t="e">
        <f>#REF!*mo</f>
        <v>#REF!</v>
      </c>
      <c r="L941" s="178" t="e">
        <f t="shared" si="122"/>
        <v>#REF!</v>
      </c>
      <c r="M941" s="178" t="e">
        <f>#REF!*#REF!</f>
        <v>#REF!</v>
      </c>
      <c r="N941" s="178" t="e">
        <f>#REF!+K941+#REF!</f>
        <v>#REF!</v>
      </c>
      <c r="O941" s="181" t="e">
        <f t="shared" si="118"/>
        <v>#REF!</v>
      </c>
    </row>
    <row r="942" spans="1:15" s="193" customFormat="1" outlineLevel="2">
      <c r="A942" s="155"/>
      <c r="B942" s="205" t="s">
        <v>852</v>
      </c>
      <c r="C942" s="202" t="s">
        <v>795</v>
      </c>
      <c r="D942" s="203"/>
      <c r="E942" s="176"/>
      <c r="F942" s="177"/>
      <c r="G942" s="192"/>
      <c r="H942" s="179"/>
      <c r="I942" s="283" t="e">
        <f>IF(#REF!="",#REF!*#REF!,IF(#REF!=0,#REF!*#REF!,#REF!*#REF!*#REF!))</f>
        <v>#REF!</v>
      </c>
      <c r="J942" s="180" t="e">
        <f>#REF!*#REF!</f>
        <v>#REF!</v>
      </c>
      <c r="K942" s="178" t="e">
        <f>#REF!*mo</f>
        <v>#REF!</v>
      </c>
      <c r="L942" s="178" t="e">
        <f t="shared" si="122"/>
        <v>#REF!</v>
      </c>
      <c r="M942" s="178" t="e">
        <f>#REF!*#REF!</f>
        <v>#REF!</v>
      </c>
      <c r="N942" s="178" t="e">
        <f>#REF!+K942+#REF!</f>
        <v>#REF!</v>
      </c>
      <c r="O942" s="181" t="e">
        <f t="shared" si="118"/>
        <v>#REF!</v>
      </c>
    </row>
    <row r="943" spans="1:15" s="193" customFormat="1" outlineLevel="2">
      <c r="A943" s="155"/>
      <c r="B943" s="205" t="s">
        <v>853</v>
      </c>
      <c r="C943" s="202" t="s">
        <v>93</v>
      </c>
      <c r="D943" s="203"/>
      <c r="E943" s="176"/>
      <c r="F943" s="177"/>
      <c r="G943" s="192"/>
      <c r="H943" s="179"/>
      <c r="I943" s="283" t="e">
        <f>IF(#REF!="",#REF!*#REF!,IF(#REF!=0,#REF!*#REF!,#REF!*#REF!*#REF!))</f>
        <v>#REF!</v>
      </c>
      <c r="J943" s="180" t="e">
        <f>#REF!*#REF!</f>
        <v>#REF!</v>
      </c>
      <c r="K943" s="178" t="e">
        <f>#REF!*mo</f>
        <v>#REF!</v>
      </c>
      <c r="L943" s="178" t="e">
        <f t="shared" si="122"/>
        <v>#REF!</v>
      </c>
      <c r="M943" s="178" t="e">
        <f>#REF!*#REF!</f>
        <v>#REF!</v>
      </c>
      <c r="N943" s="178" t="e">
        <f>#REF!+K943+#REF!</f>
        <v>#REF!</v>
      </c>
      <c r="O943" s="181" t="e">
        <f t="shared" si="118"/>
        <v>#REF!</v>
      </c>
    </row>
    <row r="944" spans="1:15" s="193" customFormat="1" outlineLevel="2">
      <c r="A944" s="155"/>
      <c r="B944" s="205"/>
      <c r="C944" s="202"/>
      <c r="D944" s="203"/>
      <c r="E944" s="176"/>
      <c r="F944" s="177"/>
      <c r="G944" s="192"/>
      <c r="H944" s="179"/>
      <c r="I944" s="283"/>
      <c r="J944" s="180"/>
      <c r="K944" s="178"/>
      <c r="L944" s="178"/>
      <c r="M944" s="178"/>
      <c r="N944" s="178"/>
      <c r="O944" s="181"/>
    </row>
    <row r="945" spans="1:15" s="193" customFormat="1" outlineLevel="2">
      <c r="A945" s="155"/>
      <c r="B945" s="201" t="s">
        <v>854</v>
      </c>
      <c r="C945" s="202"/>
      <c r="D945" s="203"/>
      <c r="E945" s="176"/>
      <c r="F945" s="177"/>
      <c r="G945" s="192"/>
      <c r="H945" s="179"/>
      <c r="I945" s="283" t="e">
        <f>IF(#REF!="",#REF!*#REF!,IF(#REF!=0,#REF!*#REF!,#REF!*#REF!*#REF!))</f>
        <v>#REF!</v>
      </c>
      <c r="J945" s="180" t="e">
        <f>#REF!*#REF!</f>
        <v>#REF!</v>
      </c>
      <c r="K945" s="178" t="e">
        <f>#REF!*mo</f>
        <v>#REF!</v>
      </c>
      <c r="L945" s="178" t="e">
        <f t="shared" ref="L945:L958" si="123">J945*mo</f>
        <v>#REF!</v>
      </c>
      <c r="M945" s="178" t="e">
        <f>#REF!*#REF!</f>
        <v>#REF!</v>
      </c>
      <c r="N945" s="178" t="e">
        <f>#REF!+K945+#REF!</f>
        <v>#REF!</v>
      </c>
      <c r="O945" s="181" t="e">
        <f t="shared" ref="O945:O958" si="124">M945+L945+I945</f>
        <v>#REF!</v>
      </c>
    </row>
    <row r="946" spans="1:15" s="193" customFormat="1" outlineLevel="2">
      <c r="A946" s="155"/>
      <c r="B946" s="204"/>
      <c r="C946" s="202"/>
      <c r="D946" s="203"/>
      <c r="E946" s="176"/>
      <c r="F946" s="177"/>
      <c r="G946" s="192"/>
      <c r="H946" s="179"/>
      <c r="I946" s="283" t="e">
        <f>IF(#REF!="",#REF!*#REF!,IF(#REF!=0,#REF!*#REF!,#REF!*#REF!*#REF!))</f>
        <v>#REF!</v>
      </c>
      <c r="J946" s="180" t="e">
        <f>#REF!*#REF!</f>
        <v>#REF!</v>
      </c>
      <c r="K946" s="178" t="e">
        <f>#REF!*mo</f>
        <v>#REF!</v>
      </c>
      <c r="L946" s="178" t="e">
        <f t="shared" si="123"/>
        <v>#REF!</v>
      </c>
      <c r="M946" s="178" t="e">
        <f>#REF!*#REF!</f>
        <v>#REF!</v>
      </c>
      <c r="N946" s="178" t="e">
        <f>#REF!+K946+#REF!</f>
        <v>#REF!</v>
      </c>
      <c r="O946" s="181" t="e">
        <f t="shared" si="124"/>
        <v>#REF!</v>
      </c>
    </row>
    <row r="947" spans="1:15" s="193" customFormat="1" outlineLevel="2">
      <c r="A947" s="155"/>
      <c r="B947" s="205" t="s">
        <v>855</v>
      </c>
      <c r="C947" s="202" t="s">
        <v>795</v>
      </c>
      <c r="D947" s="203"/>
      <c r="E947" s="176"/>
      <c r="F947" s="177"/>
      <c r="G947" s="192"/>
      <c r="H947" s="179"/>
      <c r="I947" s="283" t="e">
        <f>IF(#REF!="",#REF!*#REF!,IF(#REF!=0,#REF!*#REF!,#REF!*#REF!*#REF!))</f>
        <v>#REF!</v>
      </c>
      <c r="J947" s="180" t="e">
        <f>#REF!*#REF!</f>
        <v>#REF!</v>
      </c>
      <c r="K947" s="178" t="e">
        <f>#REF!*mo</f>
        <v>#REF!</v>
      </c>
      <c r="L947" s="178" t="e">
        <f t="shared" si="123"/>
        <v>#REF!</v>
      </c>
      <c r="M947" s="178" t="e">
        <f>#REF!*#REF!</f>
        <v>#REF!</v>
      </c>
      <c r="N947" s="178" t="e">
        <f>#REF!+K947+#REF!</f>
        <v>#REF!</v>
      </c>
      <c r="O947" s="181" t="e">
        <f t="shared" si="124"/>
        <v>#REF!</v>
      </c>
    </row>
    <row r="948" spans="1:15" s="193" customFormat="1" outlineLevel="2">
      <c r="A948" s="155"/>
      <c r="B948" s="205" t="s">
        <v>845</v>
      </c>
      <c r="C948" s="202" t="s">
        <v>93</v>
      </c>
      <c r="D948" s="203"/>
      <c r="E948" s="176"/>
      <c r="F948" s="177"/>
      <c r="G948" s="192"/>
      <c r="H948" s="179"/>
      <c r="I948" s="283" t="e">
        <f>IF(#REF!="",#REF!*#REF!,IF(#REF!=0,#REF!*#REF!,#REF!*#REF!*#REF!))</f>
        <v>#REF!</v>
      </c>
      <c r="J948" s="180" t="e">
        <f>#REF!*#REF!</f>
        <v>#REF!</v>
      </c>
      <c r="K948" s="178" t="e">
        <f>#REF!*mo</f>
        <v>#REF!</v>
      </c>
      <c r="L948" s="178" t="e">
        <f t="shared" si="123"/>
        <v>#REF!</v>
      </c>
      <c r="M948" s="178" t="e">
        <f>#REF!*#REF!</f>
        <v>#REF!</v>
      </c>
      <c r="N948" s="178" t="e">
        <f>#REF!+K948+#REF!</f>
        <v>#REF!</v>
      </c>
      <c r="O948" s="181" t="e">
        <f t="shared" si="124"/>
        <v>#REF!</v>
      </c>
    </row>
    <row r="949" spans="1:15" s="193" customFormat="1" outlineLevel="2">
      <c r="A949" s="155"/>
      <c r="B949" s="205" t="s">
        <v>846</v>
      </c>
      <c r="C949" s="202" t="s">
        <v>93</v>
      </c>
      <c r="D949" s="203"/>
      <c r="E949" s="176"/>
      <c r="F949" s="177"/>
      <c r="G949" s="192"/>
      <c r="H949" s="179"/>
      <c r="I949" s="283" t="e">
        <f>IF(#REF!="",#REF!*#REF!,IF(#REF!=0,#REF!*#REF!,#REF!*#REF!*#REF!))</f>
        <v>#REF!</v>
      </c>
      <c r="J949" s="180" t="e">
        <f>#REF!*#REF!</f>
        <v>#REF!</v>
      </c>
      <c r="K949" s="178" t="e">
        <f>#REF!*mo</f>
        <v>#REF!</v>
      </c>
      <c r="L949" s="178" t="e">
        <f t="shared" si="123"/>
        <v>#REF!</v>
      </c>
      <c r="M949" s="178" t="e">
        <f>#REF!*#REF!</f>
        <v>#REF!</v>
      </c>
      <c r="N949" s="178" t="e">
        <f>#REF!+K949+#REF!</f>
        <v>#REF!</v>
      </c>
      <c r="O949" s="181" t="e">
        <f t="shared" si="124"/>
        <v>#REF!</v>
      </c>
    </row>
    <row r="950" spans="1:15" s="193" customFormat="1" outlineLevel="2">
      <c r="A950" s="155"/>
      <c r="B950" s="205" t="s">
        <v>813</v>
      </c>
      <c r="C950" s="202" t="s">
        <v>93</v>
      </c>
      <c r="D950" s="203"/>
      <c r="E950" s="176"/>
      <c r="F950" s="177"/>
      <c r="G950" s="192"/>
      <c r="H950" s="179"/>
      <c r="I950" s="283" t="e">
        <f>IF(#REF!="",#REF!*#REF!,IF(#REF!=0,#REF!*#REF!,#REF!*#REF!*#REF!))</f>
        <v>#REF!</v>
      </c>
      <c r="J950" s="180" t="e">
        <f>#REF!*#REF!</f>
        <v>#REF!</v>
      </c>
      <c r="K950" s="178" t="e">
        <f>#REF!*mo</f>
        <v>#REF!</v>
      </c>
      <c r="L950" s="178" t="e">
        <f t="shared" si="123"/>
        <v>#REF!</v>
      </c>
      <c r="M950" s="178" t="e">
        <f>#REF!*#REF!</f>
        <v>#REF!</v>
      </c>
      <c r="N950" s="178" t="e">
        <f>#REF!+K950+#REF!</f>
        <v>#REF!</v>
      </c>
      <c r="O950" s="181" t="e">
        <f t="shared" si="124"/>
        <v>#REF!</v>
      </c>
    </row>
    <row r="951" spans="1:15" s="193" customFormat="1" outlineLevel="2">
      <c r="A951" s="155"/>
      <c r="B951" s="205" t="s">
        <v>847</v>
      </c>
      <c r="C951" s="202" t="s">
        <v>93</v>
      </c>
      <c r="D951" s="203"/>
      <c r="E951" s="176"/>
      <c r="F951" s="177"/>
      <c r="G951" s="192"/>
      <c r="H951" s="179"/>
      <c r="I951" s="283" t="e">
        <f>IF(#REF!="",#REF!*#REF!,IF(#REF!=0,#REF!*#REF!,#REF!*#REF!*#REF!))</f>
        <v>#REF!</v>
      </c>
      <c r="J951" s="180" t="e">
        <f>#REF!*#REF!</f>
        <v>#REF!</v>
      </c>
      <c r="K951" s="178" t="e">
        <f>#REF!*mo</f>
        <v>#REF!</v>
      </c>
      <c r="L951" s="178" t="e">
        <f t="shared" si="123"/>
        <v>#REF!</v>
      </c>
      <c r="M951" s="178" t="e">
        <f>#REF!*#REF!</f>
        <v>#REF!</v>
      </c>
      <c r="N951" s="178" t="e">
        <f>#REF!+K951+#REF!</f>
        <v>#REF!</v>
      </c>
      <c r="O951" s="181" t="e">
        <f t="shared" si="124"/>
        <v>#REF!</v>
      </c>
    </row>
    <row r="952" spans="1:15" s="193" customFormat="1" outlineLevel="2">
      <c r="A952" s="155"/>
      <c r="B952" s="205" t="s">
        <v>848</v>
      </c>
      <c r="C952" s="202" t="s">
        <v>93</v>
      </c>
      <c r="D952" s="203"/>
      <c r="E952" s="176"/>
      <c r="F952" s="177"/>
      <c r="G952" s="192"/>
      <c r="H952" s="179"/>
      <c r="I952" s="283" t="e">
        <f>IF(#REF!="",#REF!*#REF!,IF(#REF!=0,#REF!*#REF!,#REF!*#REF!*#REF!))</f>
        <v>#REF!</v>
      </c>
      <c r="J952" s="180" t="e">
        <f>#REF!*#REF!</f>
        <v>#REF!</v>
      </c>
      <c r="K952" s="178" t="e">
        <f>#REF!*mo</f>
        <v>#REF!</v>
      </c>
      <c r="L952" s="178" t="e">
        <f t="shared" si="123"/>
        <v>#REF!</v>
      </c>
      <c r="M952" s="178" t="e">
        <f>#REF!*#REF!</f>
        <v>#REF!</v>
      </c>
      <c r="N952" s="178" t="e">
        <f>#REF!+K952+#REF!</f>
        <v>#REF!</v>
      </c>
      <c r="O952" s="181" t="e">
        <f t="shared" si="124"/>
        <v>#REF!</v>
      </c>
    </row>
    <row r="953" spans="1:15" s="193" customFormat="1" outlineLevel="2">
      <c r="A953" s="155"/>
      <c r="B953" s="205" t="s">
        <v>841</v>
      </c>
      <c r="C953" s="202" t="s">
        <v>93</v>
      </c>
      <c r="D953" s="203"/>
      <c r="E953" s="176"/>
      <c r="F953" s="177"/>
      <c r="G953" s="192"/>
      <c r="H953" s="179"/>
      <c r="I953" s="283" t="e">
        <f>IF(#REF!="",#REF!*#REF!,IF(#REF!=0,#REF!*#REF!,#REF!*#REF!*#REF!))</f>
        <v>#REF!</v>
      </c>
      <c r="J953" s="180" t="e">
        <f>#REF!*#REF!</f>
        <v>#REF!</v>
      </c>
      <c r="K953" s="178" t="e">
        <f>#REF!*mo</f>
        <v>#REF!</v>
      </c>
      <c r="L953" s="178" t="e">
        <f t="shared" si="123"/>
        <v>#REF!</v>
      </c>
      <c r="M953" s="178" t="e">
        <f>#REF!*#REF!</f>
        <v>#REF!</v>
      </c>
      <c r="N953" s="178" t="e">
        <f>#REF!+K953+#REF!</f>
        <v>#REF!</v>
      </c>
      <c r="O953" s="181" t="e">
        <f t="shared" si="124"/>
        <v>#REF!</v>
      </c>
    </row>
    <row r="954" spans="1:15" s="193" customFormat="1" outlineLevel="2">
      <c r="A954" s="155"/>
      <c r="B954" s="205" t="s">
        <v>840</v>
      </c>
      <c r="C954" s="202" t="s">
        <v>93</v>
      </c>
      <c r="D954" s="203"/>
      <c r="E954" s="176"/>
      <c r="F954" s="177"/>
      <c r="G954" s="192"/>
      <c r="H954" s="179"/>
      <c r="I954" s="283" t="e">
        <f>IF(#REF!="",#REF!*#REF!,IF(#REF!=0,#REF!*#REF!,#REF!*#REF!*#REF!))</f>
        <v>#REF!</v>
      </c>
      <c r="J954" s="180" t="e">
        <f>#REF!*#REF!</f>
        <v>#REF!</v>
      </c>
      <c r="K954" s="178" t="e">
        <f>#REF!*mo</f>
        <v>#REF!</v>
      </c>
      <c r="L954" s="178" t="e">
        <f t="shared" si="123"/>
        <v>#REF!</v>
      </c>
      <c r="M954" s="178" t="e">
        <f>#REF!*#REF!</f>
        <v>#REF!</v>
      </c>
      <c r="N954" s="178" t="e">
        <f>#REF!+K954+#REF!</f>
        <v>#REF!</v>
      </c>
      <c r="O954" s="181" t="e">
        <f t="shared" si="124"/>
        <v>#REF!</v>
      </c>
    </row>
    <row r="955" spans="1:15" s="193" customFormat="1" outlineLevel="2">
      <c r="A955" s="155"/>
      <c r="B955" s="205" t="s">
        <v>849</v>
      </c>
      <c r="C955" s="202" t="s">
        <v>93</v>
      </c>
      <c r="D955" s="203"/>
      <c r="E955" s="176"/>
      <c r="F955" s="177"/>
      <c r="G955" s="192"/>
      <c r="H955" s="179"/>
      <c r="I955" s="283" t="e">
        <f>IF(#REF!="",#REF!*#REF!,IF(#REF!=0,#REF!*#REF!,#REF!*#REF!*#REF!))</f>
        <v>#REF!</v>
      </c>
      <c r="J955" s="180" t="e">
        <f>#REF!*#REF!</f>
        <v>#REF!</v>
      </c>
      <c r="K955" s="178" t="e">
        <f>#REF!*mo</f>
        <v>#REF!</v>
      </c>
      <c r="L955" s="178" t="e">
        <f t="shared" si="123"/>
        <v>#REF!</v>
      </c>
      <c r="M955" s="178" t="e">
        <f>#REF!*#REF!</f>
        <v>#REF!</v>
      </c>
      <c r="N955" s="178" t="e">
        <f>#REF!+K955+#REF!</f>
        <v>#REF!</v>
      </c>
      <c r="O955" s="181" t="e">
        <f t="shared" si="124"/>
        <v>#REF!</v>
      </c>
    </row>
    <row r="956" spans="1:15" s="193" customFormat="1" outlineLevel="2">
      <c r="A956" s="155"/>
      <c r="B956" s="205" t="s">
        <v>850</v>
      </c>
      <c r="C956" s="202" t="s">
        <v>93</v>
      </c>
      <c r="D956" s="203"/>
      <c r="E956" s="176"/>
      <c r="F956" s="177"/>
      <c r="G956" s="192"/>
      <c r="H956" s="179"/>
      <c r="I956" s="283" t="e">
        <f>IF(#REF!="",#REF!*#REF!,IF(#REF!=0,#REF!*#REF!,#REF!*#REF!*#REF!))</f>
        <v>#REF!</v>
      </c>
      <c r="J956" s="180" t="e">
        <f>#REF!*#REF!</f>
        <v>#REF!</v>
      </c>
      <c r="K956" s="178" t="e">
        <f>#REF!*mo</f>
        <v>#REF!</v>
      </c>
      <c r="L956" s="178" t="e">
        <f t="shared" si="123"/>
        <v>#REF!</v>
      </c>
      <c r="M956" s="178" t="e">
        <f>#REF!*#REF!</f>
        <v>#REF!</v>
      </c>
      <c r="N956" s="178" t="e">
        <f>#REF!+K956+#REF!</f>
        <v>#REF!</v>
      </c>
      <c r="O956" s="181" t="e">
        <f t="shared" si="124"/>
        <v>#REF!</v>
      </c>
    </row>
    <row r="957" spans="1:15" s="193" customFormat="1" outlineLevel="2">
      <c r="A957" s="155"/>
      <c r="B957" s="205" t="s">
        <v>851</v>
      </c>
      <c r="C957" s="202" t="s">
        <v>93</v>
      </c>
      <c r="D957" s="203"/>
      <c r="E957" s="176"/>
      <c r="F957" s="177"/>
      <c r="G957" s="192"/>
      <c r="H957" s="179"/>
      <c r="I957" s="283" t="e">
        <f>IF(#REF!="",#REF!*#REF!,IF(#REF!=0,#REF!*#REF!,#REF!*#REF!*#REF!))</f>
        <v>#REF!</v>
      </c>
      <c r="J957" s="180" t="e">
        <f>#REF!*#REF!</f>
        <v>#REF!</v>
      </c>
      <c r="K957" s="178" t="e">
        <f>#REF!*mo</f>
        <v>#REF!</v>
      </c>
      <c r="L957" s="178" t="e">
        <f t="shared" si="123"/>
        <v>#REF!</v>
      </c>
      <c r="M957" s="178" t="e">
        <f>#REF!*#REF!</f>
        <v>#REF!</v>
      </c>
      <c r="N957" s="178" t="e">
        <f>#REF!+K957+#REF!</f>
        <v>#REF!</v>
      </c>
      <c r="O957" s="181" t="e">
        <f t="shared" si="124"/>
        <v>#REF!</v>
      </c>
    </row>
    <row r="958" spans="1:15" s="193" customFormat="1" outlineLevel="2">
      <c r="A958" s="155"/>
      <c r="B958" s="205" t="s">
        <v>852</v>
      </c>
      <c r="C958" s="202" t="s">
        <v>795</v>
      </c>
      <c r="D958" s="203"/>
      <c r="E958" s="176"/>
      <c r="F958" s="177"/>
      <c r="G958" s="192"/>
      <c r="H958" s="179"/>
      <c r="I958" s="283" t="e">
        <f>IF(#REF!="",#REF!*#REF!,IF(#REF!=0,#REF!*#REF!,#REF!*#REF!*#REF!))</f>
        <v>#REF!</v>
      </c>
      <c r="J958" s="180" t="e">
        <f>#REF!*#REF!</f>
        <v>#REF!</v>
      </c>
      <c r="K958" s="178" t="e">
        <f>#REF!*mo</f>
        <v>#REF!</v>
      </c>
      <c r="L958" s="178" t="e">
        <f t="shared" si="123"/>
        <v>#REF!</v>
      </c>
      <c r="M958" s="178" t="e">
        <f>#REF!*#REF!</f>
        <v>#REF!</v>
      </c>
      <c r="N958" s="178" t="e">
        <f>#REF!+K958+#REF!</f>
        <v>#REF!</v>
      </c>
      <c r="O958" s="181" t="e">
        <f t="shared" si="124"/>
        <v>#REF!</v>
      </c>
    </row>
    <row r="959" spans="1:15" s="193" customFormat="1" outlineLevel="2">
      <c r="A959" s="155"/>
      <c r="B959" s="206"/>
      <c r="C959" s="202"/>
      <c r="D959" s="203"/>
      <c r="E959" s="176"/>
      <c r="F959" s="177"/>
      <c r="G959" s="192"/>
      <c r="H959" s="179"/>
      <c r="I959" s="283"/>
      <c r="J959" s="180"/>
      <c r="K959" s="178"/>
      <c r="L959" s="178"/>
      <c r="M959" s="178"/>
      <c r="N959" s="178"/>
      <c r="O959" s="181"/>
    </row>
    <row r="960" spans="1:15" s="193" customFormat="1" outlineLevel="2">
      <c r="A960" s="155"/>
      <c r="B960" s="156"/>
      <c r="C960" s="190"/>
      <c r="D960" s="191"/>
      <c r="E960" s="176"/>
      <c r="F960" s="177"/>
      <c r="G960" s="192"/>
      <c r="H960" s="179"/>
      <c r="I960" s="283" t="e">
        <f>IF(#REF!="",#REF!*#REF!,IF(#REF!=0,#REF!*#REF!,#REF!*#REF!*#REF!))</f>
        <v>#REF!</v>
      </c>
      <c r="J960" s="180" t="e">
        <f>#REF!*#REF!</f>
        <v>#REF!</v>
      </c>
      <c r="K960" s="178" t="e">
        <f>#REF!*mo</f>
        <v>#REF!</v>
      </c>
      <c r="L960" s="178" t="e">
        <f t="shared" ref="L960:L962" si="125">J960*mo</f>
        <v>#REF!</v>
      </c>
      <c r="M960" s="178" t="e">
        <f>#REF!*#REF!</f>
        <v>#REF!</v>
      </c>
      <c r="N960" s="178" t="e">
        <f>#REF!+K960+#REF!</f>
        <v>#REF!</v>
      </c>
      <c r="O960" s="181" t="e">
        <f t="shared" ref="O960:O974" si="126">M960+L960+I960</f>
        <v>#REF!</v>
      </c>
    </row>
    <row r="961" spans="1:15" s="193" customFormat="1" outlineLevel="2">
      <c r="A961" s="155"/>
      <c r="B961" s="207" t="s">
        <v>857</v>
      </c>
      <c r="C961" s="202"/>
      <c r="D961" s="203"/>
      <c r="E961" s="176"/>
      <c r="F961" s="177"/>
      <c r="G961" s="192"/>
      <c r="H961" s="179"/>
      <c r="I961" s="283" t="e">
        <f>IF(#REF!="",#REF!*#REF!,IF(#REF!=0,#REF!*#REF!,#REF!*#REF!*#REF!))</f>
        <v>#REF!</v>
      </c>
      <c r="J961" s="180" t="e">
        <f>#REF!*#REF!</f>
        <v>#REF!</v>
      </c>
      <c r="K961" s="178" t="e">
        <f>#REF!*mo</f>
        <v>#REF!</v>
      </c>
      <c r="L961" s="178" t="e">
        <f t="shared" si="125"/>
        <v>#REF!</v>
      </c>
      <c r="M961" s="178" t="e">
        <f>#REF!*#REF!</f>
        <v>#REF!</v>
      </c>
      <c r="N961" s="178" t="e">
        <f>#REF!+K961+#REF!</f>
        <v>#REF!</v>
      </c>
      <c r="O961" s="181" t="e">
        <f t="shared" si="126"/>
        <v>#REF!</v>
      </c>
    </row>
    <row r="962" spans="1:15" s="193" customFormat="1" outlineLevel="2">
      <c r="A962" s="155"/>
      <c r="B962" s="204" t="s">
        <v>858</v>
      </c>
      <c r="C962" s="202" t="s">
        <v>93</v>
      </c>
      <c r="D962" s="203"/>
      <c r="E962" s="176"/>
      <c r="F962" s="177"/>
      <c r="G962" s="192"/>
      <c r="H962" s="179"/>
      <c r="I962" s="283" t="e">
        <f>IF(#REF!="",#REF!*#REF!,IF(#REF!=0,#REF!*#REF!,#REF!*#REF!*#REF!))</f>
        <v>#REF!</v>
      </c>
      <c r="J962" s="180" t="e">
        <f>#REF!*#REF!</f>
        <v>#REF!</v>
      </c>
      <c r="K962" s="178" t="e">
        <f>#REF!*mo</f>
        <v>#REF!</v>
      </c>
      <c r="L962" s="178" t="e">
        <f t="shared" si="125"/>
        <v>#REF!</v>
      </c>
      <c r="M962" s="178" t="e">
        <f>#REF!*#REF!</f>
        <v>#REF!</v>
      </c>
      <c r="N962" s="178" t="e">
        <f>#REF!+K962+#REF!</f>
        <v>#REF!</v>
      </c>
      <c r="O962" s="181" t="e">
        <f t="shared" si="126"/>
        <v>#REF!</v>
      </c>
    </row>
    <row r="963" spans="1:15" s="193" customFormat="1" outlineLevel="2">
      <c r="A963" s="155"/>
      <c r="B963" s="205"/>
      <c r="C963" s="202"/>
      <c r="D963" s="203"/>
      <c r="E963" s="176"/>
      <c r="F963" s="177"/>
      <c r="G963" s="192"/>
      <c r="H963" s="179"/>
      <c r="I963" s="283" t="e">
        <f>IF(#REF!="",#REF!*#REF!,IF(#REF!=0,#REF!*#REF!,#REF!*#REF!*#REF!))</f>
        <v>#REF!</v>
      </c>
      <c r="J963" s="180" t="e">
        <f>#REF!*#REF!</f>
        <v>#REF!</v>
      </c>
      <c r="K963" s="178" t="e">
        <f>#REF!*mo</f>
        <v>#REF!</v>
      </c>
      <c r="L963" s="178" t="e">
        <f t="shared" ref="L963:L974" si="127">J963*mo</f>
        <v>#REF!</v>
      </c>
      <c r="M963" s="178" t="e">
        <f>#REF!*#REF!</f>
        <v>#REF!</v>
      </c>
      <c r="N963" s="178" t="e">
        <f>#REF!+K963+#REF!</f>
        <v>#REF!</v>
      </c>
      <c r="O963" s="181" t="e">
        <f t="shared" si="126"/>
        <v>#REF!</v>
      </c>
    </row>
    <row r="964" spans="1:15" s="193" customFormat="1" outlineLevel="2">
      <c r="A964" s="155"/>
      <c r="B964" s="201" t="s">
        <v>859</v>
      </c>
      <c r="C964" s="202"/>
      <c r="D964" s="203"/>
      <c r="E964" s="176"/>
      <c r="F964" s="177"/>
      <c r="G964" s="192"/>
      <c r="H964" s="179"/>
      <c r="I964" s="283" t="e">
        <f>IF(#REF!="",#REF!*#REF!,IF(#REF!=0,#REF!*#REF!,#REF!*#REF!*#REF!))</f>
        <v>#REF!</v>
      </c>
      <c r="J964" s="180" t="e">
        <f>#REF!*#REF!</f>
        <v>#REF!</v>
      </c>
      <c r="K964" s="178" t="e">
        <f>#REF!*mo</f>
        <v>#REF!</v>
      </c>
      <c r="L964" s="178" t="e">
        <f t="shared" si="127"/>
        <v>#REF!</v>
      </c>
      <c r="M964" s="178" t="e">
        <f>#REF!*#REF!</f>
        <v>#REF!</v>
      </c>
      <c r="N964" s="178" t="e">
        <f>#REF!+K964+#REF!</f>
        <v>#REF!</v>
      </c>
      <c r="O964" s="181" t="e">
        <f t="shared" si="126"/>
        <v>#REF!</v>
      </c>
    </row>
    <row r="965" spans="1:15" s="193" customFormat="1" outlineLevel="2">
      <c r="A965" s="155"/>
      <c r="B965" s="205" t="s">
        <v>860</v>
      </c>
      <c r="C965" s="202" t="s">
        <v>795</v>
      </c>
      <c r="D965" s="203"/>
      <c r="E965" s="176"/>
      <c r="F965" s="177"/>
      <c r="G965" s="192"/>
      <c r="H965" s="179"/>
      <c r="I965" s="283" t="e">
        <f>IF(#REF!="",#REF!*#REF!,IF(#REF!=0,#REF!*#REF!,#REF!*#REF!*#REF!))</f>
        <v>#REF!</v>
      </c>
      <c r="J965" s="180" t="e">
        <f>#REF!*#REF!</f>
        <v>#REF!</v>
      </c>
      <c r="K965" s="178" t="e">
        <f>#REF!*mo</f>
        <v>#REF!</v>
      </c>
      <c r="L965" s="178" t="e">
        <f t="shared" si="127"/>
        <v>#REF!</v>
      </c>
      <c r="M965" s="178" t="e">
        <f>#REF!*#REF!</f>
        <v>#REF!</v>
      </c>
      <c r="N965" s="178" t="e">
        <f>#REF!+K965+#REF!</f>
        <v>#REF!</v>
      </c>
      <c r="O965" s="181" t="e">
        <f t="shared" si="126"/>
        <v>#REF!</v>
      </c>
    </row>
    <row r="966" spans="1:15" s="193" customFormat="1" outlineLevel="2">
      <c r="A966" s="155"/>
      <c r="B966" s="205" t="s">
        <v>861</v>
      </c>
      <c r="C966" s="202" t="s">
        <v>795</v>
      </c>
      <c r="D966" s="203"/>
      <c r="E966" s="176"/>
      <c r="F966" s="177"/>
      <c r="G966" s="192"/>
      <c r="H966" s="179"/>
      <c r="I966" s="283" t="e">
        <f>IF(#REF!="",#REF!*#REF!,IF(#REF!=0,#REF!*#REF!,#REF!*#REF!*#REF!))</f>
        <v>#REF!</v>
      </c>
      <c r="J966" s="180" t="e">
        <f>#REF!*#REF!</f>
        <v>#REF!</v>
      </c>
      <c r="K966" s="178" t="e">
        <f>#REF!*mo</f>
        <v>#REF!</v>
      </c>
      <c r="L966" s="178" t="e">
        <f t="shared" si="127"/>
        <v>#REF!</v>
      </c>
      <c r="M966" s="178" t="e">
        <f>#REF!*#REF!</f>
        <v>#REF!</v>
      </c>
      <c r="N966" s="178" t="e">
        <f>#REF!+K966+#REF!</f>
        <v>#REF!</v>
      </c>
      <c r="O966" s="181" t="e">
        <f t="shared" si="126"/>
        <v>#REF!</v>
      </c>
    </row>
    <row r="967" spans="1:15" s="193" customFormat="1" outlineLevel="2">
      <c r="A967" s="155"/>
      <c r="B967" s="205" t="s">
        <v>862</v>
      </c>
      <c r="C967" s="202" t="s">
        <v>795</v>
      </c>
      <c r="D967" s="203"/>
      <c r="E967" s="176"/>
      <c r="F967" s="177"/>
      <c r="G967" s="192"/>
      <c r="H967" s="179"/>
      <c r="I967" s="283" t="e">
        <f>IF(#REF!="",#REF!*#REF!,IF(#REF!=0,#REF!*#REF!,#REF!*#REF!*#REF!))</f>
        <v>#REF!</v>
      </c>
      <c r="J967" s="180" t="e">
        <f>#REF!*#REF!</f>
        <v>#REF!</v>
      </c>
      <c r="K967" s="178" t="e">
        <f>#REF!*mo</f>
        <v>#REF!</v>
      </c>
      <c r="L967" s="178" t="e">
        <f t="shared" ref="L967" si="128">J967*mo</f>
        <v>#REF!</v>
      </c>
      <c r="M967" s="178" t="e">
        <f>#REF!*#REF!</f>
        <v>#REF!</v>
      </c>
      <c r="N967" s="178" t="e">
        <f>#REF!+K967+#REF!</f>
        <v>#REF!</v>
      </c>
      <c r="O967" s="181" t="e">
        <f t="shared" si="126"/>
        <v>#REF!</v>
      </c>
    </row>
    <row r="968" spans="1:15" s="193" customFormat="1" outlineLevel="2">
      <c r="A968" s="155"/>
      <c r="B968" s="205"/>
      <c r="C968" s="202"/>
      <c r="D968" s="203"/>
      <c r="E968" s="176"/>
      <c r="F968" s="177"/>
      <c r="G968" s="192"/>
      <c r="H968" s="179"/>
      <c r="I968" s="283" t="e">
        <f>IF(#REF!="",#REF!*#REF!,IF(#REF!=0,#REF!*#REF!,#REF!*#REF!*#REF!))</f>
        <v>#REF!</v>
      </c>
      <c r="J968" s="180" t="e">
        <f>#REF!*#REF!</f>
        <v>#REF!</v>
      </c>
      <c r="K968" s="178" t="e">
        <f>#REF!*mo</f>
        <v>#REF!</v>
      </c>
      <c r="L968" s="178" t="e">
        <f t="shared" ref="L968:L970" si="129">J968*mo</f>
        <v>#REF!</v>
      </c>
      <c r="M968" s="178" t="e">
        <f>#REF!*#REF!</f>
        <v>#REF!</v>
      </c>
      <c r="N968" s="178" t="e">
        <f>#REF!+K968+#REF!</f>
        <v>#REF!</v>
      </c>
      <c r="O968" s="181" t="e">
        <f t="shared" si="126"/>
        <v>#REF!</v>
      </c>
    </row>
    <row r="969" spans="1:15" s="193" customFormat="1" outlineLevel="2">
      <c r="A969" s="155"/>
      <c r="B969" s="201" t="s">
        <v>863</v>
      </c>
      <c r="C969" s="202"/>
      <c r="D969" s="203"/>
      <c r="E969" s="176"/>
      <c r="F969" s="177"/>
      <c r="G969" s="192"/>
      <c r="H969" s="179"/>
      <c r="I969" s="283" t="e">
        <f>IF(#REF!="",#REF!*#REF!,IF(#REF!=0,#REF!*#REF!,#REF!*#REF!*#REF!))</f>
        <v>#REF!</v>
      </c>
      <c r="J969" s="180" t="e">
        <f>#REF!*#REF!</f>
        <v>#REF!</v>
      </c>
      <c r="K969" s="178" t="e">
        <f>#REF!*mo</f>
        <v>#REF!</v>
      </c>
      <c r="L969" s="178" t="e">
        <f t="shared" si="129"/>
        <v>#REF!</v>
      </c>
      <c r="M969" s="178" t="e">
        <f>#REF!*#REF!</f>
        <v>#REF!</v>
      </c>
      <c r="N969" s="178" t="e">
        <f>#REF!+K969+#REF!</f>
        <v>#REF!</v>
      </c>
      <c r="O969" s="181" t="e">
        <f t="shared" si="126"/>
        <v>#REF!</v>
      </c>
    </row>
    <row r="970" spans="1:15" s="193" customFormat="1" outlineLevel="2">
      <c r="A970" s="155"/>
      <c r="B970" s="205" t="s">
        <v>864</v>
      </c>
      <c r="C970" s="202" t="s">
        <v>801</v>
      </c>
      <c r="D970" s="203"/>
      <c r="E970" s="176"/>
      <c r="F970" s="177"/>
      <c r="G970" s="192"/>
      <c r="H970" s="179"/>
      <c r="I970" s="283" t="e">
        <f>IF(#REF!="",#REF!*#REF!,IF(#REF!=0,#REF!*#REF!,#REF!*#REF!*#REF!))</f>
        <v>#REF!</v>
      </c>
      <c r="J970" s="180" t="e">
        <f>#REF!*#REF!</f>
        <v>#REF!</v>
      </c>
      <c r="K970" s="178" t="e">
        <f>#REF!*mo</f>
        <v>#REF!</v>
      </c>
      <c r="L970" s="178" t="e">
        <f t="shared" si="129"/>
        <v>#REF!</v>
      </c>
      <c r="M970" s="178" t="e">
        <f>#REF!*#REF!</f>
        <v>#REF!</v>
      </c>
      <c r="N970" s="178" t="e">
        <f>#REF!+K970+#REF!</f>
        <v>#REF!</v>
      </c>
      <c r="O970" s="181" t="e">
        <f t="shared" si="126"/>
        <v>#REF!</v>
      </c>
    </row>
    <row r="971" spans="1:15" s="193" customFormat="1" outlineLevel="2">
      <c r="A971" s="155"/>
      <c r="B971" s="206"/>
      <c r="C971" s="202"/>
      <c r="D971" s="203"/>
      <c r="E971" s="176"/>
      <c r="F971" s="177"/>
      <c r="G971" s="192"/>
      <c r="H971" s="179"/>
      <c r="I971" s="283"/>
      <c r="J971" s="180"/>
      <c r="K971" s="178"/>
      <c r="L971" s="178"/>
      <c r="M971" s="178"/>
      <c r="N971" s="178"/>
      <c r="O971" s="181"/>
    </row>
    <row r="972" spans="1:15" s="193" customFormat="1" outlineLevel="2">
      <c r="A972" s="155"/>
      <c r="B972" s="206"/>
      <c r="C972" s="202"/>
      <c r="D972" s="203"/>
      <c r="E972" s="176"/>
      <c r="F972" s="177"/>
      <c r="G972" s="192"/>
      <c r="H972" s="179"/>
      <c r="I972" s="283"/>
      <c r="J972" s="180"/>
      <c r="K972" s="178"/>
      <c r="L972" s="178"/>
      <c r="M972" s="178"/>
      <c r="N972" s="178"/>
      <c r="O972" s="181"/>
    </row>
    <row r="973" spans="1:15" s="193" customFormat="1" outlineLevel="1">
      <c r="A973" s="155"/>
      <c r="B973" s="206"/>
      <c r="C973" s="202"/>
      <c r="D973" s="203"/>
      <c r="E973" s="176"/>
      <c r="F973" s="177"/>
      <c r="G973" s="192"/>
      <c r="H973" s="179"/>
      <c r="I973" s="283"/>
      <c r="J973" s="180"/>
      <c r="K973" s="178"/>
      <c r="L973" s="178"/>
      <c r="M973" s="178"/>
      <c r="N973" s="178"/>
      <c r="O973" s="181"/>
    </row>
    <row r="974" spans="1:15" s="193" customFormat="1" outlineLevel="1">
      <c r="A974" s="155"/>
      <c r="B974" s="198" t="str">
        <f>"Total "&amp;B902</f>
        <v>Total Production de chaleur par PAC AIR/EAU</v>
      </c>
      <c r="C974" s="190"/>
      <c r="D974" s="191"/>
      <c r="E974" s="176"/>
      <c r="F974" s="177"/>
      <c r="G974" s="192"/>
      <c r="H974" s="179">
        <f>SUM(G901:G975)</f>
        <v>0</v>
      </c>
      <c r="I974" s="283" t="e">
        <f>IF(#REF!="",#REF!*#REF!,IF(#REF!=0,#REF!*#REF!,#REF!*#REF!*#REF!))</f>
        <v>#REF!</v>
      </c>
      <c r="J974" s="180" t="e">
        <f>#REF!*#REF!</f>
        <v>#REF!</v>
      </c>
      <c r="K974" s="178" t="e">
        <f>#REF!*mo</f>
        <v>#REF!</v>
      </c>
      <c r="L974" s="178" t="e">
        <f t="shared" si="127"/>
        <v>#REF!</v>
      </c>
      <c r="M974" s="178" t="e">
        <f>#REF!*#REF!</f>
        <v>#REF!</v>
      </c>
      <c r="N974" s="178" t="e">
        <f>#REF!+K974+#REF!</f>
        <v>#REF!</v>
      </c>
      <c r="O974" s="181" t="e">
        <f t="shared" si="126"/>
        <v>#REF!</v>
      </c>
    </row>
    <row r="975" spans="1:15" s="193" customFormat="1" outlineLevel="1">
      <c r="A975" s="155"/>
      <c r="B975" s="198"/>
      <c r="C975" s="190"/>
      <c r="D975" s="191"/>
      <c r="E975" s="176"/>
      <c r="F975" s="177"/>
      <c r="G975" s="192"/>
      <c r="H975" s="179"/>
      <c r="I975" s="283"/>
      <c r="J975" s="180"/>
      <c r="K975" s="178"/>
      <c r="L975" s="178"/>
      <c r="M975" s="178"/>
      <c r="N975" s="178"/>
      <c r="O975" s="181"/>
    </row>
    <row r="976" spans="1:15" s="193" customFormat="1" outlineLevel="2">
      <c r="A976" s="155"/>
      <c r="B976" s="205"/>
      <c r="C976" s="202"/>
      <c r="D976" s="203"/>
      <c r="E976" s="176"/>
      <c r="F976" s="177"/>
      <c r="G976" s="192"/>
      <c r="H976" s="179"/>
      <c r="I976" s="283"/>
      <c r="J976" s="180"/>
      <c r="K976" s="178"/>
      <c r="L976" s="178"/>
      <c r="M976" s="178"/>
      <c r="N976" s="178"/>
      <c r="O976" s="181"/>
    </row>
    <row r="977" spans="1:16" s="193" customFormat="1" outlineLevel="1">
      <c r="A977" s="155"/>
      <c r="B977" s="156"/>
      <c r="C977" s="190"/>
      <c r="D977" s="191"/>
      <c r="E977" s="176"/>
      <c r="F977" s="177"/>
      <c r="G977" s="192"/>
      <c r="H977" s="179"/>
      <c r="I977" s="283" t="e">
        <f>IF(#REF!="",#REF!*#REF!,IF(#REF!=0,#REF!*#REF!,#REF!*#REF!*#REF!))</f>
        <v>#REF!</v>
      </c>
      <c r="J977" s="180" t="e">
        <f>#REF!*#REF!</f>
        <v>#REF!</v>
      </c>
      <c r="K977" s="178" t="e">
        <f>#REF!*mo</f>
        <v>#REF!</v>
      </c>
      <c r="L977" s="178" t="e">
        <f t="shared" ref="L977" si="130">J977*mo</f>
        <v>#REF!</v>
      </c>
      <c r="M977" s="178" t="e">
        <f>#REF!*#REF!</f>
        <v>#REF!</v>
      </c>
      <c r="N977" s="178" t="e">
        <f>#REF!+K977+#REF!</f>
        <v>#REF!</v>
      </c>
      <c r="O977" s="181" t="e">
        <f t="shared" ref="O977:O1040" si="131">M977+L977+I977</f>
        <v>#REF!</v>
      </c>
    </row>
    <row r="978" spans="1:16" outlineLevel="1">
      <c r="A978" s="157" t="str">
        <f>$A$14&amp;".3"</f>
        <v>3.3</v>
      </c>
      <c r="B978" s="158" t="s">
        <v>865</v>
      </c>
      <c r="C978" s="190"/>
      <c r="D978" s="191"/>
      <c r="E978" s="176"/>
      <c r="F978" s="177"/>
      <c r="G978" s="192"/>
      <c r="H978" s="208"/>
      <c r="I978" s="283" t="e">
        <f>IF(#REF!="",#REF!*#REF!,IF(#REF!=0,#REF!*#REF!,#REF!*#REF!*#REF!))</f>
        <v>#REF!</v>
      </c>
      <c r="J978" s="180" t="e">
        <f>#REF!*#REF!</f>
        <v>#REF!</v>
      </c>
      <c r="K978" s="178" t="e">
        <f>#REF!*mo</f>
        <v>#REF!</v>
      </c>
      <c r="L978" s="178" t="e">
        <f t="shared" ref="L978:L1055" si="132">J978*mo</f>
        <v>#REF!</v>
      </c>
      <c r="M978" s="178" t="e">
        <f>#REF!*#REF!</f>
        <v>#REF!</v>
      </c>
      <c r="N978" s="178" t="e">
        <f>#REF!+K978+#REF!</f>
        <v>#REF!</v>
      </c>
      <c r="O978" s="181" t="e">
        <f t="shared" si="131"/>
        <v>#REF!</v>
      </c>
      <c r="P978" s="193"/>
    </row>
    <row r="979" spans="1:16" outlineLevel="1">
      <c r="A979" s="157" t="str">
        <f>$A$92&amp;".1"</f>
        <v>.1</v>
      </c>
      <c r="B979" s="158" t="s">
        <v>866</v>
      </c>
      <c r="C979" s="190"/>
      <c r="D979" s="191"/>
      <c r="E979" s="176"/>
      <c r="F979" s="177"/>
      <c r="G979" s="192">
        <f>SUM(F980:F1046)</f>
        <v>0</v>
      </c>
      <c r="H979" s="179"/>
      <c r="I979" s="283" t="e">
        <f>IF(#REF!="",#REF!*#REF!,IF(#REF!=0,#REF!*#REF!,#REF!*#REF!*#REF!))</f>
        <v>#REF!</v>
      </c>
      <c r="J979" s="180" t="e">
        <f>#REF!*#REF!</f>
        <v>#REF!</v>
      </c>
      <c r="K979" s="178" t="e">
        <f>#REF!*mo</f>
        <v>#REF!</v>
      </c>
      <c r="L979" s="178" t="e">
        <f t="shared" si="132"/>
        <v>#REF!</v>
      </c>
      <c r="M979" s="178" t="e">
        <f>#REF!*#REF!</f>
        <v>#REF!</v>
      </c>
      <c r="N979" s="178" t="e">
        <f>#REF!+K979+#REF!</f>
        <v>#REF!</v>
      </c>
      <c r="O979" s="181" t="e">
        <f t="shared" si="131"/>
        <v>#REF!</v>
      </c>
      <c r="P979" s="193"/>
    </row>
    <row r="980" spans="1:16" outlineLevel="2">
      <c r="A980" s="155"/>
      <c r="B980" s="156"/>
      <c r="C980" s="190"/>
      <c r="D980" s="191"/>
      <c r="E980" s="176"/>
      <c r="F980" s="177"/>
      <c r="G980" s="192"/>
      <c r="H980" s="179"/>
      <c r="I980" s="283" t="e">
        <f>IF(#REF!="",#REF!*#REF!,IF(#REF!=0,#REF!*#REF!,#REF!*#REF!*#REF!))</f>
        <v>#REF!</v>
      </c>
      <c r="J980" s="180" t="e">
        <f>#REF!*#REF!</f>
        <v>#REF!</v>
      </c>
      <c r="K980" s="178" t="e">
        <f>#REF!*mo</f>
        <v>#REF!</v>
      </c>
      <c r="L980" s="178" t="e">
        <f t="shared" si="132"/>
        <v>#REF!</v>
      </c>
      <c r="M980" s="178" t="e">
        <f>#REF!*#REF!</f>
        <v>#REF!</v>
      </c>
      <c r="N980" s="178" t="e">
        <f>#REF!+K980+#REF!</f>
        <v>#REF!</v>
      </c>
      <c r="O980" s="181" t="e">
        <f t="shared" si="131"/>
        <v>#REF!</v>
      </c>
      <c r="P980" s="193"/>
    </row>
    <row r="981" spans="1:16" s="193" customFormat="1" outlineLevel="2">
      <c r="A981" s="155"/>
      <c r="B981" s="156" t="s">
        <v>867</v>
      </c>
      <c r="C981" s="190"/>
      <c r="D981" s="191"/>
      <c r="E981" s="176"/>
      <c r="F981" s="177"/>
      <c r="G981" s="192"/>
      <c r="H981" s="179"/>
      <c r="I981" s="283" t="e">
        <f>IF(#REF!="",#REF!*#REF!,IF(#REF!=0,#REF!*#REF!,#REF!*#REF!*#REF!))</f>
        <v>#REF!</v>
      </c>
      <c r="J981" s="180" t="e">
        <f>#REF!*#REF!</f>
        <v>#REF!</v>
      </c>
      <c r="K981" s="178" t="e">
        <f>#REF!*mo</f>
        <v>#REF!</v>
      </c>
      <c r="L981" s="178" t="e">
        <f t="shared" si="132"/>
        <v>#REF!</v>
      </c>
      <c r="M981" s="178" t="e">
        <f>#REF!*#REF!</f>
        <v>#REF!</v>
      </c>
      <c r="N981" s="178" t="e">
        <f>#REF!+K981+#REF!</f>
        <v>#REF!</v>
      </c>
      <c r="O981" s="181" t="e">
        <f t="shared" si="131"/>
        <v>#REF!</v>
      </c>
    </row>
    <row r="982" spans="1:16" s="193" customFormat="1" outlineLevel="2">
      <c r="A982" s="155"/>
      <c r="B982" s="197" t="s">
        <v>868</v>
      </c>
      <c r="C982" s="190" t="s">
        <v>123</v>
      </c>
      <c r="D982" s="191"/>
      <c r="E982" s="176"/>
      <c r="F982" s="177"/>
      <c r="G982" s="192"/>
      <c r="H982" s="179"/>
      <c r="I982" s="283" t="e">
        <f>IF(#REF!="",#REF!*#REF!,IF(#REF!=0,#REF!*#REF!,#REF!*#REF!*#REF!))</f>
        <v>#REF!</v>
      </c>
      <c r="J982" s="180" t="e">
        <f>#REF!*#REF!</f>
        <v>#REF!</v>
      </c>
      <c r="K982" s="178" t="e">
        <f>#REF!*mo</f>
        <v>#REF!</v>
      </c>
      <c r="L982" s="178" t="e">
        <f t="shared" si="132"/>
        <v>#REF!</v>
      </c>
      <c r="M982" s="178" t="e">
        <f>#REF!*#REF!</f>
        <v>#REF!</v>
      </c>
      <c r="N982" s="178" t="e">
        <f>#REF!+K982+#REF!</f>
        <v>#REF!</v>
      </c>
      <c r="O982" s="181" t="e">
        <f t="shared" si="131"/>
        <v>#REF!</v>
      </c>
    </row>
    <row r="983" spans="1:16" s="193" customFormat="1" outlineLevel="2">
      <c r="A983" s="155"/>
      <c r="B983" s="197" t="s">
        <v>869</v>
      </c>
      <c r="C983" s="190" t="s">
        <v>123</v>
      </c>
      <c r="D983" s="191"/>
      <c r="E983" s="176"/>
      <c r="F983" s="177"/>
      <c r="G983" s="192"/>
      <c r="H983" s="179"/>
      <c r="I983" s="283" t="e">
        <f>IF(#REF!="",#REF!*#REF!,IF(#REF!=0,#REF!*#REF!,#REF!*#REF!*#REF!))</f>
        <v>#REF!</v>
      </c>
      <c r="J983" s="180" t="e">
        <f>#REF!*#REF!</f>
        <v>#REF!</v>
      </c>
      <c r="K983" s="178" t="e">
        <f>#REF!*mo</f>
        <v>#REF!</v>
      </c>
      <c r="L983" s="178" t="e">
        <f t="shared" si="132"/>
        <v>#REF!</v>
      </c>
      <c r="M983" s="178" t="e">
        <f>#REF!*#REF!</f>
        <v>#REF!</v>
      </c>
      <c r="N983" s="178" t="e">
        <f>#REF!+K983+#REF!</f>
        <v>#REF!</v>
      </c>
      <c r="O983" s="181" t="e">
        <f t="shared" si="131"/>
        <v>#REF!</v>
      </c>
    </row>
    <row r="984" spans="1:16" s="193" customFormat="1" outlineLevel="2">
      <c r="A984" s="155"/>
      <c r="B984" s="197" t="s">
        <v>870</v>
      </c>
      <c r="C984" s="190" t="s">
        <v>123</v>
      </c>
      <c r="D984" s="191"/>
      <c r="E984" s="176"/>
      <c r="F984" s="177"/>
      <c r="G984" s="192"/>
      <c r="H984" s="179"/>
      <c r="I984" s="283" t="e">
        <f>IF(#REF!="",#REF!*#REF!,IF(#REF!=0,#REF!*#REF!,#REF!*#REF!*#REF!))</f>
        <v>#REF!</v>
      </c>
      <c r="J984" s="180" t="e">
        <f>#REF!*#REF!</f>
        <v>#REF!</v>
      </c>
      <c r="K984" s="178" t="e">
        <f>#REF!*mo</f>
        <v>#REF!</v>
      </c>
      <c r="L984" s="178" t="e">
        <f t="shared" ref="L984" si="133">J984*mo</f>
        <v>#REF!</v>
      </c>
      <c r="M984" s="178" t="e">
        <f>#REF!*#REF!</f>
        <v>#REF!</v>
      </c>
      <c r="N984" s="178" t="e">
        <f>#REF!+K984+#REF!</f>
        <v>#REF!</v>
      </c>
      <c r="O984" s="181" t="e">
        <f t="shared" si="131"/>
        <v>#REF!</v>
      </c>
    </row>
    <row r="985" spans="1:16" s="193" customFormat="1" outlineLevel="2">
      <c r="A985" s="155"/>
      <c r="B985" s="197" t="s">
        <v>871</v>
      </c>
      <c r="C985" s="190" t="s">
        <v>123</v>
      </c>
      <c r="D985" s="191"/>
      <c r="E985" s="176"/>
      <c r="F985" s="177"/>
      <c r="G985" s="192"/>
      <c r="H985" s="179"/>
      <c r="I985" s="283" t="e">
        <f>IF(#REF!="",#REF!*#REF!,IF(#REF!=0,#REF!*#REF!,#REF!*#REF!*#REF!))</f>
        <v>#REF!</v>
      </c>
      <c r="J985" s="180" t="e">
        <f>#REF!*#REF!</f>
        <v>#REF!</v>
      </c>
      <c r="K985" s="178" t="e">
        <f>#REF!*mo</f>
        <v>#REF!</v>
      </c>
      <c r="L985" s="178" t="e">
        <f t="shared" si="132"/>
        <v>#REF!</v>
      </c>
      <c r="M985" s="178" t="e">
        <f>#REF!*#REF!</f>
        <v>#REF!</v>
      </c>
      <c r="N985" s="178" t="e">
        <f>#REF!+K985+#REF!</f>
        <v>#REF!</v>
      </c>
      <c r="O985" s="181" t="e">
        <f t="shared" si="131"/>
        <v>#REF!</v>
      </c>
    </row>
    <row r="986" spans="1:16" s="193" customFormat="1" outlineLevel="2">
      <c r="A986" s="155"/>
      <c r="B986" s="197" t="s">
        <v>872</v>
      </c>
      <c r="C986" s="190" t="s">
        <v>123</v>
      </c>
      <c r="D986" s="191"/>
      <c r="E986" s="176"/>
      <c r="F986" s="177"/>
      <c r="G986" s="192"/>
      <c r="H986" s="179"/>
      <c r="I986" s="283" t="e">
        <f>IF(#REF!="",#REF!*#REF!,IF(#REF!=0,#REF!*#REF!,#REF!*#REF!*#REF!))</f>
        <v>#REF!</v>
      </c>
      <c r="J986" s="180" t="e">
        <f>#REF!*#REF!</f>
        <v>#REF!</v>
      </c>
      <c r="K986" s="178" t="e">
        <f>#REF!*mo</f>
        <v>#REF!</v>
      </c>
      <c r="L986" s="178" t="e">
        <f t="shared" si="132"/>
        <v>#REF!</v>
      </c>
      <c r="M986" s="178" t="e">
        <f>#REF!*#REF!</f>
        <v>#REF!</v>
      </c>
      <c r="N986" s="178" t="e">
        <f>#REF!+K986+#REF!</f>
        <v>#REF!</v>
      </c>
      <c r="O986" s="181" t="e">
        <f t="shared" si="131"/>
        <v>#REF!</v>
      </c>
    </row>
    <row r="987" spans="1:16" s="193" customFormat="1" outlineLevel="2">
      <c r="A987" s="155"/>
      <c r="B987" s="197" t="s">
        <v>873</v>
      </c>
      <c r="C987" s="190" t="s">
        <v>123</v>
      </c>
      <c r="D987" s="191"/>
      <c r="E987" s="176"/>
      <c r="F987" s="177"/>
      <c r="G987" s="192"/>
      <c r="H987" s="179"/>
      <c r="I987" s="283" t="e">
        <f>IF(#REF!="",#REF!*#REF!,IF(#REF!=0,#REF!*#REF!,#REF!*#REF!*#REF!))</f>
        <v>#REF!</v>
      </c>
      <c r="J987" s="180" t="e">
        <f>#REF!*#REF!</f>
        <v>#REF!</v>
      </c>
      <c r="K987" s="178" t="e">
        <f>#REF!*mo</f>
        <v>#REF!</v>
      </c>
      <c r="L987" s="178" t="e">
        <f t="shared" si="132"/>
        <v>#REF!</v>
      </c>
      <c r="M987" s="178" t="e">
        <f>#REF!*#REF!</f>
        <v>#REF!</v>
      </c>
      <c r="N987" s="178" t="e">
        <f>#REF!+K987+#REF!</f>
        <v>#REF!</v>
      </c>
      <c r="O987" s="181" t="e">
        <f t="shared" si="131"/>
        <v>#REF!</v>
      </c>
    </row>
    <row r="988" spans="1:16" s="193" customFormat="1" outlineLevel="2">
      <c r="A988" s="155"/>
      <c r="B988" s="197" t="s">
        <v>874</v>
      </c>
      <c r="C988" s="190" t="s">
        <v>123</v>
      </c>
      <c r="D988" s="191"/>
      <c r="E988" s="176"/>
      <c r="F988" s="177"/>
      <c r="G988" s="192"/>
      <c r="H988" s="179"/>
      <c r="I988" s="283" t="e">
        <f>IF(#REF!="",#REF!*#REF!,IF(#REF!=0,#REF!*#REF!,#REF!*#REF!*#REF!))</f>
        <v>#REF!</v>
      </c>
      <c r="J988" s="180" t="e">
        <f>#REF!*#REF!</f>
        <v>#REF!</v>
      </c>
      <c r="K988" s="178" t="e">
        <f>#REF!*mo</f>
        <v>#REF!</v>
      </c>
      <c r="L988" s="178" t="e">
        <f t="shared" si="132"/>
        <v>#REF!</v>
      </c>
      <c r="M988" s="178" t="e">
        <f>#REF!*#REF!</f>
        <v>#REF!</v>
      </c>
      <c r="N988" s="178" t="e">
        <f>#REF!+K988+#REF!</f>
        <v>#REF!</v>
      </c>
      <c r="O988" s="181" t="e">
        <f t="shared" si="131"/>
        <v>#REF!</v>
      </c>
    </row>
    <row r="989" spans="1:16" s="193" customFormat="1" outlineLevel="2">
      <c r="A989" s="155"/>
      <c r="B989" s="197" t="s">
        <v>875</v>
      </c>
      <c r="C989" s="190" t="s">
        <v>123</v>
      </c>
      <c r="D989" s="191"/>
      <c r="E989" s="176"/>
      <c r="F989" s="177"/>
      <c r="G989" s="192"/>
      <c r="H989" s="179"/>
      <c r="I989" s="283" t="e">
        <f>IF(#REF!="",#REF!*#REF!,IF(#REF!=0,#REF!*#REF!,#REF!*#REF!*#REF!))</f>
        <v>#REF!</v>
      </c>
      <c r="J989" s="180" t="e">
        <f>#REF!*#REF!</f>
        <v>#REF!</v>
      </c>
      <c r="K989" s="178" t="e">
        <f>#REF!*mo</f>
        <v>#REF!</v>
      </c>
      <c r="L989" s="178" t="e">
        <f t="shared" si="132"/>
        <v>#REF!</v>
      </c>
      <c r="M989" s="178" t="e">
        <f>#REF!*#REF!</f>
        <v>#REF!</v>
      </c>
      <c r="N989" s="178" t="e">
        <f>#REF!+K989+#REF!</f>
        <v>#REF!</v>
      </c>
      <c r="O989" s="181" t="e">
        <f t="shared" si="131"/>
        <v>#REF!</v>
      </c>
    </row>
    <row r="990" spans="1:16" s="193" customFormat="1" outlineLevel="2">
      <c r="A990" s="155"/>
      <c r="B990" s="197" t="s">
        <v>876</v>
      </c>
      <c r="C990" s="190" t="s">
        <v>123</v>
      </c>
      <c r="D990" s="191"/>
      <c r="E990" s="176"/>
      <c r="F990" s="177"/>
      <c r="G990" s="192"/>
      <c r="H990" s="179"/>
      <c r="I990" s="283" t="e">
        <f>IF(#REF!="",#REF!*#REF!,IF(#REF!=0,#REF!*#REF!,#REF!*#REF!*#REF!))</f>
        <v>#REF!</v>
      </c>
      <c r="J990" s="180" t="e">
        <f>#REF!*#REF!</f>
        <v>#REF!</v>
      </c>
      <c r="K990" s="178" t="e">
        <f>#REF!*mo</f>
        <v>#REF!</v>
      </c>
      <c r="L990" s="178" t="e">
        <f t="shared" si="132"/>
        <v>#REF!</v>
      </c>
      <c r="M990" s="178" t="e">
        <f>#REF!*#REF!</f>
        <v>#REF!</v>
      </c>
      <c r="N990" s="178" t="e">
        <f>#REF!+K990+#REF!</f>
        <v>#REF!</v>
      </c>
      <c r="O990" s="181" t="e">
        <f t="shared" si="131"/>
        <v>#REF!</v>
      </c>
    </row>
    <row r="991" spans="1:16" s="193" customFormat="1" outlineLevel="2">
      <c r="A991" s="155"/>
      <c r="B991" s="197" t="s">
        <v>877</v>
      </c>
      <c r="C991" s="190" t="s">
        <v>123</v>
      </c>
      <c r="D991" s="191"/>
      <c r="E991" s="176"/>
      <c r="F991" s="177"/>
      <c r="G991" s="192"/>
      <c r="H991" s="179"/>
      <c r="I991" s="283" t="e">
        <f>IF(#REF!="",#REF!*#REF!,IF(#REF!=0,#REF!*#REF!,#REF!*#REF!*#REF!))</f>
        <v>#REF!</v>
      </c>
      <c r="J991" s="180" t="e">
        <f>#REF!*#REF!</f>
        <v>#REF!</v>
      </c>
      <c r="K991" s="178" t="e">
        <f>#REF!*mo</f>
        <v>#REF!</v>
      </c>
      <c r="L991" s="178" t="e">
        <f t="shared" si="132"/>
        <v>#REF!</v>
      </c>
      <c r="M991" s="178" t="e">
        <f>#REF!*#REF!</f>
        <v>#REF!</v>
      </c>
      <c r="N991" s="178" t="e">
        <f>#REF!+K991+#REF!</f>
        <v>#REF!</v>
      </c>
      <c r="O991" s="181" t="e">
        <f t="shared" si="131"/>
        <v>#REF!</v>
      </c>
    </row>
    <row r="992" spans="1:16" s="193" customFormat="1" outlineLevel="2">
      <c r="A992" s="155"/>
      <c r="B992" s="197" t="s">
        <v>878</v>
      </c>
      <c r="C992" s="190" t="s">
        <v>123</v>
      </c>
      <c r="D992" s="191"/>
      <c r="E992" s="176"/>
      <c r="F992" s="177"/>
      <c r="G992" s="192"/>
      <c r="H992" s="179"/>
      <c r="I992" s="283" t="e">
        <f>IF(#REF!="",#REF!*#REF!,IF(#REF!=0,#REF!*#REF!,#REF!*#REF!*#REF!))</f>
        <v>#REF!</v>
      </c>
      <c r="J992" s="180" t="e">
        <f>#REF!*#REF!</f>
        <v>#REF!</v>
      </c>
      <c r="K992" s="178" t="e">
        <f>#REF!*mo</f>
        <v>#REF!</v>
      </c>
      <c r="L992" s="178" t="e">
        <f t="shared" si="132"/>
        <v>#REF!</v>
      </c>
      <c r="M992" s="178" t="e">
        <f>#REF!*#REF!</f>
        <v>#REF!</v>
      </c>
      <c r="N992" s="178" t="e">
        <f>#REF!+K992+#REF!</f>
        <v>#REF!</v>
      </c>
      <c r="O992" s="181" t="e">
        <f t="shared" si="131"/>
        <v>#REF!</v>
      </c>
    </row>
    <row r="993" spans="1:15" s="193" customFormat="1" outlineLevel="2">
      <c r="A993" s="155"/>
      <c r="B993" s="197" t="s">
        <v>879</v>
      </c>
      <c r="C993" s="190" t="s">
        <v>123</v>
      </c>
      <c r="D993" s="191"/>
      <c r="E993" s="176"/>
      <c r="F993" s="177"/>
      <c r="G993" s="192"/>
      <c r="H993" s="179"/>
      <c r="I993" s="283" t="e">
        <f>IF(#REF!="",#REF!*#REF!,IF(#REF!=0,#REF!*#REF!,#REF!*#REF!*#REF!))</f>
        <v>#REF!</v>
      </c>
      <c r="J993" s="180" t="e">
        <f>#REF!*#REF!</f>
        <v>#REF!</v>
      </c>
      <c r="K993" s="178" t="e">
        <f>#REF!*mo</f>
        <v>#REF!</v>
      </c>
      <c r="L993" s="178" t="e">
        <f t="shared" si="132"/>
        <v>#REF!</v>
      </c>
      <c r="M993" s="178" t="e">
        <f>#REF!*#REF!</f>
        <v>#REF!</v>
      </c>
      <c r="N993" s="178" t="e">
        <f>#REF!+K993+#REF!</f>
        <v>#REF!</v>
      </c>
      <c r="O993" s="181" t="e">
        <f t="shared" si="131"/>
        <v>#REF!</v>
      </c>
    </row>
    <row r="994" spans="1:15" s="193" customFormat="1" outlineLevel="2">
      <c r="A994" s="155"/>
      <c r="B994" s="197"/>
      <c r="C994" s="190"/>
      <c r="D994" s="191"/>
      <c r="E994" s="176"/>
      <c r="F994" s="177"/>
      <c r="G994" s="192"/>
      <c r="H994" s="179"/>
      <c r="I994" s="283" t="e">
        <f>IF(#REF!="",#REF!*#REF!,IF(#REF!=0,#REF!*#REF!,#REF!*#REF!*#REF!))</f>
        <v>#REF!</v>
      </c>
      <c r="J994" s="180" t="e">
        <f>#REF!*#REF!</f>
        <v>#REF!</v>
      </c>
      <c r="K994" s="178" t="e">
        <f>#REF!*mo</f>
        <v>#REF!</v>
      </c>
      <c r="L994" s="178" t="e">
        <f t="shared" si="132"/>
        <v>#REF!</v>
      </c>
      <c r="M994" s="178" t="e">
        <f>#REF!*#REF!</f>
        <v>#REF!</v>
      </c>
      <c r="N994" s="178" t="e">
        <f>#REF!+K994+#REF!</f>
        <v>#REF!</v>
      </c>
      <c r="O994" s="181" t="e">
        <f t="shared" si="131"/>
        <v>#REF!</v>
      </c>
    </row>
    <row r="995" spans="1:15" s="193" customFormat="1" outlineLevel="2">
      <c r="A995" s="155"/>
      <c r="B995" s="156" t="s">
        <v>880</v>
      </c>
      <c r="C995" s="190"/>
      <c r="D995" s="191"/>
      <c r="E995" s="176"/>
      <c r="F995" s="177"/>
      <c r="G995" s="192"/>
      <c r="H995" s="179"/>
      <c r="I995" s="283" t="e">
        <f>IF(#REF!="",#REF!*#REF!,IF(#REF!=0,#REF!*#REF!,#REF!*#REF!*#REF!))</f>
        <v>#REF!</v>
      </c>
      <c r="J995" s="180" t="e">
        <f>#REF!*#REF!</f>
        <v>#REF!</v>
      </c>
      <c r="K995" s="178" t="e">
        <f>#REF!*mo</f>
        <v>#REF!</v>
      </c>
      <c r="L995" s="178" t="e">
        <f t="shared" si="132"/>
        <v>#REF!</v>
      </c>
      <c r="M995" s="178" t="e">
        <f>#REF!*#REF!</f>
        <v>#REF!</v>
      </c>
      <c r="N995" s="178" t="e">
        <f>#REF!+K995+#REF!</f>
        <v>#REF!</v>
      </c>
      <c r="O995" s="181" t="e">
        <f t="shared" si="131"/>
        <v>#REF!</v>
      </c>
    </row>
    <row r="996" spans="1:15" s="193" customFormat="1" outlineLevel="2">
      <c r="A996" s="155"/>
      <c r="B996" s="197" t="s">
        <v>873</v>
      </c>
      <c r="C996" s="190" t="s">
        <v>123</v>
      </c>
      <c r="D996" s="191"/>
      <c r="E996" s="176"/>
      <c r="F996" s="177"/>
      <c r="G996" s="192"/>
      <c r="H996" s="179"/>
      <c r="I996" s="283" t="e">
        <f>IF(#REF!="",#REF!*#REF!,IF(#REF!=0,#REF!*#REF!,#REF!*#REF!*#REF!))</f>
        <v>#REF!</v>
      </c>
      <c r="J996" s="180" t="e">
        <f>#REF!*#REF!</f>
        <v>#REF!</v>
      </c>
      <c r="K996" s="178" t="e">
        <f>#REF!*mo</f>
        <v>#REF!</v>
      </c>
      <c r="L996" s="178" t="e">
        <f t="shared" si="132"/>
        <v>#REF!</v>
      </c>
      <c r="M996" s="178" t="e">
        <f>#REF!*#REF!</f>
        <v>#REF!</v>
      </c>
      <c r="N996" s="178" t="e">
        <f>#REF!+K996+#REF!</f>
        <v>#REF!</v>
      </c>
      <c r="O996" s="181" t="e">
        <f t="shared" si="131"/>
        <v>#REF!</v>
      </c>
    </row>
    <row r="997" spans="1:15" s="193" customFormat="1" outlineLevel="2">
      <c r="A997" s="155"/>
      <c r="B997" s="197" t="s">
        <v>874</v>
      </c>
      <c r="C997" s="190" t="s">
        <v>123</v>
      </c>
      <c r="D997" s="191"/>
      <c r="E997" s="176"/>
      <c r="F997" s="177"/>
      <c r="G997" s="192"/>
      <c r="H997" s="179"/>
      <c r="I997" s="283" t="e">
        <f>IF(#REF!="",#REF!*#REF!,IF(#REF!=0,#REF!*#REF!,#REF!*#REF!*#REF!))</f>
        <v>#REF!</v>
      </c>
      <c r="J997" s="180" t="e">
        <f>#REF!*#REF!</f>
        <v>#REF!</v>
      </c>
      <c r="K997" s="178" t="e">
        <f>#REF!*mo</f>
        <v>#REF!</v>
      </c>
      <c r="L997" s="178" t="e">
        <f t="shared" si="132"/>
        <v>#REF!</v>
      </c>
      <c r="M997" s="178" t="e">
        <f>#REF!*#REF!</f>
        <v>#REF!</v>
      </c>
      <c r="N997" s="178" t="e">
        <f>#REF!+K997+#REF!</f>
        <v>#REF!</v>
      </c>
      <c r="O997" s="181" t="e">
        <f t="shared" si="131"/>
        <v>#REF!</v>
      </c>
    </row>
    <row r="998" spans="1:15" s="193" customFormat="1" outlineLevel="2">
      <c r="A998" s="155"/>
      <c r="B998" s="197" t="s">
        <v>875</v>
      </c>
      <c r="C998" s="190" t="s">
        <v>123</v>
      </c>
      <c r="D998" s="191"/>
      <c r="E998" s="176"/>
      <c r="F998" s="177"/>
      <c r="G998" s="192"/>
      <c r="H998" s="179"/>
      <c r="I998" s="283" t="e">
        <f>IF(#REF!="",#REF!*#REF!,IF(#REF!=0,#REF!*#REF!,#REF!*#REF!*#REF!))</f>
        <v>#REF!</v>
      </c>
      <c r="J998" s="180" t="e">
        <f>#REF!*#REF!</f>
        <v>#REF!</v>
      </c>
      <c r="K998" s="178" t="e">
        <f>#REF!*mo</f>
        <v>#REF!</v>
      </c>
      <c r="L998" s="178" t="e">
        <f t="shared" si="132"/>
        <v>#REF!</v>
      </c>
      <c r="M998" s="178" t="e">
        <f>#REF!*#REF!</f>
        <v>#REF!</v>
      </c>
      <c r="N998" s="178" t="e">
        <f>#REF!+K998+#REF!</f>
        <v>#REF!</v>
      </c>
      <c r="O998" s="181" t="e">
        <f t="shared" si="131"/>
        <v>#REF!</v>
      </c>
    </row>
    <row r="999" spans="1:15" s="193" customFormat="1" outlineLevel="2">
      <c r="A999" s="155"/>
      <c r="B999" s="197" t="s">
        <v>876</v>
      </c>
      <c r="C999" s="190" t="s">
        <v>123</v>
      </c>
      <c r="D999" s="191"/>
      <c r="E999" s="176"/>
      <c r="F999" s="177"/>
      <c r="G999" s="192"/>
      <c r="H999" s="179"/>
      <c r="I999" s="283" t="e">
        <f>IF(#REF!="",#REF!*#REF!,IF(#REF!=0,#REF!*#REF!,#REF!*#REF!*#REF!))</f>
        <v>#REF!</v>
      </c>
      <c r="J999" s="180" t="e">
        <f>#REF!*#REF!</f>
        <v>#REF!</v>
      </c>
      <c r="K999" s="178" t="e">
        <f>#REF!*mo</f>
        <v>#REF!</v>
      </c>
      <c r="L999" s="178" t="e">
        <f t="shared" si="132"/>
        <v>#REF!</v>
      </c>
      <c r="M999" s="178" t="e">
        <f>#REF!*#REF!</f>
        <v>#REF!</v>
      </c>
      <c r="N999" s="178" t="e">
        <f>#REF!+K999+#REF!</f>
        <v>#REF!</v>
      </c>
      <c r="O999" s="181" t="e">
        <f t="shared" si="131"/>
        <v>#REF!</v>
      </c>
    </row>
    <row r="1000" spans="1:15" s="193" customFormat="1" outlineLevel="2">
      <c r="A1000" s="155"/>
      <c r="B1000" s="197" t="s">
        <v>877</v>
      </c>
      <c r="C1000" s="190" t="s">
        <v>123</v>
      </c>
      <c r="D1000" s="191"/>
      <c r="E1000" s="176"/>
      <c r="F1000" s="177"/>
      <c r="G1000" s="192"/>
      <c r="H1000" s="179"/>
      <c r="I1000" s="283" t="e">
        <f>IF(#REF!="",#REF!*#REF!,IF(#REF!=0,#REF!*#REF!,#REF!*#REF!*#REF!))</f>
        <v>#REF!</v>
      </c>
      <c r="J1000" s="180" t="e">
        <f>#REF!*#REF!</f>
        <v>#REF!</v>
      </c>
      <c r="K1000" s="178" t="e">
        <f>#REF!*mo</f>
        <v>#REF!</v>
      </c>
      <c r="L1000" s="178" t="e">
        <f t="shared" si="132"/>
        <v>#REF!</v>
      </c>
      <c r="M1000" s="178" t="e">
        <f>#REF!*#REF!</f>
        <v>#REF!</v>
      </c>
      <c r="N1000" s="178" t="e">
        <f>#REF!+K1000+#REF!</f>
        <v>#REF!</v>
      </c>
      <c r="O1000" s="181" t="e">
        <f t="shared" si="131"/>
        <v>#REF!</v>
      </c>
    </row>
    <row r="1001" spans="1:15" s="193" customFormat="1" outlineLevel="2">
      <c r="A1001" s="155"/>
      <c r="B1001" s="197" t="s">
        <v>878</v>
      </c>
      <c r="C1001" s="190" t="s">
        <v>123</v>
      </c>
      <c r="D1001" s="191"/>
      <c r="E1001" s="176"/>
      <c r="F1001" s="177"/>
      <c r="G1001" s="192"/>
      <c r="H1001" s="179"/>
      <c r="I1001" s="283" t="e">
        <f>IF(#REF!="",#REF!*#REF!,IF(#REF!=0,#REF!*#REF!,#REF!*#REF!*#REF!))</f>
        <v>#REF!</v>
      </c>
      <c r="J1001" s="180" t="e">
        <f>#REF!*#REF!</f>
        <v>#REF!</v>
      </c>
      <c r="K1001" s="178" t="e">
        <f>#REF!*mo</f>
        <v>#REF!</v>
      </c>
      <c r="L1001" s="178" t="e">
        <f t="shared" si="132"/>
        <v>#REF!</v>
      </c>
      <c r="M1001" s="178" t="e">
        <f>#REF!*#REF!</f>
        <v>#REF!</v>
      </c>
      <c r="N1001" s="178" t="e">
        <f>#REF!+K1001+#REF!</f>
        <v>#REF!</v>
      </c>
      <c r="O1001" s="181" t="e">
        <f t="shared" si="131"/>
        <v>#REF!</v>
      </c>
    </row>
    <row r="1002" spans="1:15" s="193" customFormat="1" outlineLevel="2">
      <c r="A1002" s="155"/>
      <c r="B1002" s="197" t="s">
        <v>881</v>
      </c>
      <c r="C1002" s="190" t="s">
        <v>123</v>
      </c>
      <c r="D1002" s="191"/>
      <c r="E1002" s="176"/>
      <c r="F1002" s="177"/>
      <c r="G1002" s="192"/>
      <c r="H1002" s="179"/>
      <c r="I1002" s="283" t="e">
        <f>IF(#REF!="",#REF!*#REF!,IF(#REF!=0,#REF!*#REF!,#REF!*#REF!*#REF!))</f>
        <v>#REF!</v>
      </c>
      <c r="J1002" s="180" t="e">
        <f>#REF!*#REF!</f>
        <v>#REF!</v>
      </c>
      <c r="K1002" s="178" t="e">
        <f>#REF!*mo</f>
        <v>#REF!</v>
      </c>
      <c r="L1002" s="178" t="e">
        <f t="shared" si="132"/>
        <v>#REF!</v>
      </c>
      <c r="M1002" s="178" t="e">
        <f>#REF!*#REF!</f>
        <v>#REF!</v>
      </c>
      <c r="N1002" s="178" t="e">
        <f>#REF!+K1002+#REF!</f>
        <v>#REF!</v>
      </c>
      <c r="O1002" s="181" t="e">
        <f t="shared" si="131"/>
        <v>#REF!</v>
      </c>
    </row>
    <row r="1003" spans="1:15" s="193" customFormat="1" outlineLevel="2">
      <c r="A1003" s="155"/>
      <c r="B1003" s="197"/>
      <c r="C1003" s="190"/>
      <c r="D1003" s="191"/>
      <c r="E1003" s="176"/>
      <c r="F1003" s="177"/>
      <c r="G1003" s="192"/>
      <c r="H1003" s="179"/>
      <c r="I1003" s="283" t="e">
        <f>IF(#REF!="",#REF!*#REF!,IF(#REF!=0,#REF!*#REF!,#REF!*#REF!*#REF!))</f>
        <v>#REF!</v>
      </c>
      <c r="J1003" s="180" t="e">
        <f>#REF!*#REF!</f>
        <v>#REF!</v>
      </c>
      <c r="K1003" s="178" t="e">
        <f>#REF!*mo</f>
        <v>#REF!</v>
      </c>
      <c r="L1003" s="178" t="e">
        <f t="shared" si="132"/>
        <v>#REF!</v>
      </c>
      <c r="M1003" s="178" t="e">
        <f>#REF!*#REF!</f>
        <v>#REF!</v>
      </c>
      <c r="N1003" s="178" t="e">
        <f>#REF!+K1003+#REF!</f>
        <v>#REF!</v>
      </c>
      <c r="O1003" s="181" t="e">
        <f t="shared" si="131"/>
        <v>#REF!</v>
      </c>
    </row>
    <row r="1004" spans="1:15" s="193" customFormat="1" outlineLevel="2">
      <c r="A1004" s="155"/>
      <c r="B1004" s="156" t="s">
        <v>882</v>
      </c>
      <c r="C1004" s="190"/>
      <c r="D1004" s="191"/>
      <c r="E1004" s="176"/>
      <c r="F1004" s="177"/>
      <c r="G1004" s="192"/>
      <c r="H1004" s="179"/>
      <c r="I1004" s="283" t="e">
        <f>IF(#REF!="",#REF!*#REF!,IF(#REF!=0,#REF!*#REF!,#REF!*#REF!*#REF!))</f>
        <v>#REF!</v>
      </c>
      <c r="J1004" s="180" t="e">
        <f>#REF!*#REF!</f>
        <v>#REF!</v>
      </c>
      <c r="K1004" s="178" t="e">
        <f>#REF!*mo</f>
        <v>#REF!</v>
      </c>
      <c r="L1004" s="178" t="e">
        <f t="shared" si="132"/>
        <v>#REF!</v>
      </c>
      <c r="M1004" s="178" t="e">
        <f>#REF!*#REF!</f>
        <v>#REF!</v>
      </c>
      <c r="N1004" s="178" t="e">
        <f>#REF!+K1004+#REF!</f>
        <v>#REF!</v>
      </c>
      <c r="O1004" s="181" t="e">
        <f t="shared" si="131"/>
        <v>#REF!</v>
      </c>
    </row>
    <row r="1005" spans="1:15" s="193" customFormat="1" outlineLevel="2">
      <c r="A1005" s="155"/>
      <c r="B1005" s="197" t="s">
        <v>868</v>
      </c>
      <c r="C1005" s="190" t="s">
        <v>123</v>
      </c>
      <c r="D1005" s="191"/>
      <c r="E1005" s="176"/>
      <c r="F1005" s="177"/>
      <c r="G1005" s="192"/>
      <c r="H1005" s="179"/>
      <c r="I1005" s="283" t="e">
        <f>IF(#REF!="",#REF!*#REF!,IF(#REF!=0,#REF!*#REF!,#REF!*#REF!*#REF!))</f>
        <v>#REF!</v>
      </c>
      <c r="J1005" s="180" t="e">
        <f>#REF!*#REF!</f>
        <v>#REF!</v>
      </c>
      <c r="K1005" s="178" t="e">
        <f>#REF!*mo</f>
        <v>#REF!</v>
      </c>
      <c r="L1005" s="178" t="e">
        <f t="shared" si="132"/>
        <v>#REF!</v>
      </c>
      <c r="M1005" s="178" t="e">
        <f>#REF!*#REF!</f>
        <v>#REF!</v>
      </c>
      <c r="N1005" s="178" t="e">
        <f>#REF!+K1005+#REF!</f>
        <v>#REF!</v>
      </c>
      <c r="O1005" s="181" t="e">
        <f t="shared" si="131"/>
        <v>#REF!</v>
      </c>
    </row>
    <row r="1006" spans="1:15" s="193" customFormat="1" outlineLevel="2">
      <c r="A1006" s="155"/>
      <c r="B1006" s="197" t="s">
        <v>869</v>
      </c>
      <c r="C1006" s="190" t="s">
        <v>123</v>
      </c>
      <c r="D1006" s="191"/>
      <c r="E1006" s="176"/>
      <c r="F1006" s="177"/>
      <c r="G1006" s="192"/>
      <c r="H1006" s="179"/>
      <c r="I1006" s="283" t="e">
        <f>IF(#REF!="",#REF!*#REF!,IF(#REF!=0,#REF!*#REF!,#REF!*#REF!*#REF!))</f>
        <v>#REF!</v>
      </c>
      <c r="J1006" s="180" t="e">
        <f>#REF!*#REF!</f>
        <v>#REF!</v>
      </c>
      <c r="K1006" s="178" t="e">
        <f>#REF!*mo</f>
        <v>#REF!</v>
      </c>
      <c r="L1006" s="178" t="e">
        <f t="shared" si="132"/>
        <v>#REF!</v>
      </c>
      <c r="M1006" s="178" t="e">
        <f>#REF!*#REF!</f>
        <v>#REF!</v>
      </c>
      <c r="N1006" s="178" t="e">
        <f>#REF!+K1006+#REF!</f>
        <v>#REF!</v>
      </c>
      <c r="O1006" s="181" t="e">
        <f t="shared" si="131"/>
        <v>#REF!</v>
      </c>
    </row>
    <row r="1007" spans="1:15" s="193" customFormat="1" outlineLevel="2">
      <c r="A1007" s="155"/>
      <c r="B1007" s="197" t="s">
        <v>870</v>
      </c>
      <c r="C1007" s="190" t="s">
        <v>123</v>
      </c>
      <c r="D1007" s="191"/>
      <c r="E1007" s="176"/>
      <c r="F1007" s="177"/>
      <c r="G1007" s="192"/>
      <c r="H1007" s="179"/>
      <c r="I1007" s="283" t="e">
        <f>IF(#REF!="",#REF!*#REF!,IF(#REF!=0,#REF!*#REF!,#REF!*#REF!*#REF!))</f>
        <v>#REF!</v>
      </c>
      <c r="J1007" s="180" t="e">
        <f>#REF!*#REF!</f>
        <v>#REF!</v>
      </c>
      <c r="K1007" s="178" t="e">
        <f>#REF!*mo</f>
        <v>#REF!</v>
      </c>
      <c r="L1007" s="178" t="e">
        <f t="shared" si="132"/>
        <v>#REF!</v>
      </c>
      <c r="M1007" s="178" t="e">
        <f>#REF!*#REF!</f>
        <v>#REF!</v>
      </c>
      <c r="N1007" s="178" t="e">
        <f>#REF!+K1007+#REF!</f>
        <v>#REF!</v>
      </c>
      <c r="O1007" s="181" t="e">
        <f t="shared" si="131"/>
        <v>#REF!</v>
      </c>
    </row>
    <row r="1008" spans="1:15" s="193" customFormat="1" outlineLevel="2">
      <c r="A1008" s="155"/>
      <c r="B1008" s="197" t="s">
        <v>871</v>
      </c>
      <c r="C1008" s="190" t="s">
        <v>123</v>
      </c>
      <c r="D1008" s="191"/>
      <c r="E1008" s="176"/>
      <c r="F1008" s="177"/>
      <c r="G1008" s="192"/>
      <c r="H1008" s="179"/>
      <c r="I1008" s="283" t="e">
        <f>IF(#REF!="",#REF!*#REF!,IF(#REF!=0,#REF!*#REF!,#REF!*#REF!*#REF!))</f>
        <v>#REF!</v>
      </c>
      <c r="J1008" s="180" t="e">
        <f>#REF!*#REF!</f>
        <v>#REF!</v>
      </c>
      <c r="K1008" s="178" t="e">
        <f>#REF!*mo</f>
        <v>#REF!</v>
      </c>
      <c r="L1008" s="178" t="e">
        <f t="shared" si="132"/>
        <v>#REF!</v>
      </c>
      <c r="M1008" s="178" t="e">
        <f>#REF!*#REF!</f>
        <v>#REF!</v>
      </c>
      <c r="N1008" s="178" t="e">
        <f>#REF!+K1008+#REF!</f>
        <v>#REF!</v>
      </c>
      <c r="O1008" s="181" t="e">
        <f t="shared" si="131"/>
        <v>#REF!</v>
      </c>
    </row>
    <row r="1009" spans="1:15" s="193" customFormat="1" outlineLevel="2">
      <c r="A1009" s="155"/>
      <c r="B1009" s="197" t="s">
        <v>872</v>
      </c>
      <c r="C1009" s="190" t="s">
        <v>123</v>
      </c>
      <c r="D1009" s="191"/>
      <c r="E1009" s="176"/>
      <c r="F1009" s="177"/>
      <c r="G1009" s="192"/>
      <c r="H1009" s="179"/>
      <c r="I1009" s="283" t="e">
        <f>IF(#REF!="",#REF!*#REF!,IF(#REF!=0,#REF!*#REF!,#REF!*#REF!*#REF!))</f>
        <v>#REF!</v>
      </c>
      <c r="J1009" s="180" t="e">
        <f>#REF!*#REF!</f>
        <v>#REF!</v>
      </c>
      <c r="K1009" s="178" t="e">
        <f>#REF!*mo</f>
        <v>#REF!</v>
      </c>
      <c r="L1009" s="178" t="e">
        <f t="shared" si="132"/>
        <v>#REF!</v>
      </c>
      <c r="M1009" s="178" t="e">
        <f>#REF!*#REF!</f>
        <v>#REF!</v>
      </c>
      <c r="N1009" s="178" t="e">
        <f>#REF!+K1009+#REF!</f>
        <v>#REF!</v>
      </c>
      <c r="O1009" s="181" t="e">
        <f t="shared" si="131"/>
        <v>#REF!</v>
      </c>
    </row>
    <row r="1010" spans="1:15" s="193" customFormat="1" outlineLevel="2">
      <c r="A1010" s="155"/>
      <c r="B1010" s="197" t="s">
        <v>873</v>
      </c>
      <c r="C1010" s="190" t="s">
        <v>123</v>
      </c>
      <c r="D1010" s="191"/>
      <c r="E1010" s="176"/>
      <c r="F1010" s="177"/>
      <c r="G1010" s="192"/>
      <c r="H1010" s="179"/>
      <c r="I1010" s="283" t="e">
        <f>IF(#REF!="",#REF!*#REF!,IF(#REF!=0,#REF!*#REF!,#REF!*#REF!*#REF!))</f>
        <v>#REF!</v>
      </c>
      <c r="J1010" s="180" t="e">
        <f>#REF!*#REF!</f>
        <v>#REF!</v>
      </c>
      <c r="K1010" s="178" t="e">
        <f>#REF!*mo</f>
        <v>#REF!</v>
      </c>
      <c r="L1010" s="178" t="e">
        <f t="shared" si="132"/>
        <v>#REF!</v>
      </c>
      <c r="M1010" s="178" t="e">
        <f>#REF!*#REF!</f>
        <v>#REF!</v>
      </c>
      <c r="N1010" s="178" t="e">
        <f>#REF!+K1010+#REF!</f>
        <v>#REF!</v>
      </c>
      <c r="O1010" s="181" t="e">
        <f t="shared" si="131"/>
        <v>#REF!</v>
      </c>
    </row>
    <row r="1011" spans="1:15" s="193" customFormat="1" outlineLevel="2">
      <c r="A1011" s="155"/>
      <c r="B1011" s="197" t="s">
        <v>874</v>
      </c>
      <c r="C1011" s="190" t="s">
        <v>123</v>
      </c>
      <c r="D1011" s="191"/>
      <c r="E1011" s="176"/>
      <c r="F1011" s="177"/>
      <c r="G1011" s="192"/>
      <c r="H1011" s="179"/>
      <c r="I1011" s="283" t="e">
        <f>IF(#REF!="",#REF!*#REF!,IF(#REF!=0,#REF!*#REF!,#REF!*#REF!*#REF!))</f>
        <v>#REF!</v>
      </c>
      <c r="J1011" s="180" t="e">
        <f>#REF!*#REF!</f>
        <v>#REF!</v>
      </c>
      <c r="K1011" s="178" t="e">
        <f>#REF!*mo</f>
        <v>#REF!</v>
      </c>
      <c r="L1011" s="178" t="e">
        <f t="shared" si="132"/>
        <v>#REF!</v>
      </c>
      <c r="M1011" s="178" t="e">
        <f>#REF!*#REF!</f>
        <v>#REF!</v>
      </c>
      <c r="N1011" s="178" t="e">
        <f>#REF!+K1011+#REF!</f>
        <v>#REF!</v>
      </c>
      <c r="O1011" s="181" t="e">
        <f t="shared" si="131"/>
        <v>#REF!</v>
      </c>
    </row>
    <row r="1012" spans="1:15" s="193" customFormat="1" outlineLevel="2">
      <c r="A1012" s="155"/>
      <c r="B1012" s="197" t="s">
        <v>875</v>
      </c>
      <c r="C1012" s="190" t="s">
        <v>123</v>
      </c>
      <c r="D1012" s="191"/>
      <c r="E1012" s="176"/>
      <c r="F1012" s="177"/>
      <c r="G1012" s="192"/>
      <c r="H1012" s="179"/>
      <c r="I1012" s="283" t="e">
        <f>IF(#REF!="",#REF!*#REF!,IF(#REF!=0,#REF!*#REF!,#REF!*#REF!*#REF!))</f>
        <v>#REF!</v>
      </c>
      <c r="J1012" s="180" t="e">
        <f>#REF!*#REF!</f>
        <v>#REF!</v>
      </c>
      <c r="K1012" s="178" t="e">
        <f>#REF!*mo</f>
        <v>#REF!</v>
      </c>
      <c r="L1012" s="178" t="e">
        <f t="shared" si="132"/>
        <v>#REF!</v>
      </c>
      <c r="M1012" s="178" t="e">
        <f>#REF!*#REF!</f>
        <v>#REF!</v>
      </c>
      <c r="N1012" s="178" t="e">
        <f>#REF!+K1012+#REF!</f>
        <v>#REF!</v>
      </c>
      <c r="O1012" s="181" t="e">
        <f t="shared" si="131"/>
        <v>#REF!</v>
      </c>
    </row>
    <row r="1013" spans="1:15" s="193" customFormat="1" outlineLevel="2">
      <c r="A1013" s="155"/>
      <c r="B1013" s="197" t="s">
        <v>876</v>
      </c>
      <c r="C1013" s="190" t="s">
        <v>123</v>
      </c>
      <c r="D1013" s="191"/>
      <c r="E1013" s="176"/>
      <c r="F1013" s="177"/>
      <c r="G1013" s="192"/>
      <c r="H1013" s="179"/>
      <c r="I1013" s="283" t="e">
        <f>IF(#REF!="",#REF!*#REF!,IF(#REF!=0,#REF!*#REF!,#REF!*#REF!*#REF!))</f>
        <v>#REF!</v>
      </c>
      <c r="J1013" s="180" t="e">
        <f>#REF!*#REF!</f>
        <v>#REF!</v>
      </c>
      <c r="K1013" s="178" t="e">
        <f>#REF!*mo</f>
        <v>#REF!</v>
      </c>
      <c r="L1013" s="178" t="e">
        <f t="shared" si="132"/>
        <v>#REF!</v>
      </c>
      <c r="M1013" s="178" t="e">
        <f>#REF!*#REF!</f>
        <v>#REF!</v>
      </c>
      <c r="N1013" s="178" t="e">
        <f>#REF!+K1013+#REF!</f>
        <v>#REF!</v>
      </c>
      <c r="O1013" s="181" t="e">
        <f t="shared" si="131"/>
        <v>#REF!</v>
      </c>
    </row>
    <row r="1014" spans="1:15" s="193" customFormat="1" outlineLevel="2">
      <c r="A1014" s="155"/>
      <c r="B1014" s="197" t="s">
        <v>877</v>
      </c>
      <c r="C1014" s="190" t="s">
        <v>123</v>
      </c>
      <c r="D1014" s="191"/>
      <c r="E1014" s="176"/>
      <c r="F1014" s="177"/>
      <c r="G1014" s="192"/>
      <c r="H1014" s="179"/>
      <c r="I1014" s="283" t="e">
        <f>IF(#REF!="",#REF!*#REF!,IF(#REF!=0,#REF!*#REF!,#REF!*#REF!*#REF!))</f>
        <v>#REF!</v>
      </c>
      <c r="J1014" s="180" t="e">
        <f>#REF!*#REF!</f>
        <v>#REF!</v>
      </c>
      <c r="K1014" s="178" t="e">
        <f>#REF!*mo</f>
        <v>#REF!</v>
      </c>
      <c r="L1014" s="178" t="e">
        <f t="shared" si="132"/>
        <v>#REF!</v>
      </c>
      <c r="M1014" s="178" t="e">
        <f>#REF!*#REF!</f>
        <v>#REF!</v>
      </c>
      <c r="N1014" s="178" t="e">
        <f>#REF!+K1014+#REF!</f>
        <v>#REF!</v>
      </c>
      <c r="O1014" s="181" t="e">
        <f t="shared" si="131"/>
        <v>#REF!</v>
      </c>
    </row>
    <row r="1015" spans="1:15" s="193" customFormat="1" outlineLevel="2">
      <c r="A1015" s="155"/>
      <c r="B1015" s="197" t="s">
        <v>878</v>
      </c>
      <c r="C1015" s="190" t="s">
        <v>123</v>
      </c>
      <c r="D1015" s="191"/>
      <c r="E1015" s="176"/>
      <c r="F1015" s="177"/>
      <c r="G1015" s="192"/>
      <c r="H1015" s="179"/>
      <c r="I1015" s="283" t="e">
        <f>IF(#REF!="",#REF!*#REF!,IF(#REF!=0,#REF!*#REF!,#REF!*#REF!*#REF!))</f>
        <v>#REF!</v>
      </c>
      <c r="J1015" s="180" t="e">
        <f>#REF!*#REF!</f>
        <v>#REF!</v>
      </c>
      <c r="K1015" s="178" t="e">
        <f>#REF!*mo</f>
        <v>#REF!</v>
      </c>
      <c r="L1015" s="178" t="e">
        <f t="shared" si="132"/>
        <v>#REF!</v>
      </c>
      <c r="M1015" s="178" t="e">
        <f>#REF!*#REF!</f>
        <v>#REF!</v>
      </c>
      <c r="N1015" s="178" t="e">
        <f>#REF!+K1015+#REF!</f>
        <v>#REF!</v>
      </c>
      <c r="O1015" s="181" t="e">
        <f t="shared" si="131"/>
        <v>#REF!</v>
      </c>
    </row>
    <row r="1016" spans="1:15" s="193" customFormat="1" outlineLevel="2">
      <c r="A1016" s="155"/>
      <c r="B1016" s="197" t="s">
        <v>879</v>
      </c>
      <c r="C1016" s="190" t="s">
        <v>123</v>
      </c>
      <c r="D1016" s="191"/>
      <c r="E1016" s="176"/>
      <c r="F1016" s="177"/>
      <c r="G1016" s="192"/>
      <c r="H1016" s="179"/>
      <c r="I1016" s="283" t="e">
        <f>IF(#REF!="",#REF!*#REF!,IF(#REF!=0,#REF!*#REF!,#REF!*#REF!*#REF!))</f>
        <v>#REF!</v>
      </c>
      <c r="J1016" s="180" t="e">
        <f>#REF!*#REF!</f>
        <v>#REF!</v>
      </c>
      <c r="K1016" s="178" t="e">
        <f>#REF!*mo</f>
        <v>#REF!</v>
      </c>
      <c r="L1016" s="178" t="e">
        <f t="shared" si="132"/>
        <v>#REF!</v>
      </c>
      <c r="M1016" s="178" t="e">
        <f>#REF!*#REF!</f>
        <v>#REF!</v>
      </c>
      <c r="N1016" s="178" t="e">
        <f>#REF!+K1016+#REF!</f>
        <v>#REF!</v>
      </c>
      <c r="O1016" s="181" t="e">
        <f t="shared" si="131"/>
        <v>#REF!</v>
      </c>
    </row>
    <row r="1017" spans="1:15" s="193" customFormat="1" outlineLevel="2">
      <c r="A1017" s="155"/>
      <c r="B1017" s="197"/>
      <c r="C1017" s="190"/>
      <c r="D1017" s="191"/>
      <c r="E1017" s="176"/>
      <c r="F1017" s="177"/>
      <c r="G1017" s="192"/>
      <c r="H1017" s="179"/>
      <c r="I1017" s="283" t="e">
        <f>IF(#REF!="",#REF!*#REF!,IF(#REF!=0,#REF!*#REF!,#REF!*#REF!*#REF!))</f>
        <v>#REF!</v>
      </c>
      <c r="J1017" s="180" t="e">
        <f>#REF!*#REF!</f>
        <v>#REF!</v>
      </c>
      <c r="K1017" s="178" t="e">
        <f>#REF!*mo</f>
        <v>#REF!</v>
      </c>
      <c r="L1017" s="178" t="e">
        <f t="shared" ref="L1017:L1045" si="134">J1017*mo</f>
        <v>#REF!</v>
      </c>
      <c r="M1017" s="178" t="e">
        <f>#REF!*#REF!</f>
        <v>#REF!</v>
      </c>
      <c r="N1017" s="178" t="e">
        <f>#REF!+K1017+#REF!</f>
        <v>#REF!</v>
      </c>
      <c r="O1017" s="181" t="e">
        <f t="shared" si="131"/>
        <v>#REF!</v>
      </c>
    </row>
    <row r="1018" spans="1:15" s="193" customFormat="1" outlineLevel="2">
      <c r="A1018" s="155"/>
      <c r="B1018" s="156" t="s">
        <v>883</v>
      </c>
      <c r="C1018" s="190"/>
      <c r="D1018" s="191"/>
      <c r="E1018" s="176"/>
      <c r="F1018" s="177"/>
      <c r="G1018" s="192"/>
      <c r="H1018" s="179"/>
      <c r="I1018" s="283" t="e">
        <f>IF(#REF!="",#REF!*#REF!,IF(#REF!=0,#REF!*#REF!,#REF!*#REF!*#REF!))</f>
        <v>#REF!</v>
      </c>
      <c r="J1018" s="180" t="e">
        <f>#REF!*#REF!</f>
        <v>#REF!</v>
      </c>
      <c r="K1018" s="178" t="e">
        <f>#REF!*mo</f>
        <v>#REF!</v>
      </c>
      <c r="L1018" s="178" t="e">
        <f t="shared" si="134"/>
        <v>#REF!</v>
      </c>
      <c r="M1018" s="178" t="e">
        <f>#REF!*#REF!</f>
        <v>#REF!</v>
      </c>
      <c r="N1018" s="178" t="e">
        <f>#REF!+K1018+#REF!</f>
        <v>#REF!</v>
      </c>
      <c r="O1018" s="181" t="e">
        <f t="shared" si="131"/>
        <v>#REF!</v>
      </c>
    </row>
    <row r="1019" spans="1:15" s="193" customFormat="1" outlineLevel="2">
      <c r="A1019" s="155"/>
      <c r="B1019" s="197" t="s">
        <v>868</v>
      </c>
      <c r="C1019" s="190" t="s">
        <v>123</v>
      </c>
      <c r="D1019" s="191"/>
      <c r="E1019" s="176"/>
      <c r="F1019" s="177"/>
      <c r="G1019" s="192"/>
      <c r="H1019" s="179"/>
      <c r="I1019" s="283" t="e">
        <f>IF(#REF!="",#REF!*#REF!,IF(#REF!=0,#REF!*#REF!,#REF!*#REF!*#REF!))</f>
        <v>#REF!</v>
      </c>
      <c r="J1019" s="180" t="e">
        <f>#REF!*#REF!</f>
        <v>#REF!</v>
      </c>
      <c r="K1019" s="178" t="e">
        <f>#REF!*mo</f>
        <v>#REF!</v>
      </c>
      <c r="L1019" s="178" t="e">
        <f t="shared" si="134"/>
        <v>#REF!</v>
      </c>
      <c r="M1019" s="178" t="e">
        <f>#REF!*#REF!</f>
        <v>#REF!</v>
      </c>
      <c r="N1019" s="178" t="e">
        <f>#REF!+K1019+#REF!</f>
        <v>#REF!</v>
      </c>
      <c r="O1019" s="181" t="e">
        <f t="shared" si="131"/>
        <v>#REF!</v>
      </c>
    </row>
    <row r="1020" spans="1:15" s="193" customFormat="1" outlineLevel="2">
      <c r="A1020" s="155"/>
      <c r="B1020" s="197" t="s">
        <v>869</v>
      </c>
      <c r="C1020" s="190" t="s">
        <v>123</v>
      </c>
      <c r="D1020" s="191"/>
      <c r="E1020" s="176"/>
      <c r="F1020" s="177"/>
      <c r="G1020" s="192"/>
      <c r="H1020" s="179"/>
      <c r="I1020" s="283" t="e">
        <f>IF(#REF!="",#REF!*#REF!,IF(#REF!=0,#REF!*#REF!,#REF!*#REF!*#REF!))</f>
        <v>#REF!</v>
      </c>
      <c r="J1020" s="180" t="e">
        <f>#REF!*#REF!</f>
        <v>#REF!</v>
      </c>
      <c r="K1020" s="178" t="e">
        <f>#REF!*mo</f>
        <v>#REF!</v>
      </c>
      <c r="L1020" s="178" t="e">
        <f t="shared" si="134"/>
        <v>#REF!</v>
      </c>
      <c r="M1020" s="178" t="e">
        <f>#REF!*#REF!</f>
        <v>#REF!</v>
      </c>
      <c r="N1020" s="178" t="e">
        <f>#REF!+K1020+#REF!</f>
        <v>#REF!</v>
      </c>
      <c r="O1020" s="181" t="e">
        <f t="shared" si="131"/>
        <v>#REF!</v>
      </c>
    </row>
    <row r="1021" spans="1:15" s="193" customFormat="1" outlineLevel="2">
      <c r="A1021" s="155"/>
      <c r="B1021" s="197" t="s">
        <v>870</v>
      </c>
      <c r="C1021" s="190" t="s">
        <v>123</v>
      </c>
      <c r="D1021" s="191"/>
      <c r="E1021" s="176"/>
      <c r="F1021" s="177"/>
      <c r="G1021" s="192"/>
      <c r="H1021" s="179"/>
      <c r="I1021" s="283" t="e">
        <f>IF(#REF!="",#REF!*#REF!,IF(#REF!=0,#REF!*#REF!,#REF!*#REF!*#REF!))</f>
        <v>#REF!</v>
      </c>
      <c r="J1021" s="180" t="e">
        <f>#REF!*#REF!</f>
        <v>#REF!</v>
      </c>
      <c r="K1021" s="178" t="e">
        <f>#REF!*mo</f>
        <v>#REF!</v>
      </c>
      <c r="L1021" s="178" t="e">
        <f t="shared" si="134"/>
        <v>#REF!</v>
      </c>
      <c r="M1021" s="178" t="e">
        <f>#REF!*#REF!</f>
        <v>#REF!</v>
      </c>
      <c r="N1021" s="178" t="e">
        <f>#REF!+K1021+#REF!</f>
        <v>#REF!</v>
      </c>
      <c r="O1021" s="181" t="e">
        <f t="shared" si="131"/>
        <v>#REF!</v>
      </c>
    </row>
    <row r="1022" spans="1:15" s="193" customFormat="1" outlineLevel="2">
      <c r="A1022" s="155"/>
      <c r="B1022" s="197" t="s">
        <v>871</v>
      </c>
      <c r="C1022" s="190" t="s">
        <v>123</v>
      </c>
      <c r="D1022" s="191"/>
      <c r="E1022" s="176"/>
      <c r="F1022" s="177"/>
      <c r="G1022" s="192"/>
      <c r="H1022" s="179"/>
      <c r="I1022" s="283" t="e">
        <f>IF(#REF!="",#REF!*#REF!,IF(#REF!=0,#REF!*#REF!,#REF!*#REF!*#REF!))</f>
        <v>#REF!</v>
      </c>
      <c r="J1022" s="180" t="e">
        <f>#REF!*#REF!</f>
        <v>#REF!</v>
      </c>
      <c r="K1022" s="178" t="e">
        <f>#REF!*mo</f>
        <v>#REF!</v>
      </c>
      <c r="L1022" s="178" t="e">
        <f t="shared" si="134"/>
        <v>#REF!</v>
      </c>
      <c r="M1022" s="178" t="e">
        <f>#REF!*#REF!</f>
        <v>#REF!</v>
      </c>
      <c r="N1022" s="178" t="e">
        <f>#REF!+K1022+#REF!</f>
        <v>#REF!</v>
      </c>
      <c r="O1022" s="181" t="e">
        <f t="shared" si="131"/>
        <v>#REF!</v>
      </c>
    </row>
    <row r="1023" spans="1:15" s="193" customFormat="1" outlineLevel="2">
      <c r="A1023" s="155"/>
      <c r="B1023" s="197" t="s">
        <v>872</v>
      </c>
      <c r="C1023" s="190" t="s">
        <v>123</v>
      </c>
      <c r="D1023" s="191"/>
      <c r="E1023" s="176"/>
      <c r="F1023" s="177"/>
      <c r="G1023" s="192"/>
      <c r="H1023" s="179"/>
      <c r="I1023" s="283" t="e">
        <f>IF(#REF!="",#REF!*#REF!,IF(#REF!=0,#REF!*#REF!,#REF!*#REF!*#REF!))</f>
        <v>#REF!</v>
      </c>
      <c r="J1023" s="180" t="e">
        <f>#REF!*#REF!</f>
        <v>#REF!</v>
      </c>
      <c r="K1023" s="178" t="e">
        <f>#REF!*mo</f>
        <v>#REF!</v>
      </c>
      <c r="L1023" s="178" t="e">
        <f t="shared" si="134"/>
        <v>#REF!</v>
      </c>
      <c r="M1023" s="178" t="e">
        <f>#REF!*#REF!</f>
        <v>#REF!</v>
      </c>
      <c r="N1023" s="178" t="e">
        <f>#REF!+K1023+#REF!</f>
        <v>#REF!</v>
      </c>
      <c r="O1023" s="181" t="e">
        <f t="shared" si="131"/>
        <v>#REF!</v>
      </c>
    </row>
    <row r="1024" spans="1:15" s="193" customFormat="1" outlineLevel="2">
      <c r="A1024" s="155"/>
      <c r="B1024" s="197" t="s">
        <v>873</v>
      </c>
      <c r="C1024" s="190" t="s">
        <v>123</v>
      </c>
      <c r="D1024" s="191"/>
      <c r="E1024" s="176"/>
      <c r="F1024" s="177"/>
      <c r="G1024" s="192"/>
      <c r="H1024" s="179"/>
      <c r="I1024" s="283" t="e">
        <f>IF(#REF!="",#REF!*#REF!,IF(#REF!=0,#REF!*#REF!,#REF!*#REF!*#REF!))</f>
        <v>#REF!</v>
      </c>
      <c r="J1024" s="180" t="e">
        <f>#REF!*#REF!</f>
        <v>#REF!</v>
      </c>
      <c r="K1024" s="178" t="e">
        <f>#REF!*mo</f>
        <v>#REF!</v>
      </c>
      <c r="L1024" s="178" t="e">
        <f t="shared" si="134"/>
        <v>#REF!</v>
      </c>
      <c r="M1024" s="178" t="e">
        <f>#REF!*#REF!</f>
        <v>#REF!</v>
      </c>
      <c r="N1024" s="178" t="e">
        <f>#REF!+K1024+#REF!</f>
        <v>#REF!</v>
      </c>
      <c r="O1024" s="181" t="e">
        <f t="shared" si="131"/>
        <v>#REF!</v>
      </c>
    </row>
    <row r="1025" spans="1:15" s="193" customFormat="1" outlineLevel="2">
      <c r="A1025" s="155"/>
      <c r="B1025" s="197" t="s">
        <v>874</v>
      </c>
      <c r="C1025" s="190" t="s">
        <v>123</v>
      </c>
      <c r="D1025" s="191"/>
      <c r="E1025" s="176"/>
      <c r="F1025" s="177"/>
      <c r="G1025" s="192"/>
      <c r="H1025" s="179"/>
      <c r="I1025" s="283" t="e">
        <f>IF(#REF!="",#REF!*#REF!,IF(#REF!=0,#REF!*#REF!,#REF!*#REF!*#REF!))</f>
        <v>#REF!</v>
      </c>
      <c r="J1025" s="180" t="e">
        <f>#REF!*#REF!</f>
        <v>#REF!</v>
      </c>
      <c r="K1025" s="178" t="e">
        <f>#REF!*mo</f>
        <v>#REF!</v>
      </c>
      <c r="L1025" s="178" t="e">
        <f t="shared" si="134"/>
        <v>#REF!</v>
      </c>
      <c r="M1025" s="178" t="e">
        <f>#REF!*#REF!</f>
        <v>#REF!</v>
      </c>
      <c r="N1025" s="178" t="e">
        <f>#REF!+K1025+#REF!</f>
        <v>#REF!</v>
      </c>
      <c r="O1025" s="181" t="e">
        <f t="shared" si="131"/>
        <v>#REF!</v>
      </c>
    </row>
    <row r="1026" spans="1:15" s="193" customFormat="1" outlineLevel="2">
      <c r="A1026" s="155"/>
      <c r="B1026" s="197" t="s">
        <v>875</v>
      </c>
      <c r="C1026" s="190" t="s">
        <v>123</v>
      </c>
      <c r="D1026" s="191"/>
      <c r="E1026" s="176"/>
      <c r="F1026" s="177"/>
      <c r="G1026" s="192"/>
      <c r="H1026" s="179"/>
      <c r="I1026" s="283" t="e">
        <f>IF(#REF!="",#REF!*#REF!,IF(#REF!=0,#REF!*#REF!,#REF!*#REF!*#REF!))</f>
        <v>#REF!</v>
      </c>
      <c r="J1026" s="180" t="e">
        <f>#REF!*#REF!</f>
        <v>#REF!</v>
      </c>
      <c r="K1026" s="178" t="e">
        <f>#REF!*mo</f>
        <v>#REF!</v>
      </c>
      <c r="L1026" s="178" t="e">
        <f t="shared" si="134"/>
        <v>#REF!</v>
      </c>
      <c r="M1026" s="178" t="e">
        <f>#REF!*#REF!</f>
        <v>#REF!</v>
      </c>
      <c r="N1026" s="178" t="e">
        <f>#REF!+K1026+#REF!</f>
        <v>#REF!</v>
      </c>
      <c r="O1026" s="181" t="e">
        <f t="shared" si="131"/>
        <v>#REF!</v>
      </c>
    </row>
    <row r="1027" spans="1:15" s="193" customFormat="1" outlineLevel="2">
      <c r="A1027" s="155"/>
      <c r="B1027" s="197" t="s">
        <v>876</v>
      </c>
      <c r="C1027" s="190" t="s">
        <v>123</v>
      </c>
      <c r="D1027" s="191"/>
      <c r="E1027" s="176"/>
      <c r="F1027" s="177"/>
      <c r="G1027" s="192"/>
      <c r="H1027" s="179"/>
      <c r="I1027" s="283" t="e">
        <f>IF(#REF!="",#REF!*#REF!,IF(#REF!=0,#REF!*#REF!,#REF!*#REF!*#REF!))</f>
        <v>#REF!</v>
      </c>
      <c r="J1027" s="180" t="e">
        <f>#REF!*#REF!</f>
        <v>#REF!</v>
      </c>
      <c r="K1027" s="178" t="e">
        <f>#REF!*mo</f>
        <v>#REF!</v>
      </c>
      <c r="L1027" s="178" t="e">
        <f t="shared" si="134"/>
        <v>#REF!</v>
      </c>
      <c r="M1027" s="178" t="e">
        <f>#REF!*#REF!</f>
        <v>#REF!</v>
      </c>
      <c r="N1027" s="178" t="e">
        <f>#REF!+K1027+#REF!</f>
        <v>#REF!</v>
      </c>
      <c r="O1027" s="181" t="e">
        <f t="shared" si="131"/>
        <v>#REF!</v>
      </c>
    </row>
    <row r="1028" spans="1:15" s="193" customFormat="1" outlineLevel="2">
      <c r="A1028" s="155"/>
      <c r="B1028" s="197" t="s">
        <v>877</v>
      </c>
      <c r="C1028" s="190" t="s">
        <v>123</v>
      </c>
      <c r="D1028" s="191"/>
      <c r="E1028" s="176"/>
      <c r="F1028" s="177"/>
      <c r="G1028" s="192"/>
      <c r="H1028" s="179"/>
      <c r="I1028" s="283" t="e">
        <f>IF(#REF!="",#REF!*#REF!,IF(#REF!=0,#REF!*#REF!,#REF!*#REF!*#REF!))</f>
        <v>#REF!</v>
      </c>
      <c r="J1028" s="180" t="e">
        <f>#REF!*#REF!</f>
        <v>#REF!</v>
      </c>
      <c r="K1028" s="178" t="e">
        <f>#REF!*mo</f>
        <v>#REF!</v>
      </c>
      <c r="L1028" s="178" t="e">
        <f t="shared" si="134"/>
        <v>#REF!</v>
      </c>
      <c r="M1028" s="178" t="e">
        <f>#REF!*#REF!</f>
        <v>#REF!</v>
      </c>
      <c r="N1028" s="178" t="e">
        <f>#REF!+K1028+#REF!</f>
        <v>#REF!</v>
      </c>
      <c r="O1028" s="181" t="e">
        <f t="shared" si="131"/>
        <v>#REF!</v>
      </c>
    </row>
    <row r="1029" spans="1:15" s="193" customFormat="1" outlineLevel="2">
      <c r="A1029" s="155"/>
      <c r="B1029" s="197" t="s">
        <v>878</v>
      </c>
      <c r="C1029" s="190" t="s">
        <v>123</v>
      </c>
      <c r="D1029" s="191"/>
      <c r="E1029" s="176"/>
      <c r="F1029" s="177"/>
      <c r="G1029" s="192"/>
      <c r="H1029" s="179"/>
      <c r="I1029" s="283" t="e">
        <f>IF(#REF!="",#REF!*#REF!,IF(#REF!=0,#REF!*#REF!,#REF!*#REF!*#REF!))</f>
        <v>#REF!</v>
      </c>
      <c r="J1029" s="180" t="e">
        <f>#REF!*#REF!</f>
        <v>#REF!</v>
      </c>
      <c r="K1029" s="178" t="e">
        <f>#REF!*mo</f>
        <v>#REF!</v>
      </c>
      <c r="L1029" s="178" t="e">
        <f t="shared" si="134"/>
        <v>#REF!</v>
      </c>
      <c r="M1029" s="178" t="e">
        <f>#REF!*#REF!</f>
        <v>#REF!</v>
      </c>
      <c r="N1029" s="178" t="e">
        <f>#REF!+K1029+#REF!</f>
        <v>#REF!</v>
      </c>
      <c r="O1029" s="181" t="e">
        <f t="shared" si="131"/>
        <v>#REF!</v>
      </c>
    </row>
    <row r="1030" spans="1:15" s="193" customFormat="1" outlineLevel="2">
      <c r="A1030" s="155"/>
      <c r="B1030" s="197" t="s">
        <v>879</v>
      </c>
      <c r="C1030" s="190" t="s">
        <v>123</v>
      </c>
      <c r="D1030" s="191"/>
      <c r="E1030" s="176"/>
      <c r="F1030" s="177"/>
      <c r="G1030" s="192"/>
      <c r="H1030" s="179"/>
      <c r="I1030" s="283" t="e">
        <f>IF(#REF!="",#REF!*#REF!,IF(#REF!=0,#REF!*#REF!,#REF!*#REF!*#REF!))</f>
        <v>#REF!</v>
      </c>
      <c r="J1030" s="180" t="e">
        <f>#REF!*#REF!</f>
        <v>#REF!</v>
      </c>
      <c r="K1030" s="178" t="e">
        <f>#REF!*mo</f>
        <v>#REF!</v>
      </c>
      <c r="L1030" s="178" t="e">
        <f t="shared" si="134"/>
        <v>#REF!</v>
      </c>
      <c r="M1030" s="178" t="e">
        <f>#REF!*#REF!</f>
        <v>#REF!</v>
      </c>
      <c r="N1030" s="178" t="e">
        <f>#REF!+K1030+#REF!</f>
        <v>#REF!</v>
      </c>
      <c r="O1030" s="181" t="e">
        <f t="shared" si="131"/>
        <v>#REF!</v>
      </c>
    </row>
    <row r="1031" spans="1:15" s="193" customFormat="1" outlineLevel="2">
      <c r="A1031" s="155"/>
      <c r="B1031" s="197"/>
      <c r="C1031" s="190"/>
      <c r="D1031" s="191"/>
      <c r="E1031" s="176"/>
      <c r="F1031" s="177"/>
      <c r="G1031" s="192"/>
      <c r="H1031" s="179"/>
      <c r="I1031" s="283" t="e">
        <f>IF(#REF!="",#REF!*#REF!,IF(#REF!=0,#REF!*#REF!,#REF!*#REF!*#REF!))</f>
        <v>#REF!</v>
      </c>
      <c r="J1031" s="180" t="e">
        <f>#REF!*#REF!</f>
        <v>#REF!</v>
      </c>
      <c r="K1031" s="178" t="e">
        <f>#REF!*mo</f>
        <v>#REF!</v>
      </c>
      <c r="L1031" s="178" t="e">
        <f t="shared" si="134"/>
        <v>#REF!</v>
      </c>
      <c r="M1031" s="178" t="e">
        <f>#REF!*#REF!</f>
        <v>#REF!</v>
      </c>
      <c r="N1031" s="178" t="e">
        <f>#REF!+K1031+#REF!</f>
        <v>#REF!</v>
      </c>
      <c r="O1031" s="181" t="e">
        <f t="shared" si="131"/>
        <v>#REF!</v>
      </c>
    </row>
    <row r="1032" spans="1:15" s="193" customFormat="1" outlineLevel="2">
      <c r="A1032" s="155"/>
      <c r="B1032" s="156" t="s">
        <v>884</v>
      </c>
      <c r="C1032" s="190"/>
      <c r="D1032" s="191"/>
      <c r="E1032" s="176"/>
      <c r="F1032" s="177"/>
      <c r="G1032" s="192"/>
      <c r="H1032" s="179"/>
      <c r="I1032" s="283" t="e">
        <f>IF(#REF!="",#REF!*#REF!,IF(#REF!=0,#REF!*#REF!,#REF!*#REF!*#REF!))</f>
        <v>#REF!</v>
      </c>
      <c r="J1032" s="180" t="e">
        <f>#REF!*#REF!</f>
        <v>#REF!</v>
      </c>
      <c r="K1032" s="178" t="e">
        <f>#REF!*mo</f>
        <v>#REF!</v>
      </c>
      <c r="L1032" s="178" t="e">
        <f t="shared" si="134"/>
        <v>#REF!</v>
      </c>
      <c r="M1032" s="178" t="e">
        <f>#REF!*#REF!</f>
        <v>#REF!</v>
      </c>
      <c r="N1032" s="178" t="e">
        <f>#REF!+K1032+#REF!</f>
        <v>#REF!</v>
      </c>
      <c r="O1032" s="181" t="e">
        <f t="shared" si="131"/>
        <v>#REF!</v>
      </c>
    </row>
    <row r="1033" spans="1:15" s="193" customFormat="1" outlineLevel="2">
      <c r="A1033" s="155"/>
      <c r="B1033" s="197" t="s">
        <v>868</v>
      </c>
      <c r="C1033" s="190" t="s">
        <v>123</v>
      </c>
      <c r="D1033" s="191"/>
      <c r="E1033" s="176"/>
      <c r="F1033" s="177"/>
      <c r="G1033" s="192"/>
      <c r="H1033" s="179"/>
      <c r="I1033" s="283" t="e">
        <f>IF(#REF!="",#REF!*#REF!,IF(#REF!=0,#REF!*#REF!,#REF!*#REF!*#REF!))</f>
        <v>#REF!</v>
      </c>
      <c r="J1033" s="180" t="e">
        <f>#REF!*#REF!</f>
        <v>#REF!</v>
      </c>
      <c r="K1033" s="178" t="e">
        <f>#REF!*mo</f>
        <v>#REF!</v>
      </c>
      <c r="L1033" s="178" t="e">
        <f t="shared" si="134"/>
        <v>#REF!</v>
      </c>
      <c r="M1033" s="178" t="e">
        <f>#REF!*#REF!</f>
        <v>#REF!</v>
      </c>
      <c r="N1033" s="178" t="e">
        <f>#REF!+K1033+#REF!</f>
        <v>#REF!</v>
      </c>
      <c r="O1033" s="181" t="e">
        <f t="shared" si="131"/>
        <v>#REF!</v>
      </c>
    </row>
    <row r="1034" spans="1:15" s="193" customFormat="1" outlineLevel="2">
      <c r="A1034" s="155"/>
      <c r="B1034" s="197" t="s">
        <v>869</v>
      </c>
      <c r="C1034" s="190" t="s">
        <v>123</v>
      </c>
      <c r="D1034" s="191"/>
      <c r="E1034" s="176"/>
      <c r="F1034" s="177"/>
      <c r="G1034" s="192"/>
      <c r="H1034" s="179"/>
      <c r="I1034" s="283" t="e">
        <f>IF(#REF!="",#REF!*#REF!,IF(#REF!=0,#REF!*#REF!,#REF!*#REF!*#REF!))</f>
        <v>#REF!</v>
      </c>
      <c r="J1034" s="180" t="e">
        <f>#REF!*#REF!</f>
        <v>#REF!</v>
      </c>
      <c r="K1034" s="178" t="e">
        <f>#REF!*mo</f>
        <v>#REF!</v>
      </c>
      <c r="L1034" s="178" t="e">
        <f t="shared" si="134"/>
        <v>#REF!</v>
      </c>
      <c r="M1034" s="178" t="e">
        <f>#REF!*#REF!</f>
        <v>#REF!</v>
      </c>
      <c r="N1034" s="178" t="e">
        <f>#REF!+K1034+#REF!</f>
        <v>#REF!</v>
      </c>
      <c r="O1034" s="181" t="e">
        <f t="shared" si="131"/>
        <v>#REF!</v>
      </c>
    </row>
    <row r="1035" spans="1:15" s="193" customFormat="1" outlineLevel="2">
      <c r="A1035" s="155"/>
      <c r="B1035" s="197" t="s">
        <v>870</v>
      </c>
      <c r="C1035" s="190" t="s">
        <v>123</v>
      </c>
      <c r="D1035" s="191"/>
      <c r="E1035" s="176"/>
      <c r="F1035" s="177"/>
      <c r="G1035" s="192"/>
      <c r="H1035" s="179"/>
      <c r="I1035" s="283" t="e">
        <f>IF(#REF!="",#REF!*#REF!,IF(#REF!=0,#REF!*#REF!,#REF!*#REF!*#REF!))</f>
        <v>#REF!</v>
      </c>
      <c r="J1035" s="180" t="e">
        <f>#REF!*#REF!</f>
        <v>#REF!</v>
      </c>
      <c r="K1035" s="178" t="e">
        <f>#REF!*mo</f>
        <v>#REF!</v>
      </c>
      <c r="L1035" s="178" t="e">
        <f t="shared" ref="L1035" si="135">J1035*mo</f>
        <v>#REF!</v>
      </c>
      <c r="M1035" s="178" t="e">
        <f>#REF!*#REF!</f>
        <v>#REF!</v>
      </c>
      <c r="N1035" s="178" t="e">
        <f>#REF!+K1035+#REF!</f>
        <v>#REF!</v>
      </c>
      <c r="O1035" s="181" t="e">
        <f t="shared" si="131"/>
        <v>#REF!</v>
      </c>
    </row>
    <row r="1036" spans="1:15" s="193" customFormat="1" outlineLevel="2">
      <c r="A1036" s="155"/>
      <c r="B1036" s="197" t="s">
        <v>871</v>
      </c>
      <c r="C1036" s="190" t="s">
        <v>123</v>
      </c>
      <c r="D1036" s="191"/>
      <c r="E1036" s="176"/>
      <c r="F1036" s="177"/>
      <c r="G1036" s="192"/>
      <c r="H1036" s="179"/>
      <c r="I1036" s="283" t="e">
        <f>IF(#REF!="",#REF!*#REF!,IF(#REF!=0,#REF!*#REF!,#REF!*#REF!*#REF!))</f>
        <v>#REF!</v>
      </c>
      <c r="J1036" s="180" t="e">
        <f>#REF!*#REF!</f>
        <v>#REF!</v>
      </c>
      <c r="K1036" s="178" t="e">
        <f>#REF!*mo</f>
        <v>#REF!</v>
      </c>
      <c r="L1036" s="178" t="e">
        <f t="shared" si="134"/>
        <v>#REF!</v>
      </c>
      <c r="M1036" s="178" t="e">
        <f>#REF!*#REF!</f>
        <v>#REF!</v>
      </c>
      <c r="N1036" s="178" t="e">
        <f>#REF!+K1036+#REF!</f>
        <v>#REF!</v>
      </c>
      <c r="O1036" s="181" t="e">
        <f t="shared" si="131"/>
        <v>#REF!</v>
      </c>
    </row>
    <row r="1037" spans="1:15" s="193" customFormat="1" outlineLevel="2">
      <c r="A1037" s="155"/>
      <c r="B1037" s="197" t="s">
        <v>872</v>
      </c>
      <c r="C1037" s="190" t="s">
        <v>123</v>
      </c>
      <c r="D1037" s="191"/>
      <c r="E1037" s="176"/>
      <c r="F1037" s="177"/>
      <c r="G1037" s="192"/>
      <c r="H1037" s="179"/>
      <c r="I1037" s="283" t="e">
        <f>IF(#REF!="",#REF!*#REF!,IF(#REF!=0,#REF!*#REF!,#REF!*#REF!*#REF!))</f>
        <v>#REF!</v>
      </c>
      <c r="J1037" s="180" t="e">
        <f>#REF!*#REF!</f>
        <v>#REF!</v>
      </c>
      <c r="K1037" s="178" t="e">
        <f>#REF!*mo</f>
        <v>#REF!</v>
      </c>
      <c r="L1037" s="178" t="e">
        <f t="shared" si="134"/>
        <v>#REF!</v>
      </c>
      <c r="M1037" s="178" t="e">
        <f>#REF!*#REF!</f>
        <v>#REF!</v>
      </c>
      <c r="N1037" s="178" t="e">
        <f>#REF!+K1037+#REF!</f>
        <v>#REF!</v>
      </c>
      <c r="O1037" s="181" t="e">
        <f t="shared" si="131"/>
        <v>#REF!</v>
      </c>
    </row>
    <row r="1038" spans="1:15" s="193" customFormat="1" outlineLevel="2">
      <c r="A1038" s="155"/>
      <c r="B1038" s="197" t="s">
        <v>873</v>
      </c>
      <c r="C1038" s="190" t="s">
        <v>123</v>
      </c>
      <c r="D1038" s="191"/>
      <c r="E1038" s="176"/>
      <c r="F1038" s="177"/>
      <c r="G1038" s="192"/>
      <c r="H1038" s="179"/>
      <c r="I1038" s="283" t="e">
        <f>IF(#REF!="",#REF!*#REF!,IF(#REF!=0,#REF!*#REF!,#REF!*#REF!*#REF!))</f>
        <v>#REF!</v>
      </c>
      <c r="J1038" s="180" t="e">
        <f>#REF!*#REF!</f>
        <v>#REF!</v>
      </c>
      <c r="K1038" s="178" t="e">
        <f>#REF!*mo</f>
        <v>#REF!</v>
      </c>
      <c r="L1038" s="178" t="e">
        <f t="shared" si="134"/>
        <v>#REF!</v>
      </c>
      <c r="M1038" s="178" t="e">
        <f>#REF!*#REF!</f>
        <v>#REF!</v>
      </c>
      <c r="N1038" s="178" t="e">
        <f>#REF!+K1038+#REF!</f>
        <v>#REF!</v>
      </c>
      <c r="O1038" s="181" t="e">
        <f t="shared" si="131"/>
        <v>#REF!</v>
      </c>
    </row>
    <row r="1039" spans="1:15" s="193" customFormat="1" outlineLevel="2">
      <c r="A1039" s="155"/>
      <c r="B1039" s="197" t="s">
        <v>874</v>
      </c>
      <c r="C1039" s="190" t="s">
        <v>123</v>
      </c>
      <c r="D1039" s="191"/>
      <c r="E1039" s="176"/>
      <c r="F1039" s="177"/>
      <c r="G1039" s="192"/>
      <c r="H1039" s="179"/>
      <c r="I1039" s="283" t="e">
        <f>IF(#REF!="",#REF!*#REF!,IF(#REF!=0,#REF!*#REF!,#REF!*#REF!*#REF!))</f>
        <v>#REF!</v>
      </c>
      <c r="J1039" s="180" t="e">
        <f>#REF!*#REF!</f>
        <v>#REF!</v>
      </c>
      <c r="K1039" s="178" t="e">
        <f>#REF!*mo</f>
        <v>#REF!</v>
      </c>
      <c r="L1039" s="178" t="e">
        <f t="shared" si="134"/>
        <v>#REF!</v>
      </c>
      <c r="M1039" s="178" t="e">
        <f>#REF!*#REF!</f>
        <v>#REF!</v>
      </c>
      <c r="N1039" s="178" t="e">
        <f>#REF!+K1039+#REF!</f>
        <v>#REF!</v>
      </c>
      <c r="O1039" s="181" t="e">
        <f t="shared" si="131"/>
        <v>#REF!</v>
      </c>
    </row>
    <row r="1040" spans="1:15" s="193" customFormat="1" outlineLevel="2">
      <c r="A1040" s="155"/>
      <c r="B1040" s="197" t="s">
        <v>875</v>
      </c>
      <c r="C1040" s="190" t="s">
        <v>123</v>
      </c>
      <c r="D1040" s="191"/>
      <c r="E1040" s="176"/>
      <c r="F1040" s="177"/>
      <c r="G1040" s="192"/>
      <c r="H1040" s="179"/>
      <c r="I1040" s="283" t="e">
        <f>IF(#REF!="",#REF!*#REF!,IF(#REF!=0,#REF!*#REF!,#REF!*#REF!*#REF!))</f>
        <v>#REF!</v>
      </c>
      <c r="J1040" s="180" t="e">
        <f>#REF!*#REF!</f>
        <v>#REF!</v>
      </c>
      <c r="K1040" s="178" t="e">
        <f>#REF!*mo</f>
        <v>#REF!</v>
      </c>
      <c r="L1040" s="178" t="e">
        <f t="shared" si="134"/>
        <v>#REF!</v>
      </c>
      <c r="M1040" s="178" t="e">
        <f>#REF!*#REF!</f>
        <v>#REF!</v>
      </c>
      <c r="N1040" s="178" t="e">
        <f>#REF!+K1040+#REF!</f>
        <v>#REF!</v>
      </c>
      <c r="O1040" s="181" t="e">
        <f t="shared" si="131"/>
        <v>#REF!</v>
      </c>
    </row>
    <row r="1041" spans="1:15" s="193" customFormat="1" outlineLevel="2">
      <c r="A1041" s="155"/>
      <c r="B1041" s="197" t="s">
        <v>876</v>
      </c>
      <c r="C1041" s="190" t="s">
        <v>123</v>
      </c>
      <c r="D1041" s="191"/>
      <c r="E1041" s="176"/>
      <c r="F1041" s="177"/>
      <c r="G1041" s="192"/>
      <c r="H1041" s="179"/>
      <c r="I1041" s="283" t="e">
        <f>IF(#REF!="",#REF!*#REF!,IF(#REF!=0,#REF!*#REF!,#REF!*#REF!*#REF!))</f>
        <v>#REF!</v>
      </c>
      <c r="J1041" s="180" t="e">
        <f>#REF!*#REF!</f>
        <v>#REF!</v>
      </c>
      <c r="K1041" s="178" t="e">
        <f>#REF!*mo</f>
        <v>#REF!</v>
      </c>
      <c r="L1041" s="178" t="e">
        <f t="shared" si="134"/>
        <v>#REF!</v>
      </c>
      <c r="M1041" s="178" t="e">
        <f>#REF!*#REF!</f>
        <v>#REF!</v>
      </c>
      <c r="N1041" s="178" t="e">
        <f>#REF!+K1041+#REF!</f>
        <v>#REF!</v>
      </c>
      <c r="O1041" s="181" t="e">
        <f t="shared" ref="O1041:O1105" si="136">M1041+L1041+I1041</f>
        <v>#REF!</v>
      </c>
    </row>
    <row r="1042" spans="1:15" s="193" customFormat="1" outlineLevel="2">
      <c r="A1042" s="155"/>
      <c r="B1042" s="197" t="s">
        <v>877</v>
      </c>
      <c r="C1042" s="190" t="s">
        <v>123</v>
      </c>
      <c r="D1042" s="191"/>
      <c r="E1042" s="176"/>
      <c r="F1042" s="177"/>
      <c r="G1042" s="192"/>
      <c r="H1042" s="179"/>
      <c r="I1042" s="283" t="e">
        <f>IF(#REF!="",#REF!*#REF!,IF(#REF!=0,#REF!*#REF!,#REF!*#REF!*#REF!))</f>
        <v>#REF!</v>
      </c>
      <c r="J1042" s="180" t="e">
        <f>#REF!*#REF!</f>
        <v>#REF!</v>
      </c>
      <c r="K1042" s="178" t="e">
        <f>#REF!*mo</f>
        <v>#REF!</v>
      </c>
      <c r="L1042" s="178" t="e">
        <f t="shared" si="134"/>
        <v>#REF!</v>
      </c>
      <c r="M1042" s="178" t="e">
        <f>#REF!*#REF!</f>
        <v>#REF!</v>
      </c>
      <c r="N1042" s="178" t="e">
        <f>#REF!+K1042+#REF!</f>
        <v>#REF!</v>
      </c>
      <c r="O1042" s="181" t="e">
        <f t="shared" si="136"/>
        <v>#REF!</v>
      </c>
    </row>
    <row r="1043" spans="1:15" s="193" customFormat="1" outlineLevel="2">
      <c r="A1043" s="155"/>
      <c r="B1043" s="197" t="s">
        <v>878</v>
      </c>
      <c r="C1043" s="190" t="s">
        <v>123</v>
      </c>
      <c r="D1043" s="191"/>
      <c r="E1043" s="176"/>
      <c r="F1043" s="177"/>
      <c r="G1043" s="192"/>
      <c r="H1043" s="179"/>
      <c r="I1043" s="283" t="e">
        <f>IF(#REF!="",#REF!*#REF!,IF(#REF!=0,#REF!*#REF!,#REF!*#REF!*#REF!))</f>
        <v>#REF!</v>
      </c>
      <c r="J1043" s="180" t="e">
        <f>#REF!*#REF!</f>
        <v>#REF!</v>
      </c>
      <c r="K1043" s="178" t="e">
        <f>#REF!*mo</f>
        <v>#REF!</v>
      </c>
      <c r="L1043" s="178" t="e">
        <f t="shared" si="134"/>
        <v>#REF!</v>
      </c>
      <c r="M1043" s="178" t="e">
        <f>#REF!*#REF!</f>
        <v>#REF!</v>
      </c>
      <c r="N1043" s="178" t="e">
        <f>#REF!+K1043+#REF!</f>
        <v>#REF!</v>
      </c>
      <c r="O1043" s="181" t="e">
        <f t="shared" si="136"/>
        <v>#REF!</v>
      </c>
    </row>
    <row r="1044" spans="1:15" s="193" customFormat="1" outlineLevel="2">
      <c r="A1044" s="155"/>
      <c r="B1044" s="197" t="s">
        <v>879</v>
      </c>
      <c r="C1044" s="190" t="s">
        <v>123</v>
      </c>
      <c r="D1044" s="191"/>
      <c r="E1044" s="176"/>
      <c r="F1044" s="177"/>
      <c r="G1044" s="192"/>
      <c r="H1044" s="179"/>
      <c r="I1044" s="283" t="e">
        <f>IF(#REF!="",#REF!*#REF!,IF(#REF!=0,#REF!*#REF!,#REF!*#REF!*#REF!))</f>
        <v>#REF!</v>
      </c>
      <c r="J1044" s="180" t="e">
        <f>#REF!*#REF!</f>
        <v>#REF!</v>
      </c>
      <c r="K1044" s="178" t="e">
        <f>#REF!*mo</f>
        <v>#REF!</v>
      </c>
      <c r="L1044" s="178" t="e">
        <f t="shared" si="134"/>
        <v>#REF!</v>
      </c>
      <c r="M1044" s="178" t="e">
        <f>#REF!*#REF!</f>
        <v>#REF!</v>
      </c>
      <c r="N1044" s="178" t="e">
        <f>#REF!+K1044+#REF!</f>
        <v>#REF!</v>
      </c>
      <c r="O1044" s="181" t="e">
        <f t="shared" si="136"/>
        <v>#REF!</v>
      </c>
    </row>
    <row r="1045" spans="1:15" s="193" customFormat="1" outlineLevel="2">
      <c r="A1045" s="155"/>
      <c r="B1045" s="197"/>
      <c r="C1045" s="190"/>
      <c r="D1045" s="191"/>
      <c r="E1045" s="176"/>
      <c r="F1045" s="177"/>
      <c r="G1045" s="192"/>
      <c r="H1045" s="179"/>
      <c r="I1045" s="283" t="e">
        <f>IF(#REF!="",#REF!*#REF!,IF(#REF!=0,#REF!*#REF!,#REF!*#REF!*#REF!))</f>
        <v>#REF!</v>
      </c>
      <c r="J1045" s="180" t="e">
        <f>#REF!*#REF!</f>
        <v>#REF!</v>
      </c>
      <c r="K1045" s="178" t="e">
        <f>#REF!*mo</f>
        <v>#REF!</v>
      </c>
      <c r="L1045" s="178" t="e">
        <f t="shared" si="134"/>
        <v>#REF!</v>
      </c>
      <c r="M1045" s="178" t="e">
        <f>#REF!*#REF!</f>
        <v>#REF!</v>
      </c>
      <c r="N1045" s="178" t="e">
        <f>#REF!+K1045+#REF!</f>
        <v>#REF!</v>
      </c>
      <c r="O1045" s="181" t="e">
        <f t="shared" si="136"/>
        <v>#REF!</v>
      </c>
    </row>
    <row r="1046" spans="1:15" s="193" customFormat="1" outlineLevel="2">
      <c r="A1046" s="155"/>
      <c r="B1046" s="156"/>
      <c r="C1046" s="190"/>
      <c r="D1046" s="191"/>
      <c r="E1046" s="176"/>
      <c r="F1046" s="177"/>
      <c r="G1046" s="192"/>
      <c r="H1046" s="179"/>
      <c r="I1046" s="283" t="e">
        <f>IF(#REF!="",#REF!*#REF!,IF(#REF!=0,#REF!*#REF!,#REF!*#REF!*#REF!))</f>
        <v>#REF!</v>
      </c>
      <c r="J1046" s="180" t="e">
        <f>#REF!*#REF!</f>
        <v>#REF!</v>
      </c>
      <c r="K1046" s="178" t="e">
        <f>#REF!*mo</f>
        <v>#REF!</v>
      </c>
      <c r="L1046" s="178" t="e">
        <f t="shared" si="132"/>
        <v>#REF!</v>
      </c>
      <c r="M1046" s="178" t="e">
        <f>#REF!*#REF!</f>
        <v>#REF!</v>
      </c>
      <c r="N1046" s="178" t="e">
        <f>#REF!+K1046+#REF!</f>
        <v>#REF!</v>
      </c>
      <c r="O1046" s="181" t="e">
        <f t="shared" si="136"/>
        <v>#REF!</v>
      </c>
    </row>
    <row r="1047" spans="1:15" s="193" customFormat="1" outlineLevel="1">
      <c r="A1047" s="157" t="str">
        <f>$A$92&amp;".2"</f>
        <v>.2</v>
      </c>
      <c r="B1047" s="158" t="s">
        <v>885</v>
      </c>
      <c r="C1047" s="190"/>
      <c r="D1047" s="191"/>
      <c r="E1047" s="176"/>
      <c r="F1047" s="177"/>
      <c r="G1047" s="192">
        <f>SUM(F1048:F1055)</f>
        <v>0</v>
      </c>
      <c r="H1047" s="179"/>
      <c r="I1047" s="283" t="e">
        <f>IF(#REF!="",#REF!*#REF!,IF(#REF!=0,#REF!*#REF!,#REF!*#REF!*#REF!))</f>
        <v>#REF!</v>
      </c>
      <c r="J1047" s="180" t="e">
        <f>#REF!*#REF!</f>
        <v>#REF!</v>
      </c>
      <c r="K1047" s="178" t="e">
        <f>#REF!*mo</f>
        <v>#REF!</v>
      </c>
      <c r="L1047" s="178" t="e">
        <f t="shared" si="132"/>
        <v>#REF!</v>
      </c>
      <c r="M1047" s="178" t="e">
        <f>#REF!*#REF!</f>
        <v>#REF!</v>
      </c>
      <c r="N1047" s="178" t="e">
        <f>#REF!+K1047+#REF!</f>
        <v>#REF!</v>
      </c>
      <c r="O1047" s="181" t="e">
        <f t="shared" si="136"/>
        <v>#REF!</v>
      </c>
    </row>
    <row r="1048" spans="1:15" s="193" customFormat="1" outlineLevel="2">
      <c r="A1048" s="155"/>
      <c r="B1048" s="197"/>
      <c r="C1048" s="190"/>
      <c r="D1048" s="191"/>
      <c r="E1048" s="176"/>
      <c r="F1048" s="177"/>
      <c r="G1048" s="192"/>
      <c r="H1048" s="179"/>
      <c r="I1048" s="283" t="e">
        <f>IF(#REF!="",#REF!*#REF!,IF(#REF!=0,#REF!*#REF!,#REF!*#REF!*#REF!))</f>
        <v>#REF!</v>
      </c>
      <c r="J1048" s="180" t="e">
        <f>#REF!*#REF!</f>
        <v>#REF!</v>
      </c>
      <c r="K1048" s="178" t="e">
        <f>#REF!*mo</f>
        <v>#REF!</v>
      </c>
      <c r="L1048" s="178" t="e">
        <f t="shared" si="132"/>
        <v>#REF!</v>
      </c>
      <c r="M1048" s="178" t="e">
        <f>#REF!*#REF!</f>
        <v>#REF!</v>
      </c>
      <c r="N1048" s="178" t="e">
        <f>#REF!+K1048+#REF!</f>
        <v>#REF!</v>
      </c>
      <c r="O1048" s="181" t="e">
        <f t="shared" si="136"/>
        <v>#REF!</v>
      </c>
    </row>
    <row r="1049" spans="1:15" s="193" customFormat="1" outlineLevel="2">
      <c r="A1049" s="155"/>
      <c r="B1049" s="156" t="s">
        <v>886</v>
      </c>
      <c r="C1049" s="190" t="s">
        <v>795</v>
      </c>
      <c r="D1049" s="191"/>
      <c r="E1049" s="176"/>
      <c r="F1049" s="177"/>
      <c r="G1049" s="192"/>
      <c r="H1049" s="179"/>
      <c r="I1049" s="283" t="e">
        <f>IF(#REF!="",#REF!*#REF!,IF(#REF!=0,#REF!*#REF!,#REF!*#REF!*#REF!))</f>
        <v>#REF!</v>
      </c>
      <c r="J1049" s="180" t="e">
        <f>#REF!*#REF!</f>
        <v>#REF!</v>
      </c>
      <c r="K1049" s="178" t="e">
        <f>#REF!*mo</f>
        <v>#REF!</v>
      </c>
      <c r="L1049" s="178" t="e">
        <f>J1049*mo</f>
        <v>#REF!</v>
      </c>
      <c r="M1049" s="178" t="e">
        <f>#REF!*#REF!</f>
        <v>#REF!</v>
      </c>
      <c r="N1049" s="178" t="e">
        <f>#REF!+K1049+#REF!</f>
        <v>#REF!</v>
      </c>
      <c r="O1049" s="181" t="e">
        <f>M1049+L1049+I1049</f>
        <v>#REF!</v>
      </c>
    </row>
    <row r="1050" spans="1:15" s="193" customFormat="1" outlineLevel="2">
      <c r="A1050" s="155"/>
      <c r="B1050" s="156" t="s">
        <v>887</v>
      </c>
      <c r="C1050" s="190" t="s">
        <v>123</v>
      </c>
      <c r="D1050" s="191"/>
      <c r="E1050" s="176"/>
      <c r="F1050" s="177"/>
      <c r="G1050" s="192"/>
      <c r="H1050" s="179"/>
      <c r="I1050" s="283" t="e">
        <f>IF(#REF!="",#REF!*#REF!,IF(#REF!=0,#REF!*#REF!,#REF!*#REF!*#REF!))</f>
        <v>#REF!</v>
      </c>
      <c r="J1050" s="180" t="e">
        <f>#REF!*#REF!</f>
        <v>#REF!</v>
      </c>
      <c r="K1050" s="178" t="e">
        <f>#REF!*mo</f>
        <v>#REF!</v>
      </c>
      <c r="L1050" s="178" t="e">
        <f t="shared" si="132"/>
        <v>#REF!</v>
      </c>
      <c r="M1050" s="178" t="e">
        <f>#REF!*#REF!</f>
        <v>#REF!</v>
      </c>
      <c r="N1050" s="178" t="e">
        <f>#REF!+K1050+#REF!</f>
        <v>#REF!</v>
      </c>
      <c r="O1050" s="181" t="e">
        <f t="shared" si="136"/>
        <v>#REF!</v>
      </c>
    </row>
    <row r="1051" spans="1:15" s="193" customFormat="1" outlineLevel="2">
      <c r="A1051" s="155"/>
      <c r="B1051" s="156"/>
      <c r="C1051" s="190"/>
      <c r="D1051" s="191"/>
      <c r="E1051" s="176"/>
      <c r="F1051" s="177"/>
      <c r="G1051" s="192"/>
      <c r="H1051" s="179"/>
      <c r="I1051" s="283" t="e">
        <f>IF(#REF!="",#REF!*#REF!,IF(#REF!=0,#REF!*#REF!,#REF!*#REF!*#REF!))</f>
        <v>#REF!</v>
      </c>
      <c r="J1051" s="180" t="e">
        <f>#REF!*#REF!</f>
        <v>#REF!</v>
      </c>
      <c r="K1051" s="178" t="e">
        <f>#REF!*mo</f>
        <v>#REF!</v>
      </c>
      <c r="L1051" s="178" t="e">
        <f t="shared" si="132"/>
        <v>#REF!</v>
      </c>
      <c r="M1051" s="178" t="e">
        <f>#REF!*#REF!</f>
        <v>#REF!</v>
      </c>
      <c r="N1051" s="178" t="e">
        <f>#REF!+K1051+#REF!</f>
        <v>#REF!</v>
      </c>
      <c r="O1051" s="181" t="e">
        <f t="shared" si="136"/>
        <v>#REF!</v>
      </c>
    </row>
    <row r="1052" spans="1:15" s="193" customFormat="1" outlineLevel="2">
      <c r="A1052" s="155"/>
      <c r="B1052" s="156" t="s">
        <v>888</v>
      </c>
      <c r="C1052" s="190" t="s">
        <v>123</v>
      </c>
      <c r="D1052" s="191"/>
      <c r="E1052" s="176"/>
      <c r="F1052" s="177"/>
      <c r="G1052" s="192"/>
      <c r="H1052" s="179"/>
      <c r="I1052" s="283" t="e">
        <f>IF(#REF!="",#REF!*#REF!,IF(#REF!=0,#REF!*#REF!,#REF!*#REF!*#REF!))</f>
        <v>#REF!</v>
      </c>
      <c r="J1052" s="180" t="e">
        <f>#REF!*#REF!</f>
        <v>#REF!</v>
      </c>
      <c r="K1052" s="178" t="e">
        <f>#REF!*mo</f>
        <v>#REF!</v>
      </c>
      <c r="L1052" s="178" t="e">
        <f t="shared" si="132"/>
        <v>#REF!</v>
      </c>
      <c r="M1052" s="178" t="e">
        <f>#REF!*#REF!</f>
        <v>#REF!</v>
      </c>
      <c r="N1052" s="178" t="e">
        <f>#REF!+K1052+#REF!</f>
        <v>#REF!</v>
      </c>
      <c r="O1052" s="181" t="e">
        <f t="shared" si="136"/>
        <v>#REF!</v>
      </c>
    </row>
    <row r="1053" spans="1:15" s="193" customFormat="1" outlineLevel="2">
      <c r="A1053" s="155"/>
      <c r="B1053" s="156" t="s">
        <v>889</v>
      </c>
      <c r="C1053" s="190" t="s">
        <v>123</v>
      </c>
      <c r="D1053" s="191"/>
      <c r="E1053" s="176"/>
      <c r="F1053" s="177"/>
      <c r="G1053" s="192"/>
      <c r="H1053" s="179"/>
      <c r="I1053" s="283" t="e">
        <f>IF(#REF!="",#REF!*#REF!,IF(#REF!=0,#REF!*#REF!,#REF!*#REF!*#REF!))</f>
        <v>#REF!</v>
      </c>
      <c r="J1053" s="180" t="e">
        <f>#REF!*#REF!</f>
        <v>#REF!</v>
      </c>
      <c r="K1053" s="178" t="e">
        <f>#REF!*mo</f>
        <v>#REF!</v>
      </c>
      <c r="L1053" s="178" t="e">
        <f t="shared" si="132"/>
        <v>#REF!</v>
      </c>
      <c r="M1053" s="178" t="e">
        <f>#REF!*#REF!</f>
        <v>#REF!</v>
      </c>
      <c r="N1053" s="178" t="e">
        <f>#REF!+K1053+#REF!</f>
        <v>#REF!</v>
      </c>
      <c r="O1053" s="181" t="e">
        <f t="shared" si="136"/>
        <v>#REF!</v>
      </c>
    </row>
    <row r="1054" spans="1:15" s="193" customFormat="1" outlineLevel="2">
      <c r="A1054" s="155"/>
      <c r="B1054" s="156" t="s">
        <v>890</v>
      </c>
      <c r="C1054" s="190" t="s">
        <v>123</v>
      </c>
      <c r="D1054" s="191"/>
      <c r="E1054" s="176"/>
      <c r="F1054" s="177"/>
      <c r="G1054" s="192"/>
      <c r="H1054" s="179"/>
      <c r="I1054" s="283" t="e">
        <f>IF(#REF!="",#REF!*#REF!,IF(#REF!=0,#REF!*#REF!,#REF!*#REF!*#REF!))</f>
        <v>#REF!</v>
      </c>
      <c r="J1054" s="180" t="e">
        <f>#REF!*#REF!</f>
        <v>#REF!</v>
      </c>
      <c r="K1054" s="178" t="e">
        <f>#REF!*mo</f>
        <v>#REF!</v>
      </c>
      <c r="L1054" s="178" t="e">
        <f t="shared" si="132"/>
        <v>#REF!</v>
      </c>
      <c r="M1054" s="178" t="e">
        <f>#REF!*#REF!</f>
        <v>#REF!</v>
      </c>
      <c r="N1054" s="178" t="e">
        <f>#REF!+K1054+#REF!</f>
        <v>#REF!</v>
      </c>
      <c r="O1054" s="181" t="e">
        <f t="shared" si="136"/>
        <v>#REF!</v>
      </c>
    </row>
    <row r="1055" spans="1:15" s="193" customFormat="1" outlineLevel="2">
      <c r="A1055" s="155"/>
      <c r="B1055" s="156"/>
      <c r="C1055" s="190"/>
      <c r="D1055" s="191"/>
      <c r="E1055" s="176"/>
      <c r="F1055" s="177"/>
      <c r="G1055" s="192"/>
      <c r="H1055" s="179"/>
      <c r="I1055" s="283" t="e">
        <f>IF(#REF!="",#REF!*#REF!,IF(#REF!=0,#REF!*#REF!,#REF!*#REF!*#REF!))</f>
        <v>#REF!</v>
      </c>
      <c r="J1055" s="180" t="e">
        <f>#REF!*#REF!</f>
        <v>#REF!</v>
      </c>
      <c r="K1055" s="178" t="e">
        <f>#REF!*mo</f>
        <v>#REF!</v>
      </c>
      <c r="L1055" s="178" t="e">
        <f t="shared" si="132"/>
        <v>#REF!</v>
      </c>
      <c r="M1055" s="178" t="e">
        <f>#REF!*#REF!</f>
        <v>#REF!</v>
      </c>
      <c r="N1055" s="178" t="e">
        <f>#REF!+K1055+#REF!</f>
        <v>#REF!</v>
      </c>
      <c r="O1055" s="181" t="e">
        <f t="shared" si="136"/>
        <v>#REF!</v>
      </c>
    </row>
    <row r="1056" spans="1:15" s="209" customFormat="1" outlineLevel="1">
      <c r="A1056" s="157" t="str">
        <f>$A$92&amp;".3"</f>
        <v>.3</v>
      </c>
      <c r="B1056" s="158" t="s">
        <v>891</v>
      </c>
      <c r="C1056" s="195"/>
      <c r="D1056" s="170"/>
      <c r="E1056" s="176"/>
      <c r="F1056" s="177"/>
      <c r="G1056" s="192">
        <f>SUM(F1057:F1098)</f>
        <v>0</v>
      </c>
      <c r="H1056" s="179"/>
      <c r="I1056" s="283" t="e">
        <f>IF(#REF!="",#REF!*#REF!,IF(#REF!=0,#REF!*#REF!,#REF!*#REF!*#REF!))</f>
        <v>#REF!</v>
      </c>
      <c r="J1056" s="180" t="e">
        <f>#REF!*#REF!</f>
        <v>#REF!</v>
      </c>
      <c r="K1056" s="178" t="e">
        <f>#REF!*mo</f>
        <v>#REF!</v>
      </c>
      <c r="L1056" s="178" t="e">
        <f t="shared" ref="L1056:L1104" si="137">J1056*mo</f>
        <v>#REF!</v>
      </c>
      <c r="M1056" s="178" t="e">
        <f>#REF!*#REF!</f>
        <v>#REF!</v>
      </c>
      <c r="N1056" s="178" t="e">
        <f>#REF!+K1056+#REF!</f>
        <v>#REF!</v>
      </c>
      <c r="O1056" s="181" t="e">
        <f t="shared" si="136"/>
        <v>#REF!</v>
      </c>
    </row>
    <row r="1057" spans="1:15" s="193" customFormat="1" outlineLevel="2">
      <c r="A1057" s="155"/>
      <c r="B1057" s="156"/>
      <c r="C1057" s="190"/>
      <c r="D1057" s="191"/>
      <c r="E1057" s="176"/>
      <c r="F1057" s="177"/>
      <c r="G1057" s="192"/>
      <c r="H1057" s="179"/>
      <c r="I1057" s="283" t="e">
        <f>IF(#REF!="",#REF!*#REF!,IF(#REF!=0,#REF!*#REF!,#REF!*#REF!*#REF!))</f>
        <v>#REF!</v>
      </c>
      <c r="J1057" s="180" t="e">
        <f>#REF!*#REF!</f>
        <v>#REF!</v>
      </c>
      <c r="K1057" s="178" t="e">
        <f>#REF!*mo</f>
        <v>#REF!</v>
      </c>
      <c r="L1057" s="178" t="e">
        <f t="shared" si="137"/>
        <v>#REF!</v>
      </c>
      <c r="M1057" s="178" t="e">
        <f>#REF!*#REF!</f>
        <v>#REF!</v>
      </c>
      <c r="N1057" s="178" t="e">
        <f>#REF!+K1057+#REF!</f>
        <v>#REF!</v>
      </c>
      <c r="O1057" s="181" t="e">
        <f t="shared" si="136"/>
        <v>#REF!</v>
      </c>
    </row>
    <row r="1058" spans="1:15" s="193" customFormat="1" outlineLevel="2">
      <c r="A1058" s="155"/>
      <c r="B1058" s="156" t="s">
        <v>892</v>
      </c>
      <c r="C1058" s="190"/>
      <c r="D1058" s="191"/>
      <c r="E1058" s="176"/>
      <c r="F1058" s="177"/>
      <c r="G1058" s="192"/>
      <c r="H1058" s="179"/>
      <c r="I1058" s="283" t="e">
        <f>IF(#REF!="",#REF!*#REF!,IF(#REF!=0,#REF!*#REF!,#REF!*#REF!*#REF!))</f>
        <v>#REF!</v>
      </c>
      <c r="J1058" s="180" t="e">
        <f>#REF!*#REF!</f>
        <v>#REF!</v>
      </c>
      <c r="K1058" s="178" t="e">
        <f>#REF!*mo</f>
        <v>#REF!</v>
      </c>
      <c r="L1058" s="178" t="e">
        <f t="shared" si="137"/>
        <v>#REF!</v>
      </c>
      <c r="M1058" s="178" t="e">
        <f>#REF!*#REF!</f>
        <v>#REF!</v>
      </c>
      <c r="N1058" s="178" t="e">
        <f>#REF!+K1058+#REF!</f>
        <v>#REF!</v>
      </c>
      <c r="O1058" s="181" t="e">
        <f t="shared" si="136"/>
        <v>#REF!</v>
      </c>
    </row>
    <row r="1059" spans="1:15" s="193" customFormat="1" outlineLevel="2">
      <c r="A1059" s="155"/>
      <c r="B1059" s="197" t="s">
        <v>868</v>
      </c>
      <c r="C1059" s="190" t="s">
        <v>93</v>
      </c>
      <c r="D1059" s="191"/>
      <c r="E1059" s="176"/>
      <c r="F1059" s="177"/>
      <c r="G1059" s="192"/>
      <c r="H1059" s="179"/>
      <c r="I1059" s="283" t="e">
        <f>IF(#REF!="",#REF!*#REF!,IF(#REF!=0,#REF!*#REF!,#REF!*#REF!*#REF!))</f>
        <v>#REF!</v>
      </c>
      <c r="J1059" s="180" t="e">
        <f>#REF!*#REF!</f>
        <v>#REF!</v>
      </c>
      <c r="K1059" s="178" t="e">
        <f>#REF!*mo</f>
        <v>#REF!</v>
      </c>
      <c r="L1059" s="178" t="e">
        <f t="shared" si="137"/>
        <v>#REF!</v>
      </c>
      <c r="M1059" s="178" t="e">
        <f>#REF!*#REF!</f>
        <v>#REF!</v>
      </c>
      <c r="N1059" s="178" t="e">
        <f>#REF!+K1059+#REF!</f>
        <v>#REF!</v>
      </c>
      <c r="O1059" s="181" t="e">
        <f t="shared" si="136"/>
        <v>#REF!</v>
      </c>
    </row>
    <row r="1060" spans="1:15" s="193" customFormat="1" outlineLevel="2">
      <c r="A1060" s="155"/>
      <c r="B1060" s="197" t="s">
        <v>869</v>
      </c>
      <c r="C1060" s="190" t="s">
        <v>93</v>
      </c>
      <c r="D1060" s="191"/>
      <c r="E1060" s="176"/>
      <c r="F1060" s="177"/>
      <c r="G1060" s="192"/>
      <c r="H1060" s="179"/>
      <c r="I1060" s="283" t="e">
        <f>IF(#REF!="",#REF!*#REF!,IF(#REF!=0,#REF!*#REF!,#REF!*#REF!*#REF!))</f>
        <v>#REF!</v>
      </c>
      <c r="J1060" s="180" t="e">
        <f>#REF!*#REF!</f>
        <v>#REF!</v>
      </c>
      <c r="K1060" s="178" t="e">
        <f>#REF!*mo</f>
        <v>#REF!</v>
      </c>
      <c r="L1060" s="178" t="e">
        <f t="shared" si="137"/>
        <v>#REF!</v>
      </c>
      <c r="M1060" s="178" t="e">
        <f>#REF!*#REF!</f>
        <v>#REF!</v>
      </c>
      <c r="N1060" s="178" t="e">
        <f>#REF!+K1060+#REF!</f>
        <v>#REF!</v>
      </c>
      <c r="O1060" s="181" t="e">
        <f t="shared" si="136"/>
        <v>#REF!</v>
      </c>
    </row>
    <row r="1061" spans="1:15" s="193" customFormat="1" outlineLevel="2">
      <c r="A1061" s="155"/>
      <c r="B1061" s="197" t="s">
        <v>870</v>
      </c>
      <c r="C1061" s="190" t="s">
        <v>93</v>
      </c>
      <c r="D1061" s="191"/>
      <c r="E1061" s="176"/>
      <c r="F1061" s="177"/>
      <c r="G1061" s="192"/>
      <c r="H1061" s="179"/>
      <c r="I1061" s="283" t="e">
        <f>IF(#REF!="",#REF!*#REF!,IF(#REF!=0,#REF!*#REF!,#REF!*#REF!*#REF!))</f>
        <v>#REF!</v>
      </c>
      <c r="J1061" s="180" t="e">
        <f>#REF!*#REF!</f>
        <v>#REF!</v>
      </c>
      <c r="K1061" s="178" t="e">
        <f>#REF!*mo</f>
        <v>#REF!</v>
      </c>
      <c r="L1061" s="178" t="e">
        <f t="shared" ref="L1061" si="138">J1061*mo</f>
        <v>#REF!</v>
      </c>
      <c r="M1061" s="178" t="e">
        <f>#REF!*#REF!</f>
        <v>#REF!</v>
      </c>
      <c r="N1061" s="178" t="e">
        <f>#REF!+K1061+#REF!</f>
        <v>#REF!</v>
      </c>
      <c r="O1061" s="181" t="e">
        <f t="shared" si="136"/>
        <v>#REF!</v>
      </c>
    </row>
    <row r="1062" spans="1:15" s="193" customFormat="1" outlineLevel="2">
      <c r="A1062" s="155"/>
      <c r="B1062" s="197" t="s">
        <v>871</v>
      </c>
      <c r="C1062" s="190" t="s">
        <v>93</v>
      </c>
      <c r="D1062" s="191"/>
      <c r="E1062" s="176"/>
      <c r="F1062" s="177"/>
      <c r="G1062" s="192"/>
      <c r="H1062" s="179"/>
      <c r="I1062" s="283" t="e">
        <f>IF(#REF!="",#REF!*#REF!,IF(#REF!=0,#REF!*#REF!,#REF!*#REF!*#REF!))</f>
        <v>#REF!</v>
      </c>
      <c r="J1062" s="180" t="e">
        <f>#REF!*#REF!</f>
        <v>#REF!</v>
      </c>
      <c r="K1062" s="178" t="e">
        <f>#REF!*mo</f>
        <v>#REF!</v>
      </c>
      <c r="L1062" s="178" t="e">
        <f t="shared" si="137"/>
        <v>#REF!</v>
      </c>
      <c r="M1062" s="178" t="e">
        <f>#REF!*#REF!</f>
        <v>#REF!</v>
      </c>
      <c r="N1062" s="178" t="e">
        <f>#REF!+K1062+#REF!</f>
        <v>#REF!</v>
      </c>
      <c r="O1062" s="181" t="e">
        <f t="shared" si="136"/>
        <v>#REF!</v>
      </c>
    </row>
    <row r="1063" spans="1:15" s="193" customFormat="1" outlineLevel="2">
      <c r="A1063" s="155"/>
      <c r="B1063" s="197" t="s">
        <v>872</v>
      </c>
      <c r="C1063" s="190" t="s">
        <v>93</v>
      </c>
      <c r="D1063" s="191"/>
      <c r="E1063" s="176"/>
      <c r="F1063" s="177"/>
      <c r="G1063" s="192"/>
      <c r="H1063" s="179"/>
      <c r="I1063" s="283" t="e">
        <f>IF(#REF!="",#REF!*#REF!,IF(#REF!=0,#REF!*#REF!,#REF!*#REF!*#REF!))</f>
        <v>#REF!</v>
      </c>
      <c r="J1063" s="180" t="e">
        <f>#REF!*#REF!</f>
        <v>#REF!</v>
      </c>
      <c r="K1063" s="178" t="e">
        <f>#REF!*mo</f>
        <v>#REF!</v>
      </c>
      <c r="L1063" s="178" t="e">
        <f t="shared" si="137"/>
        <v>#REF!</v>
      </c>
      <c r="M1063" s="178" t="e">
        <f>#REF!*#REF!</f>
        <v>#REF!</v>
      </c>
      <c r="N1063" s="178" t="e">
        <f>#REF!+K1063+#REF!</f>
        <v>#REF!</v>
      </c>
      <c r="O1063" s="181" t="e">
        <f t="shared" si="136"/>
        <v>#REF!</v>
      </c>
    </row>
    <row r="1064" spans="1:15" s="193" customFormat="1" outlineLevel="2">
      <c r="A1064" s="155"/>
      <c r="B1064" s="197" t="s">
        <v>873</v>
      </c>
      <c r="C1064" s="190" t="s">
        <v>93</v>
      </c>
      <c r="D1064" s="191"/>
      <c r="E1064" s="176"/>
      <c r="F1064" s="177"/>
      <c r="G1064" s="192"/>
      <c r="H1064" s="179"/>
      <c r="I1064" s="283" t="e">
        <f>IF(#REF!="",#REF!*#REF!,IF(#REF!=0,#REF!*#REF!,#REF!*#REF!*#REF!))</f>
        <v>#REF!</v>
      </c>
      <c r="J1064" s="180" t="e">
        <f>#REF!*#REF!</f>
        <v>#REF!</v>
      </c>
      <c r="K1064" s="178" t="e">
        <f>#REF!*mo</f>
        <v>#REF!</v>
      </c>
      <c r="L1064" s="178" t="e">
        <f t="shared" si="137"/>
        <v>#REF!</v>
      </c>
      <c r="M1064" s="178" t="e">
        <f>#REF!*#REF!</f>
        <v>#REF!</v>
      </c>
      <c r="N1064" s="178" t="e">
        <f>#REF!+K1064+#REF!</f>
        <v>#REF!</v>
      </c>
      <c r="O1064" s="181" t="e">
        <f t="shared" si="136"/>
        <v>#REF!</v>
      </c>
    </row>
    <row r="1065" spans="1:15" s="193" customFormat="1" outlineLevel="2">
      <c r="A1065" s="155"/>
      <c r="B1065" s="197" t="s">
        <v>874</v>
      </c>
      <c r="C1065" s="190" t="s">
        <v>123</v>
      </c>
      <c r="D1065" s="191"/>
      <c r="E1065" s="176"/>
      <c r="F1065" s="177"/>
      <c r="G1065" s="192"/>
      <c r="H1065" s="179"/>
      <c r="I1065" s="283" t="e">
        <f>IF(#REF!="",#REF!*#REF!,IF(#REF!=0,#REF!*#REF!,#REF!*#REF!*#REF!))</f>
        <v>#REF!</v>
      </c>
      <c r="J1065" s="180" t="e">
        <f>#REF!*#REF!</f>
        <v>#REF!</v>
      </c>
      <c r="K1065" s="178" t="e">
        <f>#REF!*mo</f>
        <v>#REF!</v>
      </c>
      <c r="L1065" s="178" t="e">
        <f t="shared" si="137"/>
        <v>#REF!</v>
      </c>
      <c r="M1065" s="178" t="e">
        <f>#REF!*#REF!</f>
        <v>#REF!</v>
      </c>
      <c r="N1065" s="178" t="e">
        <f>#REF!+K1065+#REF!</f>
        <v>#REF!</v>
      </c>
      <c r="O1065" s="181" t="e">
        <f t="shared" si="136"/>
        <v>#REF!</v>
      </c>
    </row>
    <row r="1066" spans="1:15" s="193" customFormat="1" outlineLevel="2">
      <c r="A1066" s="155"/>
      <c r="B1066" s="197" t="s">
        <v>875</v>
      </c>
      <c r="C1066" s="190" t="s">
        <v>123</v>
      </c>
      <c r="D1066" s="191"/>
      <c r="E1066" s="176"/>
      <c r="F1066" s="177"/>
      <c r="G1066" s="192"/>
      <c r="H1066" s="179"/>
      <c r="I1066" s="283" t="e">
        <f>IF(#REF!="",#REF!*#REF!,IF(#REF!=0,#REF!*#REF!,#REF!*#REF!*#REF!))</f>
        <v>#REF!</v>
      </c>
      <c r="J1066" s="180" t="e">
        <f>#REF!*#REF!</f>
        <v>#REF!</v>
      </c>
      <c r="K1066" s="178" t="e">
        <f>#REF!*mo</f>
        <v>#REF!</v>
      </c>
      <c r="L1066" s="178" t="e">
        <f t="shared" si="137"/>
        <v>#REF!</v>
      </c>
      <c r="M1066" s="178" t="e">
        <f>#REF!*#REF!</f>
        <v>#REF!</v>
      </c>
      <c r="N1066" s="178" t="e">
        <f>#REF!+K1066+#REF!</f>
        <v>#REF!</v>
      </c>
      <c r="O1066" s="181" t="e">
        <f t="shared" si="136"/>
        <v>#REF!</v>
      </c>
    </row>
    <row r="1067" spans="1:15" s="193" customFormat="1" outlineLevel="2">
      <c r="A1067" s="155"/>
      <c r="B1067" s="197" t="s">
        <v>876</v>
      </c>
      <c r="C1067" s="190" t="s">
        <v>123</v>
      </c>
      <c r="D1067" s="191"/>
      <c r="E1067" s="176"/>
      <c r="F1067" s="177"/>
      <c r="G1067" s="192"/>
      <c r="H1067" s="179"/>
      <c r="I1067" s="283" t="e">
        <f>IF(#REF!="",#REF!*#REF!,IF(#REF!=0,#REF!*#REF!,#REF!*#REF!*#REF!))</f>
        <v>#REF!</v>
      </c>
      <c r="J1067" s="180" t="e">
        <f>#REF!*#REF!</f>
        <v>#REF!</v>
      </c>
      <c r="K1067" s="178" t="e">
        <f>#REF!*mo</f>
        <v>#REF!</v>
      </c>
      <c r="L1067" s="178" t="e">
        <f t="shared" si="137"/>
        <v>#REF!</v>
      </c>
      <c r="M1067" s="178" t="e">
        <f>#REF!*#REF!</f>
        <v>#REF!</v>
      </c>
      <c r="N1067" s="178" t="e">
        <f>#REF!+K1067+#REF!</f>
        <v>#REF!</v>
      </c>
      <c r="O1067" s="181" t="e">
        <f t="shared" si="136"/>
        <v>#REF!</v>
      </c>
    </row>
    <row r="1068" spans="1:15" s="193" customFormat="1" outlineLevel="2">
      <c r="A1068" s="155"/>
      <c r="B1068" s="197" t="s">
        <v>878</v>
      </c>
      <c r="C1068" s="190" t="s">
        <v>93</v>
      </c>
      <c r="D1068" s="191"/>
      <c r="E1068" s="176"/>
      <c r="F1068" s="177"/>
      <c r="G1068" s="192"/>
      <c r="H1068" s="179"/>
      <c r="I1068" s="283" t="e">
        <f>IF(#REF!="",#REF!*#REF!,IF(#REF!=0,#REF!*#REF!,#REF!*#REF!*#REF!))</f>
        <v>#REF!</v>
      </c>
      <c r="J1068" s="180" t="e">
        <f>#REF!*#REF!</f>
        <v>#REF!</v>
      </c>
      <c r="K1068" s="178" t="e">
        <f>#REF!*mo</f>
        <v>#REF!</v>
      </c>
      <c r="L1068" s="178" t="e">
        <f t="shared" si="137"/>
        <v>#REF!</v>
      </c>
      <c r="M1068" s="178" t="e">
        <f>#REF!*#REF!</f>
        <v>#REF!</v>
      </c>
      <c r="N1068" s="178" t="e">
        <f>#REF!+K1068+#REF!</f>
        <v>#REF!</v>
      </c>
      <c r="O1068" s="181" t="e">
        <f t="shared" si="136"/>
        <v>#REF!</v>
      </c>
    </row>
    <row r="1069" spans="1:15" s="193" customFormat="1" outlineLevel="2">
      <c r="A1069" s="155"/>
      <c r="B1069" s="156"/>
      <c r="C1069" s="190"/>
      <c r="D1069" s="191"/>
      <c r="E1069" s="176"/>
      <c r="F1069" s="177"/>
      <c r="G1069" s="192"/>
      <c r="H1069" s="179"/>
      <c r="I1069" s="283" t="e">
        <f>IF(#REF!="",#REF!*#REF!,IF(#REF!=0,#REF!*#REF!,#REF!*#REF!*#REF!))</f>
        <v>#REF!</v>
      </c>
      <c r="J1069" s="180" t="e">
        <f>#REF!*#REF!</f>
        <v>#REF!</v>
      </c>
      <c r="K1069" s="178" t="e">
        <f>#REF!*mo</f>
        <v>#REF!</v>
      </c>
      <c r="L1069" s="178" t="e">
        <f t="shared" si="137"/>
        <v>#REF!</v>
      </c>
      <c r="M1069" s="178" t="e">
        <f>#REF!*#REF!</f>
        <v>#REF!</v>
      </c>
      <c r="N1069" s="178" t="e">
        <f>#REF!+K1069+#REF!</f>
        <v>#REF!</v>
      </c>
      <c r="O1069" s="181" t="e">
        <f t="shared" si="136"/>
        <v>#REF!</v>
      </c>
    </row>
    <row r="1070" spans="1:15" s="193" customFormat="1" outlineLevel="2">
      <c r="A1070" s="155"/>
      <c r="B1070" s="156" t="s">
        <v>893</v>
      </c>
      <c r="C1070" s="190"/>
      <c r="D1070" s="191"/>
      <c r="E1070" s="176"/>
      <c r="F1070" s="177"/>
      <c r="G1070" s="192"/>
      <c r="H1070" s="179"/>
      <c r="I1070" s="283" t="e">
        <f>IF(#REF!="",#REF!*#REF!,IF(#REF!=0,#REF!*#REF!,#REF!*#REF!*#REF!))</f>
        <v>#REF!</v>
      </c>
      <c r="J1070" s="180" t="e">
        <f>#REF!*#REF!</f>
        <v>#REF!</v>
      </c>
      <c r="K1070" s="178" t="e">
        <f>#REF!*mo</f>
        <v>#REF!</v>
      </c>
      <c r="L1070" s="178" t="e">
        <f t="shared" si="137"/>
        <v>#REF!</v>
      </c>
      <c r="M1070" s="178" t="e">
        <f>#REF!*#REF!</f>
        <v>#REF!</v>
      </c>
      <c r="N1070" s="178" t="e">
        <f>#REF!+K1070+#REF!</f>
        <v>#REF!</v>
      </c>
      <c r="O1070" s="181" t="e">
        <f t="shared" si="136"/>
        <v>#REF!</v>
      </c>
    </row>
    <row r="1071" spans="1:15" s="193" customFormat="1" outlineLevel="2">
      <c r="A1071" s="155"/>
      <c r="B1071" s="197" t="s">
        <v>868</v>
      </c>
      <c r="C1071" s="190" t="s">
        <v>93</v>
      </c>
      <c r="D1071" s="191"/>
      <c r="E1071" s="176"/>
      <c r="F1071" s="177"/>
      <c r="G1071" s="192"/>
      <c r="H1071" s="179"/>
      <c r="I1071" s="283" t="e">
        <f>IF(#REF!="",#REF!*#REF!,IF(#REF!=0,#REF!*#REF!,#REF!*#REF!*#REF!))</f>
        <v>#REF!</v>
      </c>
      <c r="J1071" s="180" t="e">
        <f>#REF!*#REF!</f>
        <v>#REF!</v>
      </c>
      <c r="K1071" s="178" t="e">
        <f>#REF!*mo</f>
        <v>#REF!</v>
      </c>
      <c r="L1071" s="178" t="e">
        <f t="shared" si="137"/>
        <v>#REF!</v>
      </c>
      <c r="M1071" s="178" t="e">
        <f>#REF!*#REF!</f>
        <v>#REF!</v>
      </c>
      <c r="N1071" s="178" t="e">
        <f>#REF!+K1071+#REF!</f>
        <v>#REF!</v>
      </c>
      <c r="O1071" s="181" t="e">
        <f t="shared" si="136"/>
        <v>#REF!</v>
      </c>
    </row>
    <row r="1072" spans="1:15" s="193" customFormat="1" outlineLevel="2">
      <c r="A1072" s="155"/>
      <c r="B1072" s="197" t="s">
        <v>869</v>
      </c>
      <c r="C1072" s="190" t="s">
        <v>93</v>
      </c>
      <c r="D1072" s="191"/>
      <c r="E1072" s="176"/>
      <c r="F1072" s="177"/>
      <c r="G1072" s="192"/>
      <c r="H1072" s="179"/>
      <c r="I1072" s="283" t="e">
        <f>IF(#REF!="",#REF!*#REF!,IF(#REF!=0,#REF!*#REF!,#REF!*#REF!*#REF!))</f>
        <v>#REF!</v>
      </c>
      <c r="J1072" s="180" t="e">
        <f>#REF!*#REF!</f>
        <v>#REF!</v>
      </c>
      <c r="K1072" s="178" t="e">
        <f>#REF!*mo</f>
        <v>#REF!</v>
      </c>
      <c r="L1072" s="178" t="e">
        <f t="shared" si="137"/>
        <v>#REF!</v>
      </c>
      <c r="M1072" s="178" t="e">
        <f>#REF!*#REF!</f>
        <v>#REF!</v>
      </c>
      <c r="N1072" s="178" t="e">
        <f>#REF!+K1072+#REF!</f>
        <v>#REF!</v>
      </c>
      <c r="O1072" s="181" t="e">
        <f t="shared" si="136"/>
        <v>#REF!</v>
      </c>
    </row>
    <row r="1073" spans="1:15" s="193" customFormat="1" outlineLevel="2">
      <c r="A1073" s="155"/>
      <c r="B1073" s="197" t="s">
        <v>870</v>
      </c>
      <c r="C1073" s="190" t="s">
        <v>93</v>
      </c>
      <c r="D1073" s="191"/>
      <c r="E1073" s="176"/>
      <c r="F1073" s="177"/>
      <c r="G1073" s="192"/>
      <c r="H1073" s="179"/>
      <c r="I1073" s="283" t="e">
        <f>IF(#REF!="",#REF!*#REF!,IF(#REF!=0,#REF!*#REF!,#REF!*#REF!*#REF!))</f>
        <v>#REF!</v>
      </c>
      <c r="J1073" s="180" t="e">
        <f>#REF!*#REF!</f>
        <v>#REF!</v>
      </c>
      <c r="K1073" s="178" t="e">
        <f>#REF!*mo</f>
        <v>#REF!</v>
      </c>
      <c r="L1073" s="178" t="e">
        <f t="shared" ref="L1073" si="139">J1073*mo</f>
        <v>#REF!</v>
      </c>
      <c r="M1073" s="178" t="e">
        <f>#REF!*#REF!</f>
        <v>#REF!</v>
      </c>
      <c r="N1073" s="178" t="e">
        <f>#REF!+K1073+#REF!</f>
        <v>#REF!</v>
      </c>
      <c r="O1073" s="181" t="e">
        <f t="shared" si="136"/>
        <v>#REF!</v>
      </c>
    </row>
    <row r="1074" spans="1:15" s="193" customFormat="1" outlineLevel="2">
      <c r="A1074" s="155"/>
      <c r="B1074" s="197" t="s">
        <v>871</v>
      </c>
      <c r="C1074" s="190" t="s">
        <v>93</v>
      </c>
      <c r="D1074" s="191"/>
      <c r="E1074" s="176"/>
      <c r="F1074" s="177"/>
      <c r="G1074" s="192"/>
      <c r="H1074" s="179"/>
      <c r="I1074" s="283" t="e">
        <f>IF(#REF!="",#REF!*#REF!,IF(#REF!=0,#REF!*#REF!,#REF!*#REF!*#REF!))</f>
        <v>#REF!</v>
      </c>
      <c r="J1074" s="180" t="e">
        <f>#REF!*#REF!</f>
        <v>#REF!</v>
      </c>
      <c r="K1074" s="178" t="e">
        <f>#REF!*mo</f>
        <v>#REF!</v>
      </c>
      <c r="L1074" s="178" t="e">
        <f t="shared" si="137"/>
        <v>#REF!</v>
      </c>
      <c r="M1074" s="178" t="e">
        <f>#REF!*#REF!</f>
        <v>#REF!</v>
      </c>
      <c r="N1074" s="178" t="e">
        <f>#REF!+K1074+#REF!</f>
        <v>#REF!</v>
      </c>
      <c r="O1074" s="181" t="e">
        <f t="shared" si="136"/>
        <v>#REF!</v>
      </c>
    </row>
    <row r="1075" spans="1:15" s="193" customFormat="1" outlineLevel="2">
      <c r="A1075" s="155"/>
      <c r="B1075" s="197" t="s">
        <v>872</v>
      </c>
      <c r="C1075" s="190" t="s">
        <v>93</v>
      </c>
      <c r="D1075" s="191"/>
      <c r="E1075" s="176"/>
      <c r="F1075" s="177"/>
      <c r="G1075" s="192"/>
      <c r="H1075" s="179"/>
      <c r="I1075" s="283" t="e">
        <f>IF(#REF!="",#REF!*#REF!,IF(#REF!=0,#REF!*#REF!,#REF!*#REF!*#REF!))</f>
        <v>#REF!</v>
      </c>
      <c r="J1075" s="180" t="e">
        <f>#REF!*#REF!</f>
        <v>#REF!</v>
      </c>
      <c r="K1075" s="178" t="e">
        <f>#REF!*mo</f>
        <v>#REF!</v>
      </c>
      <c r="L1075" s="178" t="e">
        <f t="shared" si="137"/>
        <v>#REF!</v>
      </c>
      <c r="M1075" s="178" t="e">
        <f>#REF!*#REF!</f>
        <v>#REF!</v>
      </c>
      <c r="N1075" s="178" t="e">
        <f>#REF!+K1075+#REF!</f>
        <v>#REF!</v>
      </c>
      <c r="O1075" s="181" t="e">
        <f t="shared" si="136"/>
        <v>#REF!</v>
      </c>
    </row>
    <row r="1076" spans="1:15" s="193" customFormat="1" outlineLevel="2">
      <c r="A1076" s="155"/>
      <c r="B1076" s="197" t="s">
        <v>873</v>
      </c>
      <c r="C1076" s="190" t="s">
        <v>93</v>
      </c>
      <c r="D1076" s="191"/>
      <c r="E1076" s="176"/>
      <c r="F1076" s="177"/>
      <c r="G1076" s="192"/>
      <c r="H1076" s="179"/>
      <c r="I1076" s="283" t="e">
        <f>IF(#REF!="",#REF!*#REF!,IF(#REF!=0,#REF!*#REF!,#REF!*#REF!*#REF!))</f>
        <v>#REF!</v>
      </c>
      <c r="J1076" s="180" t="e">
        <f>#REF!*#REF!</f>
        <v>#REF!</v>
      </c>
      <c r="K1076" s="178" t="e">
        <f>#REF!*mo</f>
        <v>#REF!</v>
      </c>
      <c r="L1076" s="178" t="e">
        <f t="shared" si="137"/>
        <v>#REF!</v>
      </c>
      <c r="M1076" s="178" t="e">
        <f>#REF!*#REF!</f>
        <v>#REF!</v>
      </c>
      <c r="N1076" s="178" t="e">
        <f>#REF!+K1076+#REF!</f>
        <v>#REF!</v>
      </c>
      <c r="O1076" s="181" t="e">
        <f t="shared" si="136"/>
        <v>#REF!</v>
      </c>
    </row>
    <row r="1077" spans="1:15" s="193" customFormat="1" outlineLevel="2">
      <c r="A1077" s="155"/>
      <c r="B1077" s="197" t="s">
        <v>874</v>
      </c>
      <c r="C1077" s="190" t="s">
        <v>93</v>
      </c>
      <c r="D1077" s="191"/>
      <c r="E1077" s="176"/>
      <c r="F1077" s="177"/>
      <c r="G1077" s="192"/>
      <c r="H1077" s="179"/>
      <c r="I1077" s="283" t="e">
        <f>IF(#REF!="",#REF!*#REF!,IF(#REF!=0,#REF!*#REF!,#REF!*#REF!*#REF!))</f>
        <v>#REF!</v>
      </c>
      <c r="J1077" s="180" t="e">
        <f>#REF!*#REF!</f>
        <v>#REF!</v>
      </c>
      <c r="K1077" s="178" t="e">
        <f>#REF!*mo</f>
        <v>#REF!</v>
      </c>
      <c r="L1077" s="178" t="e">
        <f t="shared" si="137"/>
        <v>#REF!</v>
      </c>
      <c r="M1077" s="178" t="e">
        <f>#REF!*#REF!</f>
        <v>#REF!</v>
      </c>
      <c r="N1077" s="178" t="e">
        <f>#REF!+K1077+#REF!</f>
        <v>#REF!</v>
      </c>
      <c r="O1077" s="181" t="e">
        <f t="shared" si="136"/>
        <v>#REF!</v>
      </c>
    </row>
    <row r="1078" spans="1:15" s="193" customFormat="1" outlineLevel="2">
      <c r="A1078" s="155"/>
      <c r="B1078" s="197" t="s">
        <v>875</v>
      </c>
      <c r="C1078" s="190" t="s">
        <v>93</v>
      </c>
      <c r="D1078" s="191"/>
      <c r="E1078" s="176"/>
      <c r="F1078" s="177"/>
      <c r="G1078" s="192"/>
      <c r="H1078" s="179"/>
      <c r="I1078" s="283" t="e">
        <f>IF(#REF!="",#REF!*#REF!,IF(#REF!=0,#REF!*#REF!,#REF!*#REF!*#REF!))</f>
        <v>#REF!</v>
      </c>
      <c r="J1078" s="180" t="e">
        <f>#REF!*#REF!</f>
        <v>#REF!</v>
      </c>
      <c r="K1078" s="178" t="e">
        <f>#REF!*mo</f>
        <v>#REF!</v>
      </c>
      <c r="L1078" s="178" t="e">
        <f t="shared" si="137"/>
        <v>#REF!</v>
      </c>
      <c r="M1078" s="178" t="e">
        <f>#REF!*#REF!</f>
        <v>#REF!</v>
      </c>
      <c r="N1078" s="178" t="e">
        <f>#REF!+K1078+#REF!</f>
        <v>#REF!</v>
      </c>
      <c r="O1078" s="181" t="e">
        <f t="shared" si="136"/>
        <v>#REF!</v>
      </c>
    </row>
    <row r="1079" spans="1:15" s="193" customFormat="1" outlineLevel="2">
      <c r="A1079" s="155"/>
      <c r="B1079" s="197" t="s">
        <v>876</v>
      </c>
      <c r="C1079" s="190" t="s">
        <v>93</v>
      </c>
      <c r="D1079" s="191"/>
      <c r="E1079" s="176"/>
      <c r="F1079" s="177"/>
      <c r="G1079" s="192"/>
      <c r="H1079" s="179"/>
      <c r="I1079" s="283" t="e">
        <f>IF(#REF!="",#REF!*#REF!,IF(#REF!=0,#REF!*#REF!,#REF!*#REF!*#REF!))</f>
        <v>#REF!</v>
      </c>
      <c r="J1079" s="180" t="e">
        <f>#REF!*#REF!</f>
        <v>#REF!</v>
      </c>
      <c r="K1079" s="178" t="e">
        <f>#REF!*mo</f>
        <v>#REF!</v>
      </c>
      <c r="L1079" s="178" t="e">
        <f t="shared" si="137"/>
        <v>#REF!</v>
      </c>
      <c r="M1079" s="178" t="e">
        <f>#REF!*#REF!</f>
        <v>#REF!</v>
      </c>
      <c r="N1079" s="178" t="e">
        <f>#REF!+K1079+#REF!</f>
        <v>#REF!</v>
      </c>
      <c r="O1079" s="181" t="e">
        <f t="shared" si="136"/>
        <v>#REF!</v>
      </c>
    </row>
    <row r="1080" spans="1:15" s="193" customFormat="1" outlineLevel="2">
      <c r="A1080" s="155"/>
      <c r="B1080" s="197" t="s">
        <v>878</v>
      </c>
      <c r="C1080" s="190" t="s">
        <v>93</v>
      </c>
      <c r="D1080" s="191"/>
      <c r="E1080" s="176"/>
      <c r="F1080" s="177"/>
      <c r="G1080" s="192"/>
      <c r="H1080" s="179"/>
      <c r="I1080" s="283" t="e">
        <f>IF(#REF!="",#REF!*#REF!,IF(#REF!=0,#REF!*#REF!,#REF!*#REF!*#REF!))</f>
        <v>#REF!</v>
      </c>
      <c r="J1080" s="180" t="e">
        <f>#REF!*#REF!</f>
        <v>#REF!</v>
      </c>
      <c r="K1080" s="178" t="e">
        <f>#REF!*mo</f>
        <v>#REF!</v>
      </c>
      <c r="L1080" s="178" t="e">
        <f t="shared" si="137"/>
        <v>#REF!</v>
      </c>
      <c r="M1080" s="178" t="e">
        <f>#REF!*#REF!</f>
        <v>#REF!</v>
      </c>
      <c r="N1080" s="178" t="e">
        <f>#REF!+K1080+#REF!</f>
        <v>#REF!</v>
      </c>
      <c r="O1080" s="181" t="e">
        <f t="shared" si="136"/>
        <v>#REF!</v>
      </c>
    </row>
    <row r="1081" spans="1:15" s="193" customFormat="1" outlineLevel="2">
      <c r="A1081" s="155"/>
      <c r="B1081" s="197" t="s">
        <v>894</v>
      </c>
      <c r="C1081" s="190" t="s">
        <v>93</v>
      </c>
      <c r="D1081" s="191"/>
      <c r="E1081" s="176"/>
      <c r="F1081" s="177"/>
      <c r="G1081" s="192"/>
      <c r="H1081" s="179"/>
      <c r="I1081" s="283" t="e">
        <f>IF(#REF!="",#REF!*#REF!,IF(#REF!=0,#REF!*#REF!,#REF!*#REF!*#REF!))</f>
        <v>#REF!</v>
      </c>
      <c r="J1081" s="180" t="e">
        <f>#REF!*#REF!</f>
        <v>#REF!</v>
      </c>
      <c r="K1081" s="178" t="e">
        <f>#REF!*mo</f>
        <v>#REF!</v>
      </c>
      <c r="L1081" s="178" t="e">
        <f t="shared" si="137"/>
        <v>#REF!</v>
      </c>
      <c r="M1081" s="178" t="e">
        <f>#REF!*#REF!</f>
        <v>#REF!</v>
      </c>
      <c r="N1081" s="178" t="e">
        <f>#REF!+K1081+#REF!</f>
        <v>#REF!</v>
      </c>
      <c r="O1081" s="181" t="e">
        <f t="shared" si="136"/>
        <v>#REF!</v>
      </c>
    </row>
    <row r="1082" spans="1:15" s="193" customFormat="1" outlineLevel="2">
      <c r="A1082" s="155"/>
      <c r="B1082" s="156"/>
      <c r="C1082" s="190"/>
      <c r="D1082" s="191"/>
      <c r="E1082" s="176"/>
      <c r="F1082" s="177"/>
      <c r="G1082" s="192"/>
      <c r="H1082" s="179"/>
      <c r="I1082" s="283" t="e">
        <f>IF(#REF!="",#REF!*#REF!,IF(#REF!=0,#REF!*#REF!,#REF!*#REF!*#REF!))</f>
        <v>#REF!</v>
      </c>
      <c r="J1082" s="180" t="e">
        <f>#REF!*#REF!</f>
        <v>#REF!</v>
      </c>
      <c r="K1082" s="178" t="e">
        <f>#REF!*mo</f>
        <v>#REF!</v>
      </c>
      <c r="L1082" s="178" t="e">
        <f t="shared" si="137"/>
        <v>#REF!</v>
      </c>
      <c r="M1082" s="178" t="e">
        <f>#REF!*#REF!</f>
        <v>#REF!</v>
      </c>
      <c r="N1082" s="178" t="e">
        <f>#REF!+K1082+#REF!</f>
        <v>#REF!</v>
      </c>
      <c r="O1082" s="181" t="e">
        <f t="shared" si="136"/>
        <v>#REF!</v>
      </c>
    </row>
    <row r="1083" spans="1:15" s="193" customFormat="1" outlineLevel="2">
      <c r="A1083" s="155"/>
      <c r="B1083" s="156" t="s">
        <v>895</v>
      </c>
      <c r="C1083" s="190" t="s">
        <v>795</v>
      </c>
      <c r="D1083" s="191"/>
      <c r="E1083" s="176"/>
      <c r="F1083" s="177"/>
      <c r="G1083" s="192"/>
      <c r="H1083" s="179"/>
      <c r="I1083" s="283" t="e">
        <f>IF(#REF!="",#REF!*#REF!,IF(#REF!=0,#REF!*#REF!,#REF!*#REF!*#REF!))</f>
        <v>#REF!</v>
      </c>
      <c r="J1083" s="180" t="e">
        <f>#REF!*#REF!</f>
        <v>#REF!</v>
      </c>
      <c r="K1083" s="178" t="e">
        <f>#REF!*mo</f>
        <v>#REF!</v>
      </c>
      <c r="L1083" s="178" t="e">
        <f t="shared" si="137"/>
        <v>#REF!</v>
      </c>
      <c r="M1083" s="178" t="e">
        <f>#REF!*#REF!</f>
        <v>#REF!</v>
      </c>
      <c r="N1083" s="178" t="e">
        <f>#REF!+K1083+#REF!</f>
        <v>#REF!</v>
      </c>
      <c r="O1083" s="181" t="e">
        <f t="shared" si="136"/>
        <v>#REF!</v>
      </c>
    </row>
    <row r="1084" spans="1:15" s="193" customFormat="1" outlineLevel="2">
      <c r="A1084" s="155"/>
      <c r="B1084" s="156" t="s">
        <v>896</v>
      </c>
      <c r="C1084" s="190" t="s">
        <v>93</v>
      </c>
      <c r="D1084" s="191"/>
      <c r="E1084" s="176"/>
      <c r="F1084" s="177"/>
      <c r="G1084" s="192"/>
      <c r="H1084" s="179"/>
      <c r="I1084" s="283" t="e">
        <f>IF(#REF!="",#REF!*#REF!,IF(#REF!=0,#REF!*#REF!,#REF!*#REF!*#REF!))</f>
        <v>#REF!</v>
      </c>
      <c r="J1084" s="180" t="e">
        <f>#REF!*#REF!</f>
        <v>#REF!</v>
      </c>
      <c r="K1084" s="178" t="e">
        <f>#REF!*mo</f>
        <v>#REF!</v>
      </c>
      <c r="L1084" s="178" t="e">
        <f t="shared" si="137"/>
        <v>#REF!</v>
      </c>
      <c r="M1084" s="178" t="e">
        <f>#REF!*#REF!</f>
        <v>#REF!</v>
      </c>
      <c r="N1084" s="178" t="e">
        <f>#REF!+K1084+#REF!</f>
        <v>#REF!</v>
      </c>
      <c r="O1084" s="181" t="e">
        <f t="shared" si="136"/>
        <v>#REF!</v>
      </c>
    </row>
    <row r="1085" spans="1:15" s="193" customFormat="1" outlineLevel="2">
      <c r="A1085" s="155"/>
      <c r="B1085" s="156" t="s">
        <v>897</v>
      </c>
      <c r="C1085" s="190" t="s">
        <v>93</v>
      </c>
      <c r="D1085" s="191"/>
      <c r="E1085" s="176"/>
      <c r="F1085" s="177"/>
      <c r="G1085" s="192"/>
      <c r="H1085" s="179"/>
      <c r="I1085" s="283" t="e">
        <f>IF(#REF!="",#REF!*#REF!,IF(#REF!=0,#REF!*#REF!,#REF!*#REF!*#REF!))</f>
        <v>#REF!</v>
      </c>
      <c r="J1085" s="180" t="e">
        <f>#REF!*#REF!</f>
        <v>#REF!</v>
      </c>
      <c r="K1085" s="178" t="e">
        <f>#REF!*mo</f>
        <v>#REF!</v>
      </c>
      <c r="L1085" s="178" t="e">
        <f t="shared" si="137"/>
        <v>#REF!</v>
      </c>
      <c r="M1085" s="178" t="e">
        <f>#REF!*#REF!</f>
        <v>#REF!</v>
      </c>
      <c r="N1085" s="178" t="e">
        <f>#REF!+K1085+#REF!</f>
        <v>#REF!</v>
      </c>
      <c r="O1085" s="181" t="e">
        <f t="shared" si="136"/>
        <v>#REF!</v>
      </c>
    </row>
    <row r="1086" spans="1:15" s="193" customFormat="1" outlineLevel="2">
      <c r="A1086" s="155"/>
      <c r="B1086" s="156"/>
      <c r="C1086" s="190"/>
      <c r="D1086" s="191"/>
      <c r="E1086" s="176"/>
      <c r="F1086" s="177"/>
      <c r="G1086" s="192"/>
      <c r="H1086" s="179"/>
      <c r="I1086" s="283" t="e">
        <f>IF(#REF!="",#REF!*#REF!,IF(#REF!=0,#REF!*#REF!,#REF!*#REF!*#REF!))</f>
        <v>#REF!</v>
      </c>
      <c r="J1086" s="180" t="e">
        <f>#REF!*#REF!</f>
        <v>#REF!</v>
      </c>
      <c r="K1086" s="178" t="e">
        <f>#REF!*mo</f>
        <v>#REF!</v>
      </c>
      <c r="L1086" s="178" t="e">
        <f t="shared" si="137"/>
        <v>#REF!</v>
      </c>
      <c r="M1086" s="178" t="e">
        <f>#REF!*#REF!</f>
        <v>#REF!</v>
      </c>
      <c r="N1086" s="178" t="e">
        <f>#REF!+K1086+#REF!</f>
        <v>#REF!</v>
      </c>
      <c r="O1086" s="181" t="e">
        <f t="shared" si="136"/>
        <v>#REF!</v>
      </c>
    </row>
    <row r="1087" spans="1:15" s="193" customFormat="1" outlineLevel="2">
      <c r="A1087" s="155"/>
      <c r="B1087" s="156" t="s">
        <v>898</v>
      </c>
      <c r="C1087" s="190" t="s">
        <v>795</v>
      </c>
      <c r="D1087" s="191"/>
      <c r="E1087" s="176"/>
      <c r="F1087" s="177"/>
      <c r="G1087" s="192"/>
      <c r="H1087" s="179"/>
      <c r="I1087" s="283" t="e">
        <f>IF(#REF!="",#REF!*#REF!,IF(#REF!=0,#REF!*#REF!,#REF!*#REF!*#REF!))</f>
        <v>#REF!</v>
      </c>
      <c r="J1087" s="180" t="e">
        <f>#REF!*#REF!</f>
        <v>#REF!</v>
      </c>
      <c r="K1087" s="178" t="e">
        <f>#REF!*mo</f>
        <v>#REF!</v>
      </c>
      <c r="L1087" s="178" t="e">
        <f>J1087*mo</f>
        <v>#REF!</v>
      </c>
      <c r="M1087" s="178" t="e">
        <f>#REF!*#REF!</f>
        <v>#REF!</v>
      </c>
      <c r="N1087" s="178" t="e">
        <f>#REF!+K1087+#REF!</f>
        <v>#REF!</v>
      </c>
      <c r="O1087" s="181" t="e">
        <f>M1087+L1087+I1087</f>
        <v>#REF!</v>
      </c>
    </row>
    <row r="1088" spans="1:15" s="193" customFormat="1" outlineLevel="2">
      <c r="A1088" s="155"/>
      <c r="B1088" s="197" t="s">
        <v>899</v>
      </c>
      <c r="C1088" s="190"/>
      <c r="D1088" s="191"/>
      <c r="E1088" s="176"/>
      <c r="F1088" s="177"/>
      <c r="G1088" s="192"/>
      <c r="H1088" s="179"/>
      <c r="I1088" s="283"/>
      <c r="J1088" s="180"/>
      <c r="K1088" s="178"/>
      <c r="L1088" s="178"/>
      <c r="M1088" s="178"/>
      <c r="N1088" s="178"/>
      <c r="O1088" s="181"/>
    </row>
    <row r="1089" spans="1:15" s="193" customFormat="1" outlineLevel="2">
      <c r="A1089" s="155"/>
      <c r="B1089" s="197" t="s">
        <v>900</v>
      </c>
      <c r="C1089" s="190"/>
      <c r="D1089" s="191"/>
      <c r="E1089" s="176"/>
      <c r="F1089" s="177"/>
      <c r="G1089" s="192"/>
      <c r="H1089" s="179"/>
      <c r="I1089" s="283"/>
      <c r="J1089" s="180"/>
      <c r="K1089" s="178"/>
      <c r="L1089" s="178"/>
      <c r="M1089" s="178"/>
      <c r="N1089" s="178"/>
      <c r="O1089" s="181"/>
    </row>
    <row r="1090" spans="1:15" s="193" customFormat="1" outlineLevel="2">
      <c r="A1090" s="155"/>
      <c r="B1090" s="197" t="s">
        <v>901</v>
      </c>
      <c r="C1090" s="190"/>
      <c r="D1090" s="191"/>
      <c r="E1090" s="176"/>
      <c r="F1090" s="177"/>
      <c r="G1090" s="192"/>
      <c r="H1090" s="179"/>
      <c r="I1090" s="283"/>
      <c r="J1090" s="180"/>
      <c r="K1090" s="178"/>
      <c r="L1090" s="178"/>
      <c r="M1090" s="178"/>
      <c r="N1090" s="178"/>
      <c r="O1090" s="181"/>
    </row>
    <row r="1091" spans="1:15" s="193" customFormat="1" outlineLevel="2">
      <c r="A1091" s="155"/>
      <c r="B1091" s="197" t="s">
        <v>902</v>
      </c>
      <c r="C1091" s="190"/>
      <c r="D1091" s="191"/>
      <c r="E1091" s="176"/>
      <c r="F1091" s="177"/>
      <c r="G1091" s="192"/>
      <c r="H1091" s="179"/>
      <c r="I1091" s="283"/>
      <c r="J1091" s="180"/>
      <c r="K1091" s="178"/>
      <c r="L1091" s="178"/>
      <c r="M1091" s="178"/>
      <c r="N1091" s="178"/>
      <c r="O1091" s="181"/>
    </row>
    <row r="1092" spans="1:15" s="193" customFormat="1" outlineLevel="2">
      <c r="A1092" s="155"/>
      <c r="B1092" s="197" t="s">
        <v>903</v>
      </c>
      <c r="C1092" s="190"/>
      <c r="D1092" s="191"/>
      <c r="E1092" s="176"/>
      <c r="F1092" s="177"/>
      <c r="G1092" s="192"/>
      <c r="H1092" s="179"/>
      <c r="I1092" s="283"/>
      <c r="J1092" s="180"/>
      <c r="K1092" s="178"/>
      <c r="L1092" s="178"/>
      <c r="M1092" s="178"/>
      <c r="N1092" s="178"/>
      <c r="O1092" s="181"/>
    </row>
    <row r="1093" spans="1:15" s="193" customFormat="1" outlineLevel="2">
      <c r="A1093" s="155"/>
      <c r="B1093" s="156"/>
      <c r="C1093" s="190"/>
      <c r="D1093" s="191"/>
      <c r="E1093" s="176"/>
      <c r="F1093" s="177"/>
      <c r="G1093" s="192"/>
      <c r="H1093" s="179"/>
      <c r="I1093" s="283" t="e">
        <f>IF(#REF!="",#REF!*#REF!,IF(#REF!=0,#REF!*#REF!,#REF!*#REF!*#REF!))</f>
        <v>#REF!</v>
      </c>
      <c r="J1093" s="180" t="e">
        <f>#REF!*#REF!</f>
        <v>#REF!</v>
      </c>
      <c r="K1093" s="178" t="e">
        <f>#REF!*mo</f>
        <v>#REF!</v>
      </c>
      <c r="L1093" s="178" t="e">
        <f t="shared" ref="L1093" si="140">J1093*mo</f>
        <v>#REF!</v>
      </c>
      <c r="M1093" s="178" t="e">
        <f>#REF!*#REF!</f>
        <v>#REF!</v>
      </c>
      <c r="N1093" s="178" t="e">
        <f>#REF!+K1093+#REF!</f>
        <v>#REF!</v>
      </c>
      <c r="O1093" s="181" t="e">
        <f t="shared" ref="O1093" si="141">M1093+L1093+I1093</f>
        <v>#REF!</v>
      </c>
    </row>
    <row r="1094" spans="1:15" s="193" customFormat="1" outlineLevel="2">
      <c r="A1094" s="155"/>
      <c r="B1094" s="156" t="s">
        <v>904</v>
      </c>
      <c r="C1094" s="190" t="s">
        <v>795</v>
      </c>
      <c r="D1094" s="191"/>
      <c r="E1094" s="176"/>
      <c r="F1094" s="177"/>
      <c r="G1094" s="192"/>
      <c r="H1094" s="179"/>
      <c r="I1094" s="283" t="e">
        <f>IF(#REF!="",#REF!*#REF!,IF(#REF!=0,#REF!*#REF!,#REF!*#REF!*#REF!))</f>
        <v>#REF!</v>
      </c>
      <c r="J1094" s="180" t="e">
        <f>#REF!*#REF!</f>
        <v>#REF!</v>
      </c>
      <c r="K1094" s="178" t="e">
        <f>#REF!*mo</f>
        <v>#REF!</v>
      </c>
      <c r="L1094" s="178" t="e">
        <f>J1094*mo</f>
        <v>#REF!</v>
      </c>
      <c r="M1094" s="178" t="e">
        <f>#REF!*#REF!</f>
        <v>#REF!</v>
      </c>
      <c r="N1094" s="178" t="e">
        <f>#REF!+K1094+#REF!</f>
        <v>#REF!</v>
      </c>
      <c r="O1094" s="181" t="e">
        <f>M1094+L1094+I1094</f>
        <v>#REF!</v>
      </c>
    </row>
    <row r="1095" spans="1:15" s="193" customFormat="1" outlineLevel="2">
      <c r="A1095" s="155"/>
      <c r="B1095" s="197" t="s">
        <v>905</v>
      </c>
      <c r="C1095" s="190"/>
      <c r="D1095" s="191"/>
      <c r="E1095" s="176"/>
      <c r="F1095" s="177"/>
      <c r="G1095" s="192"/>
      <c r="H1095" s="179"/>
      <c r="I1095" s="283"/>
      <c r="J1095" s="180"/>
      <c r="K1095" s="178"/>
      <c r="L1095" s="178"/>
      <c r="M1095" s="178"/>
      <c r="N1095" s="178"/>
      <c r="O1095" s="181"/>
    </row>
    <row r="1096" spans="1:15" s="193" customFormat="1" outlineLevel="2">
      <c r="A1096" s="155"/>
      <c r="B1096" s="197" t="s">
        <v>906</v>
      </c>
      <c r="C1096" s="190"/>
      <c r="D1096" s="191"/>
      <c r="E1096" s="176"/>
      <c r="F1096" s="177"/>
      <c r="G1096" s="192"/>
      <c r="H1096" s="179"/>
      <c r="I1096" s="283"/>
      <c r="J1096" s="180"/>
      <c r="K1096" s="178"/>
      <c r="L1096" s="178"/>
      <c r="M1096" s="178"/>
      <c r="N1096" s="178"/>
      <c r="O1096" s="181"/>
    </row>
    <row r="1097" spans="1:15" s="193" customFormat="1" outlineLevel="2">
      <c r="A1097" s="155"/>
      <c r="B1097" s="197" t="s">
        <v>907</v>
      </c>
      <c r="C1097" s="190"/>
      <c r="D1097" s="191"/>
      <c r="E1097" s="176"/>
      <c r="F1097" s="177"/>
      <c r="G1097" s="192"/>
      <c r="H1097" s="179"/>
      <c r="I1097" s="283"/>
      <c r="J1097" s="180"/>
      <c r="K1097" s="178"/>
      <c r="L1097" s="178"/>
      <c r="M1097" s="178"/>
      <c r="N1097" s="178"/>
      <c r="O1097" s="181"/>
    </row>
    <row r="1098" spans="1:15" s="193" customFormat="1" outlineLevel="2">
      <c r="A1098" s="155"/>
      <c r="B1098" s="197"/>
      <c r="C1098" s="190"/>
      <c r="D1098" s="191"/>
      <c r="E1098" s="176"/>
      <c r="F1098" s="177"/>
      <c r="G1098" s="192"/>
      <c r="H1098" s="179"/>
      <c r="I1098" s="283" t="e">
        <f>IF(#REF!="",#REF!*#REF!,IF(#REF!=0,#REF!*#REF!,#REF!*#REF!*#REF!))</f>
        <v>#REF!</v>
      </c>
      <c r="J1098" s="180" t="e">
        <f>#REF!*#REF!</f>
        <v>#REF!</v>
      </c>
      <c r="K1098" s="178" t="e">
        <f>#REF!*mo</f>
        <v>#REF!</v>
      </c>
      <c r="L1098" s="178" t="e">
        <f t="shared" si="137"/>
        <v>#REF!</v>
      </c>
      <c r="M1098" s="178" t="e">
        <f>#REF!*#REF!</f>
        <v>#REF!</v>
      </c>
      <c r="N1098" s="178" t="e">
        <f>#REF!+K1098+#REF!</f>
        <v>#REF!</v>
      </c>
      <c r="O1098" s="181" t="e">
        <f t="shared" si="136"/>
        <v>#REF!</v>
      </c>
    </row>
    <row r="1099" spans="1:15" s="193" customFormat="1" outlineLevel="1">
      <c r="A1099" s="157" t="str">
        <f>$A$92&amp;".4"</f>
        <v>.4</v>
      </c>
      <c r="B1099" s="210" t="s">
        <v>908</v>
      </c>
      <c r="C1099" s="190"/>
      <c r="D1099" s="191"/>
      <c r="E1099" s="176"/>
      <c r="F1099" s="177"/>
      <c r="G1099" s="192">
        <f>SUM(F1100:F1105)</f>
        <v>0</v>
      </c>
      <c r="H1099" s="179"/>
      <c r="I1099" s="283" t="e">
        <f>IF(#REF!="",#REF!*#REF!,IF(#REF!=0,#REF!*#REF!,#REF!*#REF!*#REF!))</f>
        <v>#REF!</v>
      </c>
      <c r="J1099" s="180" t="e">
        <f>#REF!*#REF!</f>
        <v>#REF!</v>
      </c>
      <c r="K1099" s="178" t="e">
        <f>#REF!*mo</f>
        <v>#REF!</v>
      </c>
      <c r="L1099" s="178" t="e">
        <f t="shared" si="137"/>
        <v>#REF!</v>
      </c>
      <c r="M1099" s="178" t="e">
        <f>#REF!*#REF!</f>
        <v>#REF!</v>
      </c>
      <c r="N1099" s="178" t="e">
        <f>#REF!+K1099+#REF!</f>
        <v>#REF!</v>
      </c>
      <c r="O1099" s="181" t="e">
        <f t="shared" si="136"/>
        <v>#REF!</v>
      </c>
    </row>
    <row r="1100" spans="1:15" s="193" customFormat="1" outlineLevel="2">
      <c r="A1100" s="211"/>
      <c r="B1100" s="210"/>
      <c r="C1100" s="190"/>
      <c r="D1100" s="191"/>
      <c r="E1100" s="176"/>
      <c r="F1100" s="177"/>
      <c r="G1100" s="192"/>
      <c r="H1100" s="179"/>
      <c r="I1100" s="283" t="e">
        <f>IF(#REF!="",#REF!*#REF!,IF(#REF!=0,#REF!*#REF!,#REF!*#REF!*#REF!))</f>
        <v>#REF!</v>
      </c>
      <c r="J1100" s="180" t="e">
        <f>#REF!*#REF!</f>
        <v>#REF!</v>
      </c>
      <c r="K1100" s="178" t="e">
        <f>#REF!*mo</f>
        <v>#REF!</v>
      </c>
      <c r="L1100" s="178" t="e">
        <f t="shared" si="137"/>
        <v>#REF!</v>
      </c>
      <c r="M1100" s="178" t="e">
        <f>#REF!*#REF!</f>
        <v>#REF!</v>
      </c>
      <c r="N1100" s="178" t="e">
        <f>#REF!+K1100+#REF!</f>
        <v>#REF!</v>
      </c>
      <c r="O1100" s="181" t="e">
        <f t="shared" si="136"/>
        <v>#REF!</v>
      </c>
    </row>
    <row r="1101" spans="1:15" s="193" customFormat="1" outlineLevel="2">
      <c r="A1101" s="211"/>
      <c r="B1101" s="212" t="s">
        <v>909</v>
      </c>
      <c r="C1101" s="190" t="s">
        <v>48</v>
      </c>
      <c r="D1101" s="191"/>
      <c r="E1101" s="176"/>
      <c r="F1101" s="177"/>
      <c r="G1101" s="192"/>
      <c r="H1101" s="179"/>
      <c r="I1101" s="283" t="e">
        <f>IF(#REF!="",#REF!*#REF!,IF(#REF!=0,#REF!*#REF!,#REF!*#REF!*#REF!))</f>
        <v>#REF!</v>
      </c>
      <c r="J1101" s="180" t="e">
        <f>#REF!*#REF!</f>
        <v>#REF!</v>
      </c>
      <c r="K1101" s="178" t="e">
        <f>#REF!*mo</f>
        <v>#REF!</v>
      </c>
      <c r="L1101" s="178" t="e">
        <f t="shared" si="137"/>
        <v>#REF!</v>
      </c>
      <c r="M1101" s="178" t="e">
        <f>#REF!*#REF!</f>
        <v>#REF!</v>
      </c>
      <c r="N1101" s="178" t="e">
        <f>#REF!+K1101+#REF!</f>
        <v>#REF!</v>
      </c>
      <c r="O1101" s="181" t="e">
        <f t="shared" si="136"/>
        <v>#REF!</v>
      </c>
    </row>
    <row r="1102" spans="1:15" s="193" customFormat="1" outlineLevel="2">
      <c r="A1102" s="211"/>
      <c r="B1102" s="212" t="s">
        <v>910</v>
      </c>
      <c r="C1102" s="190" t="s">
        <v>795</v>
      </c>
      <c r="D1102" s="191"/>
      <c r="E1102" s="176"/>
      <c r="F1102" s="177"/>
      <c r="G1102" s="192"/>
      <c r="H1102" s="179"/>
      <c r="I1102" s="283" t="e">
        <f>IF(#REF!="",#REF!*#REF!,IF(#REF!=0,#REF!*#REF!,#REF!*#REF!*#REF!))</f>
        <v>#REF!</v>
      </c>
      <c r="J1102" s="180" t="e">
        <f>#REF!*#REF!</f>
        <v>#REF!</v>
      </c>
      <c r="K1102" s="178" t="e">
        <f>#REF!*mo</f>
        <v>#REF!</v>
      </c>
      <c r="L1102" s="178" t="e">
        <f t="shared" si="137"/>
        <v>#REF!</v>
      </c>
      <c r="M1102" s="178" t="e">
        <f>#REF!*#REF!</f>
        <v>#REF!</v>
      </c>
      <c r="N1102" s="178" t="e">
        <f>#REF!+K1102+#REF!</f>
        <v>#REF!</v>
      </c>
      <c r="O1102" s="181" t="e">
        <f t="shared" si="136"/>
        <v>#REF!</v>
      </c>
    </row>
    <row r="1103" spans="1:15" s="193" customFormat="1" outlineLevel="2">
      <c r="A1103" s="211"/>
      <c r="B1103" s="212" t="s">
        <v>911</v>
      </c>
      <c r="C1103" s="190" t="s">
        <v>795</v>
      </c>
      <c r="D1103" s="191"/>
      <c r="E1103" s="176"/>
      <c r="F1103" s="177"/>
      <c r="G1103" s="192"/>
      <c r="H1103" s="179"/>
      <c r="I1103" s="283" t="e">
        <f>IF(#REF!="",#REF!*#REF!,IF(#REF!=0,#REF!*#REF!,#REF!*#REF!*#REF!))</f>
        <v>#REF!</v>
      </c>
      <c r="J1103" s="180" t="e">
        <f>#REF!*#REF!</f>
        <v>#REF!</v>
      </c>
      <c r="K1103" s="178" t="e">
        <f>#REF!*mo</f>
        <v>#REF!</v>
      </c>
      <c r="L1103" s="178" t="e">
        <f t="shared" si="137"/>
        <v>#REF!</v>
      </c>
      <c r="M1103" s="178" t="e">
        <f>#REF!*#REF!</f>
        <v>#REF!</v>
      </c>
      <c r="N1103" s="178" t="e">
        <f>#REF!+K1103+#REF!</f>
        <v>#REF!</v>
      </c>
      <c r="O1103" s="181" t="e">
        <f t="shared" si="136"/>
        <v>#REF!</v>
      </c>
    </row>
    <row r="1104" spans="1:15" s="193" customFormat="1" outlineLevel="2">
      <c r="A1104" s="211"/>
      <c r="B1104" s="212" t="s">
        <v>912</v>
      </c>
      <c r="C1104" s="190" t="s">
        <v>795</v>
      </c>
      <c r="D1104" s="191"/>
      <c r="E1104" s="176"/>
      <c r="F1104" s="177"/>
      <c r="G1104" s="192"/>
      <c r="H1104" s="179"/>
      <c r="I1104" s="283" t="e">
        <f>IF(#REF!="",#REF!*#REF!,IF(#REF!=0,#REF!*#REF!,#REF!*#REF!*#REF!))</f>
        <v>#REF!</v>
      </c>
      <c r="J1104" s="180" t="e">
        <f>#REF!*#REF!</f>
        <v>#REF!</v>
      </c>
      <c r="K1104" s="178" t="e">
        <f>#REF!*mo</f>
        <v>#REF!</v>
      </c>
      <c r="L1104" s="178" t="e">
        <f t="shared" si="137"/>
        <v>#REF!</v>
      </c>
      <c r="M1104" s="178" t="e">
        <f>#REF!*#REF!</f>
        <v>#REF!</v>
      </c>
      <c r="N1104" s="178" t="e">
        <f>#REF!+K1104+#REF!</f>
        <v>#REF!</v>
      </c>
      <c r="O1104" s="181" t="e">
        <f t="shared" si="136"/>
        <v>#REF!</v>
      </c>
    </row>
    <row r="1105" spans="1:16" s="193" customFormat="1" outlineLevel="2">
      <c r="A1105" s="155"/>
      <c r="B1105" s="197"/>
      <c r="C1105" s="190"/>
      <c r="D1105" s="191"/>
      <c r="E1105" s="176"/>
      <c r="F1105" s="177"/>
      <c r="G1105" s="192"/>
      <c r="H1105" s="179"/>
      <c r="I1105" s="283" t="e">
        <f>IF(#REF!="",#REF!*#REF!,IF(#REF!=0,#REF!*#REF!,#REF!*#REF!*#REF!))</f>
        <v>#REF!</v>
      </c>
      <c r="J1105" s="180" t="e">
        <f>#REF!*#REF!</f>
        <v>#REF!</v>
      </c>
      <c r="K1105" s="178" t="e">
        <f>#REF!*mo</f>
        <v>#REF!</v>
      </c>
      <c r="L1105" s="178" t="e">
        <f t="shared" ref="L1105" si="142">J1105*mo</f>
        <v>#REF!</v>
      </c>
      <c r="M1105" s="178" t="e">
        <f>#REF!*#REF!</f>
        <v>#REF!</v>
      </c>
      <c r="N1105" s="178" t="e">
        <f>#REF!+K1105+#REF!</f>
        <v>#REF!</v>
      </c>
      <c r="O1105" s="181" t="e">
        <f t="shared" si="136"/>
        <v>#REF!</v>
      </c>
    </row>
    <row r="1106" spans="1:16" s="193" customFormat="1" outlineLevel="1">
      <c r="A1106" s="155"/>
      <c r="B1106" s="198" t="str">
        <f>"Total "&amp;B978</f>
        <v>Total DISTRIBUTION DE CHALEUR</v>
      </c>
      <c r="C1106" s="190"/>
      <c r="D1106" s="191"/>
      <c r="E1106" s="176"/>
      <c r="F1106" s="177"/>
      <c r="G1106" s="192"/>
      <c r="H1106" s="179">
        <f>SUM(G979:G1106)</f>
        <v>0</v>
      </c>
      <c r="I1106" s="283"/>
      <c r="J1106" s="180"/>
      <c r="K1106" s="178"/>
      <c r="L1106" s="178"/>
      <c r="M1106" s="178"/>
      <c r="N1106" s="178"/>
      <c r="O1106" s="181"/>
    </row>
    <row r="1107" spans="1:16" s="193" customFormat="1" outlineLevel="2">
      <c r="A1107" s="155"/>
      <c r="B1107" s="197"/>
      <c r="C1107" s="190"/>
      <c r="D1107" s="191"/>
      <c r="E1107" s="176"/>
      <c r="F1107" s="177"/>
      <c r="G1107" s="192"/>
      <c r="H1107" s="179"/>
      <c r="I1107" s="283"/>
      <c r="J1107" s="180"/>
      <c r="K1107" s="178"/>
      <c r="L1107" s="178"/>
      <c r="M1107" s="178"/>
      <c r="N1107" s="178"/>
      <c r="O1107" s="181"/>
    </row>
    <row r="1108" spans="1:16" s="193" customFormat="1" outlineLevel="1">
      <c r="A1108" s="155"/>
      <c r="B1108" s="197"/>
      <c r="C1108" s="190"/>
      <c r="D1108" s="191"/>
      <c r="E1108" s="176"/>
      <c r="F1108" s="177"/>
      <c r="G1108" s="192"/>
      <c r="H1108" s="179"/>
      <c r="I1108" s="283" t="e">
        <f>IF(#REF!="",#REF!*#REF!,IF(#REF!=0,#REF!*#REF!,#REF!*#REF!*#REF!))</f>
        <v>#REF!</v>
      </c>
      <c r="J1108" s="180" t="e">
        <f>#REF!*#REF!</f>
        <v>#REF!</v>
      </c>
      <c r="K1108" s="178" t="e">
        <f>#REF!*mo</f>
        <v>#REF!</v>
      </c>
      <c r="L1108" s="178" t="e">
        <f t="shared" ref="L1108:L1124" si="143">J1108*mo</f>
        <v>#REF!</v>
      </c>
      <c r="M1108" s="178" t="e">
        <f>#REF!*#REF!</f>
        <v>#REF!</v>
      </c>
      <c r="N1108" s="178" t="e">
        <f>#REF!+K1108+#REF!</f>
        <v>#REF!</v>
      </c>
      <c r="O1108" s="181" t="e">
        <f t="shared" ref="O1108:O1124" si="144">M1108+L1108+I1108</f>
        <v>#REF!</v>
      </c>
    </row>
    <row r="1109" spans="1:16" s="216" customFormat="1" outlineLevel="1">
      <c r="A1109" s="157" t="str">
        <f>$A$14&amp;".4"</f>
        <v>3.4</v>
      </c>
      <c r="B1109" s="158" t="s">
        <v>913</v>
      </c>
      <c r="C1109" s="195"/>
      <c r="D1109" s="170"/>
      <c r="E1109" s="176"/>
      <c r="F1109" s="177"/>
      <c r="G1109" s="192"/>
      <c r="H1109" s="215"/>
      <c r="I1109" s="283" t="e">
        <f>IF(#REF!="",#REF!*#REF!,IF(#REF!=0,#REF!*#REF!,#REF!*#REF!*#REF!))</f>
        <v>#REF!</v>
      </c>
      <c r="J1109" s="180" t="e">
        <f>#REF!*#REF!</f>
        <v>#REF!</v>
      </c>
      <c r="K1109" s="178" t="e">
        <f>#REF!*mo</f>
        <v>#REF!</v>
      </c>
      <c r="L1109" s="178" t="e">
        <f t="shared" si="143"/>
        <v>#REF!</v>
      </c>
      <c r="M1109" s="178" t="e">
        <f>#REF!*#REF!</f>
        <v>#REF!</v>
      </c>
      <c r="N1109" s="178" t="e">
        <f>#REF!+K1109+#REF!</f>
        <v>#REF!</v>
      </c>
      <c r="O1109" s="181" t="e">
        <f t="shared" si="144"/>
        <v>#REF!</v>
      </c>
      <c r="P1109" s="209"/>
    </row>
    <row r="1110" spans="1:16" s="209" customFormat="1" outlineLevel="1">
      <c r="A1110" s="157" t="str">
        <f>$A$223&amp;".1"</f>
        <v>.1</v>
      </c>
      <c r="B1110" s="289" t="s">
        <v>914</v>
      </c>
      <c r="C1110" s="195"/>
      <c r="D1110" s="170"/>
      <c r="E1110" s="176"/>
      <c r="F1110" s="177"/>
      <c r="G1110" s="192">
        <f>SUM(F1111:F1121)</f>
        <v>0</v>
      </c>
      <c r="H1110" s="179"/>
      <c r="I1110" s="283" t="e">
        <f>IF(#REF!="",#REF!*#REF!,IF(#REF!=0,#REF!*#REF!,#REF!*#REF!*#REF!))</f>
        <v>#REF!</v>
      </c>
      <c r="J1110" s="180" t="e">
        <f>#REF!*#REF!</f>
        <v>#REF!</v>
      </c>
      <c r="K1110" s="178" t="e">
        <f>#REF!*mo</f>
        <v>#REF!</v>
      </c>
      <c r="L1110" s="178" t="e">
        <f t="shared" si="143"/>
        <v>#REF!</v>
      </c>
      <c r="M1110" s="178" t="e">
        <f>#REF!*#REF!</f>
        <v>#REF!</v>
      </c>
      <c r="N1110" s="178" t="e">
        <f>#REF!+K1110+#REF!</f>
        <v>#REF!</v>
      </c>
      <c r="O1110" s="181" t="e">
        <f t="shared" si="144"/>
        <v>#REF!</v>
      </c>
    </row>
    <row r="1111" spans="1:16" s="193" customFormat="1" outlineLevel="2">
      <c r="A1111" s="155"/>
      <c r="B1111" s="197"/>
      <c r="C1111" s="190"/>
      <c r="D1111" s="191"/>
      <c r="E1111" s="176"/>
      <c r="F1111" s="177"/>
      <c r="G1111" s="192"/>
      <c r="H1111" s="179"/>
      <c r="I1111" s="283" t="e">
        <f>IF(#REF!="",#REF!*#REF!,IF(#REF!=0,#REF!*#REF!,#REF!*#REF!*#REF!))</f>
        <v>#REF!</v>
      </c>
      <c r="J1111" s="180" t="e">
        <f>#REF!*#REF!</f>
        <v>#REF!</v>
      </c>
      <c r="K1111" s="178" t="e">
        <f>#REF!*mo</f>
        <v>#REF!</v>
      </c>
      <c r="L1111" s="178" t="e">
        <f t="shared" si="143"/>
        <v>#REF!</v>
      </c>
      <c r="M1111" s="178" t="e">
        <f>#REF!*#REF!</f>
        <v>#REF!</v>
      </c>
      <c r="N1111" s="178" t="e">
        <f>#REF!+K1111+#REF!</f>
        <v>#REF!</v>
      </c>
      <c r="O1111" s="181" t="e">
        <f t="shared" si="144"/>
        <v>#REF!</v>
      </c>
    </row>
    <row r="1112" spans="1:16" s="193" customFormat="1" outlineLevel="2">
      <c r="A1112" s="155"/>
      <c r="B1112" s="197" t="s">
        <v>915</v>
      </c>
      <c r="C1112" s="190" t="s">
        <v>93</v>
      </c>
      <c r="D1112" s="191"/>
      <c r="E1112" s="176"/>
      <c r="F1112" s="177"/>
      <c r="G1112" s="192"/>
      <c r="H1112" s="179"/>
      <c r="I1112" s="283" t="e">
        <f>IF(#REF!="",#REF!*#REF!,IF(#REF!=0,#REF!*#REF!,#REF!*#REF!*#REF!))</f>
        <v>#REF!</v>
      </c>
      <c r="J1112" s="180" t="e">
        <f>#REF!*#REF!</f>
        <v>#REF!</v>
      </c>
      <c r="K1112" s="178" t="e">
        <f>#REF!*mo</f>
        <v>#REF!</v>
      </c>
      <c r="L1112" s="178" t="e">
        <f t="shared" si="143"/>
        <v>#REF!</v>
      </c>
      <c r="M1112" s="178" t="e">
        <f>#REF!*#REF!</f>
        <v>#REF!</v>
      </c>
      <c r="N1112" s="178" t="e">
        <f>#REF!+K1112+#REF!</f>
        <v>#REF!</v>
      </c>
      <c r="O1112" s="181" t="e">
        <f t="shared" si="144"/>
        <v>#REF!</v>
      </c>
    </row>
    <row r="1113" spans="1:16" s="193" customFormat="1" outlineLevel="2">
      <c r="A1113" s="155"/>
      <c r="B1113" s="197"/>
      <c r="C1113" s="190"/>
      <c r="D1113" s="191"/>
      <c r="E1113" s="176"/>
      <c r="F1113" s="177"/>
      <c r="G1113" s="192"/>
      <c r="H1113" s="179"/>
      <c r="I1113" s="283" t="e">
        <f>IF(#REF!="",#REF!*#REF!,IF(#REF!=0,#REF!*#REF!,#REF!*#REF!*#REF!))</f>
        <v>#REF!</v>
      </c>
      <c r="J1113" s="180" t="e">
        <f>#REF!*#REF!</f>
        <v>#REF!</v>
      </c>
      <c r="K1113" s="178" t="e">
        <f>#REF!*mo</f>
        <v>#REF!</v>
      </c>
      <c r="L1113" s="178" t="e">
        <f t="shared" si="143"/>
        <v>#REF!</v>
      </c>
      <c r="M1113" s="178" t="e">
        <f>#REF!*#REF!</f>
        <v>#REF!</v>
      </c>
      <c r="N1113" s="178" t="e">
        <f>#REF!+K1113+#REF!</f>
        <v>#REF!</v>
      </c>
      <c r="O1113" s="181" t="e">
        <f t="shared" si="144"/>
        <v>#REF!</v>
      </c>
    </row>
    <row r="1114" spans="1:16" s="193" customFormat="1" outlineLevel="2">
      <c r="A1114" s="155"/>
      <c r="B1114" s="197" t="s">
        <v>1134</v>
      </c>
      <c r="C1114" s="190" t="s">
        <v>93</v>
      </c>
      <c r="D1114" s="191"/>
      <c r="E1114" s="176"/>
      <c r="F1114" s="177"/>
      <c r="G1114" s="192"/>
      <c r="H1114" s="179"/>
      <c r="I1114" s="283" t="e">
        <f>IF(#REF!="",#REF!*#REF!,IF(#REF!=0,#REF!*#REF!,#REF!*#REF!*#REF!))</f>
        <v>#REF!</v>
      </c>
      <c r="J1114" s="180" t="e">
        <f>#REF!*#REF!</f>
        <v>#REF!</v>
      </c>
      <c r="K1114" s="178" t="e">
        <f>#REF!*mo</f>
        <v>#REF!</v>
      </c>
      <c r="L1114" s="178" t="e">
        <f t="shared" si="143"/>
        <v>#REF!</v>
      </c>
      <c r="M1114" s="178" t="e">
        <f>#REF!*#REF!</f>
        <v>#REF!</v>
      </c>
      <c r="N1114" s="178" t="e">
        <f>#REF!+K1114+#REF!</f>
        <v>#REF!</v>
      </c>
      <c r="O1114" s="181" t="e">
        <f t="shared" si="144"/>
        <v>#REF!</v>
      </c>
    </row>
    <row r="1115" spans="1:16" s="193" customFormat="1" outlineLevel="2">
      <c r="A1115" s="155"/>
      <c r="B1115" s="197"/>
      <c r="C1115" s="190"/>
      <c r="D1115" s="191"/>
      <c r="E1115" s="176"/>
      <c r="F1115" s="177"/>
      <c r="G1115" s="192"/>
      <c r="H1115" s="179"/>
      <c r="I1115" s="283" t="e">
        <f>IF(#REF!="",#REF!*#REF!,IF(#REF!=0,#REF!*#REF!,#REF!*#REF!*#REF!))</f>
        <v>#REF!</v>
      </c>
      <c r="J1115" s="180" t="e">
        <f>#REF!*#REF!</f>
        <v>#REF!</v>
      </c>
      <c r="K1115" s="178" t="e">
        <f>#REF!*mo</f>
        <v>#REF!</v>
      </c>
      <c r="L1115" s="178" t="e">
        <f t="shared" si="143"/>
        <v>#REF!</v>
      </c>
      <c r="M1115" s="178" t="e">
        <f>#REF!*#REF!</f>
        <v>#REF!</v>
      </c>
      <c r="N1115" s="178" t="e">
        <f>#REF!+K1115+#REF!</f>
        <v>#REF!</v>
      </c>
      <c r="O1115" s="181" t="e">
        <f t="shared" si="144"/>
        <v>#REF!</v>
      </c>
    </row>
    <row r="1116" spans="1:16" s="193" customFormat="1" outlineLevel="2">
      <c r="A1116" s="155"/>
      <c r="B1116" s="197" t="s">
        <v>1135</v>
      </c>
      <c r="C1116" s="190" t="s">
        <v>93</v>
      </c>
      <c r="D1116" s="191"/>
      <c r="E1116" s="176"/>
      <c r="F1116" s="177"/>
      <c r="G1116" s="192"/>
      <c r="H1116" s="179"/>
      <c r="I1116" s="283" t="e">
        <f>IF(#REF!="",#REF!*#REF!,IF(#REF!=0,#REF!*#REF!,#REF!*#REF!*#REF!))</f>
        <v>#REF!</v>
      </c>
      <c r="J1116" s="180" t="e">
        <f>#REF!*#REF!</f>
        <v>#REF!</v>
      </c>
      <c r="K1116" s="178" t="e">
        <f>#REF!*mo</f>
        <v>#REF!</v>
      </c>
      <c r="L1116" s="178" t="e">
        <f t="shared" si="143"/>
        <v>#REF!</v>
      </c>
      <c r="M1116" s="178" t="e">
        <f>#REF!*#REF!</f>
        <v>#REF!</v>
      </c>
      <c r="N1116" s="178" t="e">
        <f>#REF!+K1116+#REF!</f>
        <v>#REF!</v>
      </c>
      <c r="O1116" s="181" t="e">
        <f t="shared" si="144"/>
        <v>#REF!</v>
      </c>
    </row>
    <row r="1117" spans="1:16" s="193" customFormat="1" outlineLevel="2">
      <c r="A1117" s="155"/>
      <c r="B1117" s="197"/>
      <c r="C1117" s="190"/>
      <c r="D1117" s="191"/>
      <c r="E1117" s="176"/>
      <c r="F1117" s="177"/>
      <c r="G1117" s="192"/>
      <c r="H1117" s="179"/>
      <c r="I1117" s="283"/>
      <c r="J1117" s="180"/>
      <c r="K1117" s="178"/>
      <c r="L1117" s="178"/>
      <c r="M1117" s="178"/>
      <c r="N1117" s="178"/>
      <c r="O1117" s="181"/>
    </row>
    <row r="1118" spans="1:16" s="193" customFormat="1" outlineLevel="2">
      <c r="A1118" s="155"/>
      <c r="B1118" s="197" t="s">
        <v>917</v>
      </c>
      <c r="C1118" s="190" t="s">
        <v>93</v>
      </c>
      <c r="D1118" s="191"/>
      <c r="E1118" s="176"/>
      <c r="F1118" s="177"/>
      <c r="G1118" s="192"/>
      <c r="H1118" s="179"/>
      <c r="I1118" s="283" t="e">
        <f>IF(#REF!="",#REF!*#REF!,IF(#REF!=0,#REF!*#REF!,#REF!*#REF!*#REF!))</f>
        <v>#REF!</v>
      </c>
      <c r="J1118" s="180" t="e">
        <f>#REF!*#REF!</f>
        <v>#REF!</v>
      </c>
      <c r="K1118" s="178" t="e">
        <f>#REF!*mo</f>
        <v>#REF!</v>
      </c>
      <c r="L1118" s="178" t="e">
        <f t="shared" si="143"/>
        <v>#REF!</v>
      </c>
      <c r="M1118" s="178" t="e">
        <f>#REF!*#REF!</f>
        <v>#REF!</v>
      </c>
      <c r="N1118" s="178" t="e">
        <f>#REF!+K1118+#REF!</f>
        <v>#REF!</v>
      </c>
      <c r="O1118" s="181" t="e">
        <f t="shared" si="144"/>
        <v>#REF!</v>
      </c>
    </row>
    <row r="1119" spans="1:16" s="193" customFormat="1" outlineLevel="2">
      <c r="A1119" s="155"/>
      <c r="B1119" s="197" t="s">
        <v>918</v>
      </c>
      <c r="C1119" s="190" t="s">
        <v>801</v>
      </c>
      <c r="D1119" s="191"/>
      <c r="E1119" s="176"/>
      <c r="F1119" s="177"/>
      <c r="G1119" s="192"/>
      <c r="H1119" s="179"/>
      <c r="I1119" s="283" t="e">
        <f>IF(#REF!="",#REF!*#REF!,IF(#REF!=0,#REF!*#REF!,#REF!*#REF!*#REF!))</f>
        <v>#REF!</v>
      </c>
      <c r="J1119" s="180" t="e">
        <f>#REF!*#REF!</f>
        <v>#REF!</v>
      </c>
      <c r="K1119" s="178" t="e">
        <f>#REF!*mo</f>
        <v>#REF!</v>
      </c>
      <c r="L1119" s="178" t="e">
        <f t="shared" si="143"/>
        <v>#REF!</v>
      </c>
      <c r="M1119" s="178" t="e">
        <f>#REF!*#REF!</f>
        <v>#REF!</v>
      </c>
      <c r="N1119" s="178" t="e">
        <f>#REF!+K1119+#REF!</f>
        <v>#REF!</v>
      </c>
      <c r="O1119" s="181" t="e">
        <f t="shared" si="144"/>
        <v>#REF!</v>
      </c>
    </row>
    <row r="1120" spans="1:16" s="193" customFormat="1" outlineLevel="2">
      <c r="A1120" s="155"/>
      <c r="B1120" s="197" t="s">
        <v>919</v>
      </c>
      <c r="C1120" s="190" t="s">
        <v>801</v>
      </c>
      <c r="D1120" s="191"/>
      <c r="E1120" s="176"/>
      <c r="F1120" s="177"/>
      <c r="G1120" s="192"/>
      <c r="H1120" s="179"/>
      <c r="I1120" s="283" t="e">
        <f>IF(#REF!="",#REF!*#REF!,IF(#REF!=0,#REF!*#REF!,#REF!*#REF!*#REF!))</f>
        <v>#REF!</v>
      </c>
      <c r="J1120" s="180" t="e">
        <f>#REF!*#REF!</f>
        <v>#REF!</v>
      </c>
      <c r="K1120" s="178" t="e">
        <f>#REF!*mo</f>
        <v>#REF!</v>
      </c>
      <c r="L1120" s="178" t="e">
        <f t="shared" si="143"/>
        <v>#REF!</v>
      </c>
      <c r="M1120" s="178" t="e">
        <f>#REF!*#REF!</f>
        <v>#REF!</v>
      </c>
      <c r="N1120" s="178" t="e">
        <f>#REF!+K1120+#REF!</f>
        <v>#REF!</v>
      </c>
      <c r="O1120" s="181" t="e">
        <f t="shared" si="144"/>
        <v>#REF!</v>
      </c>
    </row>
    <row r="1121" spans="1:16" outlineLevel="2">
      <c r="A1121" s="155"/>
      <c r="B1121" s="156"/>
      <c r="C1121" s="190"/>
      <c r="D1121" s="191"/>
      <c r="E1121" s="176"/>
      <c r="F1121" s="177"/>
      <c r="G1121" s="192"/>
      <c r="H1121" s="179"/>
      <c r="I1121" s="283" t="e">
        <f>IF(#REF!="",#REF!*#REF!,IF(#REF!=0,#REF!*#REF!,#REF!*#REF!*#REF!))</f>
        <v>#REF!</v>
      </c>
      <c r="J1121" s="180" t="e">
        <f>#REF!*#REF!</f>
        <v>#REF!</v>
      </c>
      <c r="K1121" s="178" t="e">
        <f>#REF!*mo</f>
        <v>#REF!</v>
      </c>
      <c r="L1121" s="178" t="e">
        <f t="shared" si="143"/>
        <v>#REF!</v>
      </c>
      <c r="M1121" s="178" t="e">
        <f>#REF!*#REF!</f>
        <v>#REF!</v>
      </c>
      <c r="N1121" s="178" t="e">
        <f>#REF!+K1121+#REF!</f>
        <v>#REF!</v>
      </c>
      <c r="O1121" s="181" t="e">
        <f t="shared" si="144"/>
        <v>#REF!</v>
      </c>
      <c r="P1121" s="193"/>
    </row>
    <row r="1122" spans="1:16" outlineLevel="2">
      <c r="A1122" s="155"/>
      <c r="B1122" s="156"/>
      <c r="C1122" s="190"/>
      <c r="D1122" s="191"/>
      <c r="E1122" s="176"/>
      <c r="F1122" s="177"/>
      <c r="G1122" s="192"/>
      <c r="H1122" s="179"/>
      <c r="I1122" s="283" t="e">
        <f>IF(#REF!="",#REF!*#REF!,IF(#REF!=0,#REF!*#REF!,#REF!*#REF!*#REF!))</f>
        <v>#REF!</v>
      </c>
      <c r="J1122" s="180" t="e">
        <f>#REF!*#REF!</f>
        <v>#REF!</v>
      </c>
      <c r="K1122" s="178" t="e">
        <f>#REF!*mo</f>
        <v>#REF!</v>
      </c>
      <c r="L1122" s="178" t="e">
        <f t="shared" ref="L1122" si="145">J1122*mo</f>
        <v>#REF!</v>
      </c>
      <c r="M1122" s="178" t="e">
        <f>#REF!*#REF!</f>
        <v>#REF!</v>
      </c>
      <c r="N1122" s="178" t="e">
        <f>#REF!+K1122+#REF!</f>
        <v>#REF!</v>
      </c>
      <c r="O1122" s="181" t="e">
        <f t="shared" si="144"/>
        <v>#REF!</v>
      </c>
      <c r="P1122" s="193"/>
    </row>
    <row r="1123" spans="1:16" outlineLevel="1">
      <c r="A1123" s="155"/>
      <c r="B1123" s="198" t="str">
        <f>"Total "&amp;B1109</f>
        <v>Total EMISSION DE CHALEUR</v>
      </c>
      <c r="C1123" s="190"/>
      <c r="D1123" s="191"/>
      <c r="E1123" s="176"/>
      <c r="F1123" s="177"/>
      <c r="G1123" s="192"/>
      <c r="H1123" s="179">
        <f>SUM(G1110:G1123)</f>
        <v>0</v>
      </c>
      <c r="I1123" s="283"/>
      <c r="J1123" s="180"/>
      <c r="K1123" s="178"/>
      <c r="L1123" s="178"/>
      <c r="M1123" s="178"/>
      <c r="N1123" s="178"/>
      <c r="O1123" s="181"/>
      <c r="P1123" s="193"/>
    </row>
    <row r="1124" spans="1:16" outlineLevel="1">
      <c r="A1124" s="155"/>
      <c r="B1124" s="156"/>
      <c r="C1124" s="190"/>
      <c r="D1124" s="191"/>
      <c r="E1124" s="176"/>
      <c r="F1124" s="177"/>
      <c r="G1124" s="192"/>
      <c r="H1124" s="179"/>
      <c r="I1124" s="283" t="e">
        <f>IF(#REF!="",#REF!*#REF!,IF(#REF!=0,#REF!*#REF!,#REF!*#REF!*#REF!))</f>
        <v>#REF!</v>
      </c>
      <c r="J1124" s="180" t="e">
        <f>#REF!*#REF!</f>
        <v>#REF!</v>
      </c>
      <c r="K1124" s="178" t="e">
        <f>#REF!*mo</f>
        <v>#REF!</v>
      </c>
      <c r="L1124" s="178" t="e">
        <f t="shared" si="143"/>
        <v>#REF!</v>
      </c>
      <c r="M1124" s="178" t="e">
        <f>#REF!*#REF!</f>
        <v>#REF!</v>
      </c>
      <c r="N1124" s="178" t="e">
        <f>#REF!+K1124+#REF!</f>
        <v>#REF!</v>
      </c>
      <c r="O1124" s="181" t="e">
        <f t="shared" si="144"/>
        <v>#REF!</v>
      </c>
      <c r="P1124" s="193"/>
    </row>
    <row r="1125" spans="1:16" s="228" customFormat="1" ht="12.6">
      <c r="A1125" s="153">
        <v>4</v>
      </c>
      <c r="B1125" s="154" t="s">
        <v>923</v>
      </c>
      <c r="C1125" s="221"/>
      <c r="D1125" s="222"/>
      <c r="E1125" s="223"/>
      <c r="F1125" s="224"/>
      <c r="G1125" s="186"/>
      <c r="H1125" s="187">
        <f>SUM(H1126:H1235)</f>
        <v>0</v>
      </c>
      <c r="I1125" s="290" t="e">
        <f>IF(#REF!="",#REF!*#REF!,IF(#REF!=0,#REF!*#REF!,#REF!*#REF!*#REF!))</f>
        <v>#REF!</v>
      </c>
      <c r="J1125" s="225"/>
      <c r="K1125" s="226"/>
      <c r="L1125" s="226"/>
      <c r="M1125" s="226"/>
      <c r="N1125" s="226"/>
      <c r="O1125" s="227"/>
    </row>
    <row r="1126" spans="1:16" s="193" customFormat="1" outlineLevel="1">
      <c r="A1126" s="155"/>
      <c r="B1126" s="156"/>
      <c r="C1126" s="190"/>
      <c r="D1126" s="191"/>
      <c r="E1126" s="176"/>
      <c r="F1126" s="177"/>
      <c r="G1126" s="192"/>
      <c r="H1126" s="179"/>
      <c r="I1126" s="283" t="e">
        <f>IF(#REF!="",#REF!*#REF!,IF(#REF!=0,#REF!*#REF!,#REF!*#REF!*#REF!))</f>
        <v>#REF!</v>
      </c>
      <c r="J1126" s="180" t="e">
        <f>#REF!*#REF!</f>
        <v>#REF!</v>
      </c>
      <c r="K1126" s="178" t="e">
        <f>#REF!*mo</f>
        <v>#REF!</v>
      </c>
      <c r="L1126" s="178" t="e">
        <f t="shared" ref="L1126:L1142" si="146">J1126*mo</f>
        <v>#REF!</v>
      </c>
      <c r="M1126" s="178" t="e">
        <f>#REF!*#REF!</f>
        <v>#REF!</v>
      </c>
      <c r="N1126" s="178" t="e">
        <f>#REF!+K1126+#REF!</f>
        <v>#REF!</v>
      </c>
      <c r="O1126" s="181" t="e">
        <f t="shared" ref="O1126:O1190" si="147">M1126+L1126+I1126</f>
        <v>#REF!</v>
      </c>
    </row>
    <row r="1127" spans="1:16" s="209" customFormat="1" outlineLevel="1">
      <c r="A1127" s="157" t="str">
        <f>A1125&amp;".1"</f>
        <v>4.1</v>
      </c>
      <c r="B1127" s="158" t="s">
        <v>924</v>
      </c>
      <c r="C1127" s="195"/>
      <c r="D1127" s="170"/>
      <c r="E1127" s="176"/>
      <c r="F1127" s="177"/>
      <c r="G1127" s="192"/>
      <c r="H1127" s="196"/>
      <c r="I1127" s="283" t="e">
        <f>IF(#REF!="",#REF!*#REF!,IF(#REF!=0,#REF!*#REF!,#REF!*#REF!*#REF!))</f>
        <v>#REF!</v>
      </c>
      <c r="J1127" s="180" t="e">
        <f>#REF!*#REF!</f>
        <v>#REF!</v>
      </c>
      <c r="K1127" s="178" t="e">
        <f>#REF!*mo</f>
        <v>#REF!</v>
      </c>
      <c r="L1127" s="178" t="e">
        <f t="shared" si="146"/>
        <v>#REF!</v>
      </c>
      <c r="M1127" s="178" t="e">
        <f>#REF!*#REF!</f>
        <v>#REF!</v>
      </c>
      <c r="N1127" s="178" t="e">
        <f>#REF!+K1127+#REF!</f>
        <v>#REF!</v>
      </c>
      <c r="O1127" s="181" t="e">
        <f t="shared" si="147"/>
        <v>#REF!</v>
      </c>
    </row>
    <row r="1128" spans="1:16" s="193" customFormat="1" outlineLevel="1">
      <c r="A1128" s="157" t="str">
        <f>$A$241&amp;".1"</f>
        <v>.1</v>
      </c>
      <c r="B1128" s="158" t="s">
        <v>925</v>
      </c>
      <c r="C1128" s="195"/>
      <c r="D1128" s="170"/>
      <c r="E1128" s="176"/>
      <c r="F1128" s="177"/>
      <c r="G1128" s="192">
        <f>SUM(F1129:F1139)</f>
        <v>0</v>
      </c>
      <c r="H1128" s="179"/>
      <c r="I1128" s="283" t="e">
        <f>IF(#REF!="",#REF!*#REF!,IF(#REF!=0,#REF!*#REF!,#REF!*#REF!*#REF!))</f>
        <v>#REF!</v>
      </c>
      <c r="J1128" s="180" t="e">
        <f>#REF!*#REF!</f>
        <v>#REF!</v>
      </c>
      <c r="K1128" s="178" t="e">
        <f>#REF!*mo</f>
        <v>#REF!</v>
      </c>
      <c r="L1128" s="178" t="e">
        <f t="shared" si="146"/>
        <v>#REF!</v>
      </c>
      <c r="M1128" s="178" t="e">
        <f>#REF!*#REF!</f>
        <v>#REF!</v>
      </c>
      <c r="N1128" s="178" t="e">
        <f>#REF!+K1128+#REF!</f>
        <v>#REF!</v>
      </c>
      <c r="O1128" s="181" t="e">
        <f t="shared" si="147"/>
        <v>#REF!</v>
      </c>
    </row>
    <row r="1129" spans="1:16" s="193" customFormat="1" outlineLevel="2">
      <c r="A1129" s="155"/>
      <c r="B1129" s="156"/>
      <c r="C1129" s="190"/>
      <c r="D1129" s="191"/>
      <c r="E1129" s="176"/>
      <c r="F1129" s="177"/>
      <c r="G1129" s="192"/>
      <c r="H1129" s="179"/>
      <c r="I1129" s="283" t="e">
        <f>IF(#REF!="",#REF!*#REF!,IF(#REF!=0,#REF!*#REF!,#REF!*#REF!*#REF!))</f>
        <v>#REF!</v>
      </c>
      <c r="J1129" s="180" t="e">
        <f>#REF!*#REF!</f>
        <v>#REF!</v>
      </c>
      <c r="K1129" s="178" t="e">
        <f>#REF!*mo</f>
        <v>#REF!</v>
      </c>
      <c r="L1129" s="178" t="e">
        <f t="shared" ref="L1129:L1130" si="148">J1129*mo</f>
        <v>#REF!</v>
      </c>
      <c r="M1129" s="178" t="e">
        <f>#REF!*#REF!</f>
        <v>#REF!</v>
      </c>
      <c r="N1129" s="178" t="e">
        <f>#REF!+K1129+#REF!</f>
        <v>#REF!</v>
      </c>
      <c r="O1129" s="181" t="e">
        <f t="shared" si="147"/>
        <v>#REF!</v>
      </c>
    </row>
    <row r="1130" spans="1:16" s="193" customFormat="1" outlineLevel="2">
      <c r="A1130" s="155"/>
      <c r="B1130" s="206" t="s">
        <v>926</v>
      </c>
      <c r="C1130" s="202" t="s">
        <v>48</v>
      </c>
      <c r="D1130" s="203"/>
      <c r="E1130" s="176"/>
      <c r="F1130" s="177"/>
      <c r="G1130" s="192"/>
      <c r="H1130" s="179"/>
      <c r="I1130" s="283" t="e">
        <f>IF(#REF!="",#REF!*#REF!,IF(#REF!=0,#REF!*#REF!,#REF!*#REF!*#REF!))</f>
        <v>#REF!</v>
      </c>
      <c r="J1130" s="180" t="e">
        <f>#REF!*#REF!</f>
        <v>#REF!</v>
      </c>
      <c r="K1130" s="178" t="e">
        <f>#REF!*mo</f>
        <v>#REF!</v>
      </c>
      <c r="L1130" s="178" t="e">
        <f t="shared" si="148"/>
        <v>#REF!</v>
      </c>
      <c r="M1130" s="178" t="e">
        <f>#REF!*#REF!</f>
        <v>#REF!</v>
      </c>
      <c r="N1130" s="178" t="e">
        <f>#REF!+K1130+#REF!</f>
        <v>#REF!</v>
      </c>
      <c r="O1130" s="181" t="e">
        <f t="shared" si="147"/>
        <v>#REF!</v>
      </c>
    </row>
    <row r="1131" spans="1:16" s="193" customFormat="1" outlineLevel="2">
      <c r="A1131" s="155"/>
      <c r="B1131" s="156"/>
      <c r="C1131" s="190"/>
      <c r="D1131" s="191"/>
      <c r="E1131" s="176"/>
      <c r="F1131" s="177"/>
      <c r="G1131" s="192"/>
      <c r="H1131" s="179"/>
      <c r="I1131" s="283" t="e">
        <f>IF(#REF!="",#REF!*#REF!,IF(#REF!=0,#REF!*#REF!,#REF!*#REF!*#REF!))</f>
        <v>#REF!</v>
      </c>
      <c r="J1131" s="180" t="e">
        <f>#REF!*#REF!</f>
        <v>#REF!</v>
      </c>
      <c r="K1131" s="178" t="e">
        <f>#REF!*mo</f>
        <v>#REF!</v>
      </c>
      <c r="L1131" s="178" t="e">
        <f t="shared" si="146"/>
        <v>#REF!</v>
      </c>
      <c r="M1131" s="178" t="e">
        <f>#REF!*#REF!</f>
        <v>#REF!</v>
      </c>
      <c r="N1131" s="178" t="e">
        <f>#REF!+K1131+#REF!</f>
        <v>#REF!</v>
      </c>
      <c r="O1131" s="181" t="e">
        <f t="shared" si="147"/>
        <v>#REF!</v>
      </c>
    </row>
    <row r="1132" spans="1:16" s="193" customFormat="1" outlineLevel="2">
      <c r="A1132" s="155"/>
      <c r="B1132" s="206" t="s">
        <v>927</v>
      </c>
      <c r="C1132" s="202" t="s">
        <v>801</v>
      </c>
      <c r="D1132" s="203"/>
      <c r="E1132" s="176"/>
      <c r="F1132" s="177"/>
      <c r="G1132" s="192"/>
      <c r="H1132" s="179"/>
      <c r="I1132" s="283" t="e">
        <f>IF(#REF!="",#REF!*#REF!,IF(#REF!=0,#REF!*#REF!,#REF!*#REF!*#REF!))</f>
        <v>#REF!</v>
      </c>
      <c r="J1132" s="180" t="e">
        <f>#REF!*#REF!</f>
        <v>#REF!</v>
      </c>
      <c r="K1132" s="178" t="e">
        <f>#REF!*mo</f>
        <v>#REF!</v>
      </c>
      <c r="L1132" s="178" t="e">
        <f t="shared" si="146"/>
        <v>#REF!</v>
      </c>
      <c r="M1132" s="178" t="e">
        <f>#REF!*#REF!</f>
        <v>#REF!</v>
      </c>
      <c r="N1132" s="178" t="e">
        <f>#REF!+K1132+#REF!</f>
        <v>#REF!</v>
      </c>
      <c r="O1132" s="181" t="e">
        <f t="shared" si="147"/>
        <v>#REF!</v>
      </c>
    </row>
    <row r="1133" spans="1:16" s="193" customFormat="1" outlineLevel="2">
      <c r="A1133" s="155"/>
      <c r="B1133" s="206" t="s">
        <v>928</v>
      </c>
      <c r="C1133" s="202" t="s">
        <v>801</v>
      </c>
      <c r="D1133" s="203"/>
      <c r="E1133" s="176"/>
      <c r="F1133" s="177"/>
      <c r="G1133" s="192"/>
      <c r="H1133" s="179"/>
      <c r="I1133" s="283" t="e">
        <f>IF(#REF!="",#REF!*#REF!,IF(#REF!=0,#REF!*#REF!,#REF!*#REF!*#REF!))</f>
        <v>#REF!</v>
      </c>
      <c r="J1133" s="180" t="e">
        <f>#REF!*#REF!</f>
        <v>#REF!</v>
      </c>
      <c r="K1133" s="178" t="e">
        <f>#REF!*mo</f>
        <v>#REF!</v>
      </c>
      <c r="L1133" s="178" t="e">
        <f t="shared" si="146"/>
        <v>#REF!</v>
      </c>
      <c r="M1133" s="178" t="e">
        <f>#REF!*#REF!</f>
        <v>#REF!</v>
      </c>
      <c r="N1133" s="178" t="e">
        <f>#REF!+K1133+#REF!</f>
        <v>#REF!</v>
      </c>
      <c r="O1133" s="181" t="e">
        <f t="shared" si="147"/>
        <v>#REF!</v>
      </c>
    </row>
    <row r="1134" spans="1:16" s="193" customFormat="1" outlineLevel="2">
      <c r="A1134" s="155"/>
      <c r="B1134" s="206" t="s">
        <v>929</v>
      </c>
      <c r="C1134" s="202" t="s">
        <v>801</v>
      </c>
      <c r="D1134" s="203"/>
      <c r="E1134" s="176"/>
      <c r="F1134" s="177"/>
      <c r="G1134" s="192"/>
      <c r="H1134" s="179"/>
      <c r="I1134" s="283" t="e">
        <f>IF(#REF!="",#REF!*#REF!,IF(#REF!=0,#REF!*#REF!,#REF!*#REF!*#REF!))</f>
        <v>#REF!</v>
      </c>
      <c r="J1134" s="180" t="e">
        <f>#REF!*#REF!</f>
        <v>#REF!</v>
      </c>
      <c r="K1134" s="178" t="e">
        <f>#REF!*mo</f>
        <v>#REF!</v>
      </c>
      <c r="L1134" s="178" t="e">
        <f t="shared" si="146"/>
        <v>#REF!</v>
      </c>
      <c r="M1134" s="178" t="e">
        <f>#REF!*#REF!</f>
        <v>#REF!</v>
      </c>
      <c r="N1134" s="178" t="e">
        <f>#REF!+K1134+#REF!</f>
        <v>#REF!</v>
      </c>
      <c r="O1134" s="181" t="e">
        <f t="shared" si="147"/>
        <v>#REF!</v>
      </c>
    </row>
    <row r="1135" spans="1:16" s="193" customFormat="1" outlineLevel="2">
      <c r="A1135" s="155"/>
      <c r="B1135" s="206" t="s">
        <v>930</v>
      </c>
      <c r="C1135" s="202" t="s">
        <v>801</v>
      </c>
      <c r="D1135" s="203"/>
      <c r="E1135" s="176"/>
      <c r="F1135" s="177"/>
      <c r="G1135" s="192"/>
      <c r="H1135" s="179"/>
      <c r="I1135" s="283" t="e">
        <f>IF(#REF!="",#REF!*#REF!,IF(#REF!=0,#REF!*#REF!,#REF!*#REF!*#REF!))</f>
        <v>#REF!</v>
      </c>
      <c r="J1135" s="180" t="e">
        <f>#REF!*#REF!</f>
        <v>#REF!</v>
      </c>
      <c r="K1135" s="178" t="e">
        <f>#REF!*mo</f>
        <v>#REF!</v>
      </c>
      <c r="L1135" s="178" t="e">
        <f t="shared" si="146"/>
        <v>#REF!</v>
      </c>
      <c r="M1135" s="178" t="e">
        <f>#REF!*#REF!</f>
        <v>#REF!</v>
      </c>
      <c r="N1135" s="178" t="e">
        <f>#REF!+K1135+#REF!</f>
        <v>#REF!</v>
      </c>
      <c r="O1135" s="181" t="e">
        <f t="shared" si="147"/>
        <v>#REF!</v>
      </c>
    </row>
    <row r="1136" spans="1:16" s="193" customFormat="1" outlineLevel="2">
      <c r="A1136" s="155"/>
      <c r="B1136" s="206" t="s">
        <v>931</v>
      </c>
      <c r="C1136" s="202" t="s">
        <v>801</v>
      </c>
      <c r="D1136" s="203"/>
      <c r="E1136" s="176"/>
      <c r="F1136" s="177"/>
      <c r="G1136" s="192"/>
      <c r="H1136" s="179"/>
      <c r="I1136" s="283" t="e">
        <f>IF(#REF!="",#REF!*#REF!,IF(#REF!=0,#REF!*#REF!,#REF!*#REF!*#REF!))</f>
        <v>#REF!</v>
      </c>
      <c r="J1136" s="180" t="e">
        <f>#REF!*#REF!</f>
        <v>#REF!</v>
      </c>
      <c r="K1136" s="178" t="e">
        <f>#REF!*mo</f>
        <v>#REF!</v>
      </c>
      <c r="L1136" s="178" t="e">
        <f t="shared" si="146"/>
        <v>#REF!</v>
      </c>
      <c r="M1136" s="178" t="e">
        <f>#REF!*#REF!</f>
        <v>#REF!</v>
      </c>
      <c r="N1136" s="178" t="e">
        <f>#REF!+K1136+#REF!</f>
        <v>#REF!</v>
      </c>
      <c r="O1136" s="181" t="e">
        <f t="shared" si="147"/>
        <v>#REF!</v>
      </c>
    </row>
    <row r="1137" spans="1:15" s="193" customFormat="1" outlineLevel="2">
      <c r="A1137" s="155"/>
      <c r="B1137" s="205" t="s">
        <v>864</v>
      </c>
      <c r="C1137" s="202" t="s">
        <v>795</v>
      </c>
      <c r="D1137" s="203"/>
      <c r="E1137" s="176"/>
      <c r="F1137" s="177"/>
      <c r="G1137" s="192"/>
      <c r="H1137" s="179"/>
      <c r="I1137" s="283" t="e">
        <f>IF(#REF!="",#REF!*#REF!,IF(#REF!=0,#REF!*#REF!,#REF!*#REF!*#REF!))</f>
        <v>#REF!</v>
      </c>
      <c r="J1137" s="180" t="e">
        <f>#REF!*#REF!</f>
        <v>#REF!</v>
      </c>
      <c r="K1137" s="178" t="e">
        <f>#REF!*mo</f>
        <v>#REF!</v>
      </c>
      <c r="L1137" s="178" t="e">
        <f t="shared" si="146"/>
        <v>#REF!</v>
      </c>
      <c r="M1137" s="178" t="e">
        <f>#REF!*#REF!</f>
        <v>#REF!</v>
      </c>
      <c r="N1137" s="178" t="e">
        <f>#REF!+K1137+#REF!</f>
        <v>#REF!</v>
      </c>
      <c r="O1137" s="181" t="e">
        <f t="shared" si="147"/>
        <v>#REF!</v>
      </c>
    </row>
    <row r="1138" spans="1:15" s="193" customFormat="1" outlineLevel="2">
      <c r="A1138" s="155"/>
      <c r="B1138" s="156"/>
      <c r="C1138" s="190"/>
      <c r="D1138" s="191"/>
      <c r="E1138" s="176"/>
      <c r="F1138" s="177"/>
      <c r="G1138" s="192"/>
      <c r="H1138" s="179"/>
      <c r="I1138" s="283" t="e">
        <f>IF(#REF!="",#REF!*#REF!,IF(#REF!=0,#REF!*#REF!,#REF!*#REF!*#REF!))</f>
        <v>#REF!</v>
      </c>
      <c r="J1138" s="180" t="e">
        <f>#REF!*#REF!</f>
        <v>#REF!</v>
      </c>
      <c r="K1138" s="178" t="e">
        <f>#REF!*mo</f>
        <v>#REF!</v>
      </c>
      <c r="L1138" s="178" t="e">
        <f t="shared" si="146"/>
        <v>#REF!</v>
      </c>
      <c r="M1138" s="178" t="e">
        <f>#REF!*#REF!</f>
        <v>#REF!</v>
      </c>
      <c r="N1138" s="178" t="e">
        <f>#REF!+K1138+#REF!</f>
        <v>#REF!</v>
      </c>
      <c r="O1138" s="181" t="e">
        <f t="shared" si="147"/>
        <v>#REF!</v>
      </c>
    </row>
    <row r="1139" spans="1:15" s="193" customFormat="1" outlineLevel="2">
      <c r="A1139" s="155"/>
      <c r="B1139" s="156"/>
      <c r="C1139" s="190"/>
      <c r="D1139" s="191"/>
      <c r="E1139" s="176"/>
      <c r="F1139" s="177"/>
      <c r="G1139" s="192"/>
      <c r="H1139" s="179"/>
      <c r="I1139" s="283" t="e">
        <f>IF(#REF!="",#REF!*#REF!,IF(#REF!=0,#REF!*#REF!,#REF!*#REF!*#REF!))</f>
        <v>#REF!</v>
      </c>
      <c r="J1139" s="180" t="e">
        <f>#REF!*#REF!</f>
        <v>#REF!</v>
      </c>
      <c r="K1139" s="178" t="e">
        <f>#REF!*mo</f>
        <v>#REF!</v>
      </c>
      <c r="L1139" s="178" t="e">
        <f t="shared" si="146"/>
        <v>#REF!</v>
      </c>
      <c r="M1139" s="178" t="e">
        <f>#REF!*#REF!</f>
        <v>#REF!</v>
      </c>
      <c r="N1139" s="178" t="e">
        <f>#REF!+K1139+#REF!</f>
        <v>#REF!</v>
      </c>
      <c r="O1139" s="181" t="e">
        <f t="shared" si="147"/>
        <v>#REF!</v>
      </c>
    </row>
    <row r="1140" spans="1:15" s="209" customFormat="1" outlineLevel="1">
      <c r="A1140" s="157" t="str">
        <f>$A$241&amp;".2"</f>
        <v>.2</v>
      </c>
      <c r="B1140" s="158" t="s">
        <v>932</v>
      </c>
      <c r="C1140" s="195"/>
      <c r="D1140" s="170"/>
      <c r="E1140" s="176"/>
      <c r="F1140" s="177"/>
      <c r="G1140" s="192">
        <f>SUM(F1141:F1192)</f>
        <v>0</v>
      </c>
      <c r="H1140" s="179"/>
      <c r="I1140" s="283" t="e">
        <f>IF(#REF!="",#REF!*#REF!,IF(#REF!=0,#REF!*#REF!,#REF!*#REF!*#REF!))</f>
        <v>#REF!</v>
      </c>
      <c r="J1140" s="180" t="e">
        <f>#REF!*#REF!</f>
        <v>#REF!</v>
      </c>
      <c r="K1140" s="178" t="e">
        <f>#REF!*mo</f>
        <v>#REF!</v>
      </c>
      <c r="L1140" s="178" t="e">
        <f t="shared" si="146"/>
        <v>#REF!</v>
      </c>
      <c r="M1140" s="178" t="e">
        <f>#REF!*#REF!</f>
        <v>#REF!</v>
      </c>
      <c r="N1140" s="178" t="e">
        <f>#REF!+K1140+#REF!</f>
        <v>#REF!</v>
      </c>
      <c r="O1140" s="181" t="e">
        <f t="shared" si="147"/>
        <v>#REF!</v>
      </c>
    </row>
    <row r="1141" spans="1:15" s="193" customFormat="1" outlineLevel="2">
      <c r="A1141" s="155"/>
      <c r="B1141" s="156"/>
      <c r="C1141" s="190"/>
      <c r="D1141" s="191"/>
      <c r="E1141" s="176"/>
      <c r="F1141" s="177"/>
      <c r="G1141" s="192"/>
      <c r="H1141" s="179"/>
      <c r="I1141" s="283" t="e">
        <f>IF(#REF!="",#REF!*#REF!,IF(#REF!=0,#REF!*#REF!,#REF!*#REF!*#REF!))</f>
        <v>#REF!</v>
      </c>
      <c r="J1141" s="180" t="e">
        <f>#REF!*#REF!</f>
        <v>#REF!</v>
      </c>
      <c r="K1141" s="178" t="e">
        <f>#REF!*mo</f>
        <v>#REF!</v>
      </c>
      <c r="L1141" s="178" t="e">
        <f t="shared" si="146"/>
        <v>#REF!</v>
      </c>
      <c r="M1141" s="178" t="e">
        <f>#REF!*#REF!</f>
        <v>#REF!</v>
      </c>
      <c r="N1141" s="178" t="e">
        <f>#REF!+K1141+#REF!</f>
        <v>#REF!</v>
      </c>
      <c r="O1141" s="181" t="e">
        <f t="shared" si="147"/>
        <v>#REF!</v>
      </c>
    </row>
    <row r="1142" spans="1:15" s="193" customFormat="1" outlineLevel="2">
      <c r="A1142" s="155"/>
      <c r="B1142" s="201" t="s">
        <v>933</v>
      </c>
      <c r="C1142" s="202" t="s">
        <v>106</v>
      </c>
      <c r="D1142" s="203"/>
      <c r="E1142" s="176"/>
      <c r="F1142" s="177"/>
      <c r="G1142" s="192"/>
      <c r="H1142" s="179"/>
      <c r="I1142" s="283" t="e">
        <f>IF(#REF!="",#REF!*#REF!,IF(#REF!=0,#REF!*#REF!,#REF!*#REF!*#REF!))</f>
        <v>#REF!</v>
      </c>
      <c r="J1142" s="180" t="e">
        <f>#REF!*#REF!</f>
        <v>#REF!</v>
      </c>
      <c r="K1142" s="178" t="e">
        <f>#REF!*mo</f>
        <v>#REF!</v>
      </c>
      <c r="L1142" s="178" t="e">
        <f t="shared" si="146"/>
        <v>#REF!</v>
      </c>
      <c r="M1142" s="178" t="e">
        <f>#REF!*#REF!</f>
        <v>#REF!</v>
      </c>
      <c r="N1142" s="178" t="e">
        <f>#REF!+K1142+#REF!</f>
        <v>#REF!</v>
      </c>
      <c r="O1142" s="181" t="e">
        <f t="shared" si="147"/>
        <v>#REF!</v>
      </c>
    </row>
    <row r="1143" spans="1:15" s="193" customFormat="1" outlineLevel="2">
      <c r="A1143" s="155"/>
      <c r="B1143" s="229"/>
      <c r="C1143" s="202"/>
      <c r="D1143" s="203"/>
      <c r="E1143" s="176"/>
      <c r="F1143" s="177"/>
      <c r="G1143" s="192"/>
      <c r="H1143" s="179"/>
      <c r="I1143" s="283" t="e">
        <f>IF(#REF!="",#REF!*#REF!,IF(#REF!=0,#REF!*#REF!,#REF!*#REF!*#REF!))</f>
        <v>#REF!</v>
      </c>
      <c r="J1143" s="180" t="e">
        <f>#REF!*#REF!</f>
        <v>#REF!</v>
      </c>
      <c r="K1143" s="178" t="e">
        <f>#REF!*mo</f>
        <v>#REF!</v>
      </c>
      <c r="L1143" s="178" t="e">
        <f t="shared" ref="L1143:L1233" si="149">J1143*mo</f>
        <v>#REF!</v>
      </c>
      <c r="M1143" s="178" t="e">
        <f>#REF!*#REF!</f>
        <v>#REF!</v>
      </c>
      <c r="N1143" s="178" t="e">
        <f>#REF!+K1143+#REF!</f>
        <v>#REF!</v>
      </c>
      <c r="O1143" s="181" t="e">
        <f t="shared" si="147"/>
        <v>#REF!</v>
      </c>
    </row>
    <row r="1144" spans="1:15" s="193" customFormat="1" outlineLevel="2">
      <c r="A1144" s="155"/>
      <c r="B1144" s="201" t="s">
        <v>934</v>
      </c>
      <c r="C1144" s="202" t="s">
        <v>106</v>
      </c>
      <c r="D1144" s="203"/>
      <c r="E1144" s="176"/>
      <c r="F1144" s="177"/>
      <c r="G1144" s="192"/>
      <c r="H1144" s="179"/>
      <c r="I1144" s="283" t="e">
        <f>IF(#REF!="",#REF!*#REF!,IF(#REF!=0,#REF!*#REF!,#REF!*#REF!*#REF!))</f>
        <v>#REF!</v>
      </c>
      <c r="J1144" s="180" t="e">
        <f>#REF!*#REF!</f>
        <v>#REF!</v>
      </c>
      <c r="K1144" s="178" t="e">
        <f>#REF!*mo</f>
        <v>#REF!</v>
      </c>
      <c r="L1144" s="178" t="e">
        <f t="shared" si="149"/>
        <v>#REF!</v>
      </c>
      <c r="M1144" s="178" t="e">
        <f>#REF!*#REF!</f>
        <v>#REF!</v>
      </c>
      <c r="N1144" s="178" t="e">
        <f>#REF!+K1144+#REF!</f>
        <v>#REF!</v>
      </c>
      <c r="O1144" s="181" t="e">
        <f t="shared" si="147"/>
        <v>#REF!</v>
      </c>
    </row>
    <row r="1145" spans="1:15" s="193" customFormat="1" outlineLevel="2">
      <c r="A1145" s="155"/>
      <c r="B1145" s="229"/>
      <c r="C1145" s="202"/>
      <c r="D1145" s="203"/>
      <c r="E1145" s="176"/>
      <c r="F1145" s="177"/>
      <c r="G1145" s="192"/>
      <c r="H1145" s="179"/>
      <c r="I1145" s="283" t="e">
        <f>IF(#REF!="",#REF!*#REF!,IF(#REF!=0,#REF!*#REF!,#REF!*#REF!*#REF!))</f>
        <v>#REF!</v>
      </c>
      <c r="J1145" s="180" t="e">
        <f>#REF!*#REF!</f>
        <v>#REF!</v>
      </c>
      <c r="K1145" s="178" t="e">
        <f>#REF!*mo</f>
        <v>#REF!</v>
      </c>
      <c r="L1145" s="178" t="e">
        <f t="shared" si="149"/>
        <v>#REF!</v>
      </c>
      <c r="M1145" s="178" t="e">
        <f>#REF!*#REF!</f>
        <v>#REF!</v>
      </c>
      <c r="N1145" s="178" t="e">
        <f>#REF!+K1145+#REF!</f>
        <v>#REF!</v>
      </c>
      <c r="O1145" s="181" t="e">
        <f t="shared" si="147"/>
        <v>#REF!</v>
      </c>
    </row>
    <row r="1146" spans="1:15" s="193" customFormat="1" outlineLevel="2">
      <c r="A1146" s="155"/>
      <c r="B1146" s="201" t="s">
        <v>935</v>
      </c>
      <c r="C1146" s="202"/>
      <c r="D1146" s="203"/>
      <c r="E1146" s="176"/>
      <c r="F1146" s="177"/>
      <c r="G1146" s="192"/>
      <c r="H1146" s="179"/>
      <c r="I1146" s="283" t="e">
        <f>IF(#REF!="",#REF!*#REF!,IF(#REF!=0,#REF!*#REF!,#REF!*#REF!*#REF!))</f>
        <v>#REF!</v>
      </c>
      <c r="J1146" s="180" t="e">
        <f>#REF!*#REF!</f>
        <v>#REF!</v>
      </c>
      <c r="K1146" s="178" t="e">
        <f>#REF!*mo</f>
        <v>#REF!</v>
      </c>
      <c r="L1146" s="178" t="e">
        <f t="shared" si="149"/>
        <v>#REF!</v>
      </c>
      <c r="M1146" s="178" t="e">
        <f>#REF!*#REF!</f>
        <v>#REF!</v>
      </c>
      <c r="N1146" s="178" t="e">
        <f>#REF!+K1146+#REF!</f>
        <v>#REF!</v>
      </c>
      <c r="O1146" s="181" t="e">
        <f t="shared" si="147"/>
        <v>#REF!</v>
      </c>
    </row>
    <row r="1147" spans="1:15" s="193" customFormat="1" outlineLevel="2">
      <c r="A1147" s="155"/>
      <c r="B1147" s="229"/>
      <c r="C1147" s="202"/>
      <c r="D1147" s="203"/>
      <c r="E1147" s="176"/>
      <c r="F1147" s="177"/>
      <c r="G1147" s="192"/>
      <c r="H1147" s="179"/>
      <c r="I1147" s="283" t="e">
        <f>IF(#REF!="",#REF!*#REF!,IF(#REF!=0,#REF!*#REF!,#REF!*#REF!*#REF!))</f>
        <v>#REF!</v>
      </c>
      <c r="J1147" s="180" t="e">
        <f>#REF!*#REF!</f>
        <v>#REF!</v>
      </c>
      <c r="K1147" s="178" t="e">
        <f>#REF!*mo</f>
        <v>#REF!</v>
      </c>
      <c r="L1147" s="178" t="e">
        <f t="shared" si="149"/>
        <v>#REF!</v>
      </c>
      <c r="M1147" s="178" t="e">
        <f>#REF!*#REF!</f>
        <v>#REF!</v>
      </c>
      <c r="N1147" s="178" t="e">
        <f>#REF!+K1147+#REF!</f>
        <v>#REF!</v>
      </c>
      <c r="O1147" s="181" t="e">
        <f t="shared" si="147"/>
        <v>#REF!</v>
      </c>
    </row>
    <row r="1148" spans="1:15" s="193" customFormat="1" outlineLevel="2">
      <c r="A1148" s="155"/>
      <c r="B1148" s="205" t="s">
        <v>936</v>
      </c>
      <c r="C1148" s="202" t="s">
        <v>937</v>
      </c>
      <c r="D1148" s="203"/>
      <c r="E1148" s="176"/>
      <c r="F1148" s="177"/>
      <c r="G1148" s="192"/>
      <c r="H1148" s="179"/>
      <c r="I1148" s="283" t="e">
        <f>IF(#REF!="",#REF!*#REF!,IF(#REF!=0,#REF!*#REF!,#REF!*#REF!*#REF!))</f>
        <v>#REF!</v>
      </c>
      <c r="J1148" s="180" t="e">
        <f>#REF!*#REF!</f>
        <v>#REF!</v>
      </c>
      <c r="K1148" s="178" t="e">
        <f>#REF!*mo</f>
        <v>#REF!</v>
      </c>
      <c r="L1148" s="178" t="e">
        <f t="shared" si="149"/>
        <v>#REF!</v>
      </c>
      <c r="M1148" s="178" t="e">
        <f>#REF!*#REF!</f>
        <v>#REF!</v>
      </c>
      <c r="N1148" s="178" t="e">
        <f>#REF!+K1148+#REF!</f>
        <v>#REF!</v>
      </c>
      <c r="O1148" s="181" t="e">
        <f t="shared" si="147"/>
        <v>#REF!</v>
      </c>
    </row>
    <row r="1149" spans="1:15" s="193" customFormat="1" outlineLevel="2">
      <c r="A1149" s="155"/>
      <c r="B1149" s="205" t="s">
        <v>938</v>
      </c>
      <c r="C1149" s="202"/>
      <c r="D1149" s="203"/>
      <c r="E1149" s="176"/>
      <c r="F1149" s="177"/>
      <c r="G1149" s="192"/>
      <c r="H1149" s="179"/>
      <c r="I1149" s="283" t="e">
        <f>IF(#REF!="",#REF!*#REF!,IF(#REF!=0,#REF!*#REF!,#REF!*#REF!*#REF!))</f>
        <v>#REF!</v>
      </c>
      <c r="J1149" s="180" t="e">
        <f>#REF!*#REF!</f>
        <v>#REF!</v>
      </c>
      <c r="K1149" s="178" t="e">
        <f>#REF!*mo</f>
        <v>#REF!</v>
      </c>
      <c r="L1149" s="178" t="e">
        <f t="shared" si="149"/>
        <v>#REF!</v>
      </c>
      <c r="M1149" s="178" t="e">
        <f>#REF!*#REF!</f>
        <v>#REF!</v>
      </c>
      <c r="N1149" s="178" t="e">
        <f>#REF!+K1149+#REF!</f>
        <v>#REF!</v>
      </c>
      <c r="O1149" s="181" t="e">
        <f t="shared" si="147"/>
        <v>#REF!</v>
      </c>
    </row>
    <row r="1150" spans="1:15" s="193" customFormat="1" outlineLevel="2">
      <c r="A1150" s="155"/>
      <c r="B1150" s="230" t="s">
        <v>939</v>
      </c>
      <c r="C1150" s="202" t="s">
        <v>123</v>
      </c>
      <c r="D1150" s="203"/>
      <c r="E1150" s="176"/>
      <c r="F1150" s="177"/>
      <c r="G1150" s="192"/>
      <c r="H1150" s="179"/>
      <c r="I1150" s="283" t="e">
        <f>IF(#REF!="",#REF!*#REF!,IF(#REF!=0,#REF!*#REF!,#REF!*#REF!*#REF!))</f>
        <v>#REF!</v>
      </c>
      <c r="J1150" s="180" t="e">
        <f>#REF!*#REF!</f>
        <v>#REF!</v>
      </c>
      <c r="K1150" s="178" t="e">
        <f>#REF!*mo</f>
        <v>#REF!</v>
      </c>
      <c r="L1150" s="178" t="e">
        <f t="shared" si="149"/>
        <v>#REF!</v>
      </c>
      <c r="M1150" s="178" t="e">
        <f>#REF!*#REF!</f>
        <v>#REF!</v>
      </c>
      <c r="N1150" s="178" t="e">
        <f>#REF!+K1150+#REF!</f>
        <v>#REF!</v>
      </c>
      <c r="O1150" s="181" t="e">
        <f t="shared" si="147"/>
        <v>#REF!</v>
      </c>
    </row>
    <row r="1151" spans="1:15" s="193" customFormat="1" outlineLevel="2">
      <c r="A1151" s="155"/>
      <c r="B1151" s="230" t="s">
        <v>940</v>
      </c>
      <c r="C1151" s="202" t="s">
        <v>123</v>
      </c>
      <c r="D1151" s="203"/>
      <c r="E1151" s="176"/>
      <c r="F1151" s="177"/>
      <c r="G1151" s="192"/>
      <c r="H1151" s="179"/>
      <c r="I1151" s="283" t="e">
        <f>IF(#REF!="",#REF!*#REF!,IF(#REF!=0,#REF!*#REF!,#REF!*#REF!*#REF!))</f>
        <v>#REF!</v>
      </c>
      <c r="J1151" s="180" t="e">
        <f>#REF!*#REF!</f>
        <v>#REF!</v>
      </c>
      <c r="K1151" s="178" t="e">
        <f>#REF!*mo</f>
        <v>#REF!</v>
      </c>
      <c r="L1151" s="178" t="e">
        <f t="shared" si="149"/>
        <v>#REF!</v>
      </c>
      <c r="M1151" s="178" t="e">
        <f>#REF!*#REF!</f>
        <v>#REF!</v>
      </c>
      <c r="N1151" s="178" t="e">
        <f>#REF!+K1151+#REF!</f>
        <v>#REF!</v>
      </c>
      <c r="O1151" s="181" t="e">
        <f t="shared" si="147"/>
        <v>#REF!</v>
      </c>
    </row>
    <row r="1152" spans="1:15" s="193" customFormat="1" outlineLevel="2">
      <c r="A1152" s="155"/>
      <c r="B1152" s="230" t="s">
        <v>941</v>
      </c>
      <c r="C1152" s="202" t="s">
        <v>123</v>
      </c>
      <c r="D1152" s="203"/>
      <c r="E1152" s="176"/>
      <c r="F1152" s="177"/>
      <c r="G1152" s="192"/>
      <c r="H1152" s="179"/>
      <c r="I1152" s="283" t="e">
        <f>IF(#REF!="",#REF!*#REF!,IF(#REF!=0,#REF!*#REF!,#REF!*#REF!*#REF!))</f>
        <v>#REF!</v>
      </c>
      <c r="J1152" s="180" t="e">
        <f>#REF!*#REF!</f>
        <v>#REF!</v>
      </c>
      <c r="K1152" s="178" t="e">
        <f>#REF!*mo</f>
        <v>#REF!</v>
      </c>
      <c r="L1152" s="178" t="e">
        <f t="shared" si="149"/>
        <v>#REF!</v>
      </c>
      <c r="M1152" s="178" t="e">
        <f>#REF!*#REF!</f>
        <v>#REF!</v>
      </c>
      <c r="N1152" s="178" t="e">
        <f>#REF!+K1152+#REF!</f>
        <v>#REF!</v>
      </c>
      <c r="O1152" s="181" t="e">
        <f t="shared" si="147"/>
        <v>#REF!</v>
      </c>
    </row>
    <row r="1153" spans="1:15" s="193" customFormat="1" outlineLevel="2">
      <c r="A1153" s="155"/>
      <c r="B1153" s="230" t="s">
        <v>942</v>
      </c>
      <c r="C1153" s="202" t="s">
        <v>123</v>
      </c>
      <c r="D1153" s="203"/>
      <c r="E1153" s="176"/>
      <c r="F1153" s="177"/>
      <c r="G1153" s="192"/>
      <c r="H1153" s="179"/>
      <c r="I1153" s="283" t="e">
        <f>IF(#REF!="",#REF!*#REF!,IF(#REF!=0,#REF!*#REF!,#REF!*#REF!*#REF!))</f>
        <v>#REF!</v>
      </c>
      <c r="J1153" s="180" t="e">
        <f>#REF!*#REF!</f>
        <v>#REF!</v>
      </c>
      <c r="K1153" s="178" t="e">
        <f>#REF!*mo</f>
        <v>#REF!</v>
      </c>
      <c r="L1153" s="178" t="e">
        <f t="shared" si="149"/>
        <v>#REF!</v>
      </c>
      <c r="M1153" s="178" t="e">
        <f>#REF!*#REF!</f>
        <v>#REF!</v>
      </c>
      <c r="N1153" s="178" t="e">
        <f>#REF!+K1153+#REF!</f>
        <v>#REF!</v>
      </c>
      <c r="O1153" s="181" t="e">
        <f t="shared" si="147"/>
        <v>#REF!</v>
      </c>
    </row>
    <row r="1154" spans="1:15" s="193" customFormat="1" outlineLevel="2">
      <c r="A1154" s="155"/>
      <c r="B1154" s="230" t="s">
        <v>943</v>
      </c>
      <c r="C1154" s="202" t="s">
        <v>123</v>
      </c>
      <c r="D1154" s="203"/>
      <c r="E1154" s="176"/>
      <c r="F1154" s="177"/>
      <c r="G1154" s="192"/>
      <c r="H1154" s="179"/>
      <c r="I1154" s="283" t="e">
        <f>IF(#REF!="",#REF!*#REF!,IF(#REF!=0,#REF!*#REF!,#REF!*#REF!*#REF!))</f>
        <v>#REF!</v>
      </c>
      <c r="J1154" s="180" t="e">
        <f>#REF!*#REF!</f>
        <v>#REF!</v>
      </c>
      <c r="K1154" s="178" t="e">
        <f>#REF!*mo</f>
        <v>#REF!</v>
      </c>
      <c r="L1154" s="178" t="e">
        <f t="shared" si="149"/>
        <v>#REF!</v>
      </c>
      <c r="M1154" s="178" t="e">
        <f>#REF!*#REF!</f>
        <v>#REF!</v>
      </c>
      <c r="N1154" s="178" t="e">
        <f>#REF!+K1154+#REF!</f>
        <v>#REF!</v>
      </c>
      <c r="O1154" s="181" t="e">
        <f t="shared" si="147"/>
        <v>#REF!</v>
      </c>
    </row>
    <row r="1155" spans="1:15" s="193" customFormat="1" outlineLevel="2">
      <c r="A1155" s="155"/>
      <c r="B1155" s="230" t="s">
        <v>868</v>
      </c>
      <c r="C1155" s="202" t="s">
        <v>123</v>
      </c>
      <c r="D1155" s="203"/>
      <c r="E1155" s="176"/>
      <c r="F1155" s="177"/>
      <c r="G1155" s="192"/>
      <c r="H1155" s="179"/>
      <c r="I1155" s="283" t="e">
        <f>IF(#REF!="",#REF!*#REF!,IF(#REF!=0,#REF!*#REF!,#REF!*#REF!*#REF!))</f>
        <v>#REF!</v>
      </c>
      <c r="J1155" s="180" t="e">
        <f>#REF!*#REF!</f>
        <v>#REF!</v>
      </c>
      <c r="K1155" s="178" t="e">
        <f>#REF!*mo</f>
        <v>#REF!</v>
      </c>
      <c r="L1155" s="178" t="e">
        <f t="shared" si="149"/>
        <v>#REF!</v>
      </c>
      <c r="M1155" s="178" t="e">
        <f>#REF!*#REF!</f>
        <v>#REF!</v>
      </c>
      <c r="N1155" s="178" t="e">
        <f>#REF!+K1155+#REF!</f>
        <v>#REF!</v>
      </c>
      <c r="O1155" s="181" t="e">
        <f t="shared" si="147"/>
        <v>#REF!</v>
      </c>
    </row>
    <row r="1156" spans="1:15" s="193" customFormat="1" outlineLevel="2">
      <c r="A1156" s="155"/>
      <c r="B1156" s="230" t="s">
        <v>944</v>
      </c>
      <c r="C1156" s="202" t="s">
        <v>123</v>
      </c>
      <c r="D1156" s="203"/>
      <c r="E1156" s="176"/>
      <c r="F1156" s="177"/>
      <c r="G1156" s="192"/>
      <c r="H1156" s="179"/>
      <c r="I1156" s="283" t="e">
        <f>IF(#REF!="",#REF!*#REF!,IF(#REF!=0,#REF!*#REF!,#REF!*#REF!*#REF!))</f>
        <v>#REF!</v>
      </c>
      <c r="J1156" s="180" t="e">
        <f>#REF!*#REF!</f>
        <v>#REF!</v>
      </c>
      <c r="K1156" s="178" t="e">
        <f>#REF!*mo</f>
        <v>#REF!</v>
      </c>
      <c r="L1156" s="178" t="e">
        <f t="shared" si="149"/>
        <v>#REF!</v>
      </c>
      <c r="M1156" s="178" t="e">
        <f>#REF!*#REF!</f>
        <v>#REF!</v>
      </c>
      <c r="N1156" s="178" t="e">
        <f>#REF!+K1156+#REF!</f>
        <v>#REF!</v>
      </c>
      <c r="O1156" s="181" t="e">
        <f t="shared" si="147"/>
        <v>#REF!</v>
      </c>
    </row>
    <row r="1157" spans="1:15" s="193" customFormat="1" outlineLevel="2">
      <c r="A1157" s="155"/>
      <c r="B1157" s="230" t="s">
        <v>870</v>
      </c>
      <c r="C1157" s="202" t="s">
        <v>123</v>
      </c>
      <c r="D1157" s="203"/>
      <c r="E1157" s="176"/>
      <c r="F1157" s="177"/>
      <c r="G1157" s="192"/>
      <c r="H1157" s="179"/>
      <c r="I1157" s="283" t="e">
        <f>IF(#REF!="",#REF!*#REF!,IF(#REF!=0,#REF!*#REF!,#REF!*#REF!*#REF!))</f>
        <v>#REF!</v>
      </c>
      <c r="J1157" s="180" t="e">
        <f>#REF!*#REF!</f>
        <v>#REF!</v>
      </c>
      <c r="K1157" s="178" t="e">
        <f>#REF!*mo</f>
        <v>#REF!</v>
      </c>
      <c r="L1157" s="178" t="e">
        <f t="shared" si="149"/>
        <v>#REF!</v>
      </c>
      <c r="M1157" s="178" t="e">
        <f>#REF!*#REF!</f>
        <v>#REF!</v>
      </c>
      <c r="N1157" s="178" t="e">
        <f>#REF!+K1157+#REF!</f>
        <v>#REF!</v>
      </c>
      <c r="O1157" s="181" t="e">
        <f t="shared" si="147"/>
        <v>#REF!</v>
      </c>
    </row>
    <row r="1158" spans="1:15" s="193" customFormat="1" outlineLevel="2">
      <c r="A1158" s="155"/>
      <c r="B1158" s="230" t="s">
        <v>871</v>
      </c>
      <c r="C1158" s="202" t="s">
        <v>123</v>
      </c>
      <c r="D1158" s="203"/>
      <c r="E1158" s="176"/>
      <c r="F1158" s="177"/>
      <c r="G1158" s="192"/>
      <c r="H1158" s="179"/>
      <c r="I1158" s="283" t="e">
        <f>IF(#REF!="",#REF!*#REF!,IF(#REF!=0,#REF!*#REF!,#REF!*#REF!*#REF!))</f>
        <v>#REF!</v>
      </c>
      <c r="J1158" s="180" t="e">
        <f>#REF!*#REF!</f>
        <v>#REF!</v>
      </c>
      <c r="K1158" s="178" t="e">
        <f>#REF!*mo</f>
        <v>#REF!</v>
      </c>
      <c r="L1158" s="178" t="e">
        <f t="shared" si="149"/>
        <v>#REF!</v>
      </c>
      <c r="M1158" s="178" t="e">
        <f>#REF!*#REF!</f>
        <v>#REF!</v>
      </c>
      <c r="N1158" s="178" t="e">
        <f>#REF!+K1158+#REF!</f>
        <v>#REF!</v>
      </c>
      <c r="O1158" s="181" t="e">
        <f t="shared" si="147"/>
        <v>#REF!</v>
      </c>
    </row>
    <row r="1159" spans="1:15" s="193" customFormat="1" outlineLevel="2">
      <c r="A1159" s="155"/>
      <c r="B1159" s="205" t="s">
        <v>945</v>
      </c>
      <c r="C1159" s="202" t="s">
        <v>801</v>
      </c>
      <c r="D1159" s="203"/>
      <c r="E1159" s="176"/>
      <c r="F1159" s="177"/>
      <c r="G1159" s="192"/>
      <c r="H1159" s="179"/>
      <c r="I1159" s="283" t="e">
        <f>IF(#REF!="",#REF!*#REF!,IF(#REF!=0,#REF!*#REF!,#REF!*#REF!*#REF!))</f>
        <v>#REF!</v>
      </c>
      <c r="J1159" s="180" t="e">
        <f>#REF!*#REF!</f>
        <v>#REF!</v>
      </c>
      <c r="K1159" s="178" t="e">
        <f>#REF!*mo</f>
        <v>#REF!</v>
      </c>
      <c r="L1159" s="178" t="e">
        <f t="shared" si="149"/>
        <v>#REF!</v>
      </c>
      <c r="M1159" s="178" t="e">
        <f>#REF!*#REF!</f>
        <v>#REF!</v>
      </c>
      <c r="N1159" s="178" t="e">
        <f>#REF!+K1159+#REF!</f>
        <v>#REF!</v>
      </c>
      <c r="O1159" s="181" t="e">
        <f t="shared" si="147"/>
        <v>#REF!</v>
      </c>
    </row>
    <row r="1160" spans="1:15" s="193" customFormat="1" outlineLevel="2">
      <c r="A1160" s="155"/>
      <c r="B1160" s="205"/>
      <c r="C1160" s="202"/>
      <c r="D1160" s="203"/>
      <c r="E1160" s="176"/>
      <c r="F1160" s="177"/>
      <c r="G1160" s="192"/>
      <c r="H1160" s="179"/>
      <c r="I1160" s="283" t="e">
        <f>IF(#REF!="",#REF!*#REF!,IF(#REF!=0,#REF!*#REF!,#REF!*#REF!*#REF!))</f>
        <v>#REF!</v>
      </c>
      <c r="J1160" s="180" t="e">
        <f>#REF!*#REF!</f>
        <v>#REF!</v>
      </c>
      <c r="K1160" s="178" t="e">
        <f>#REF!*mo</f>
        <v>#REF!</v>
      </c>
      <c r="L1160" s="178" t="e">
        <f t="shared" si="149"/>
        <v>#REF!</v>
      </c>
      <c r="M1160" s="178" t="e">
        <f>#REF!*#REF!</f>
        <v>#REF!</v>
      </c>
      <c r="N1160" s="178" t="e">
        <f>#REF!+K1160+#REF!</f>
        <v>#REF!</v>
      </c>
      <c r="O1160" s="181" t="e">
        <f t="shared" si="147"/>
        <v>#REF!</v>
      </c>
    </row>
    <row r="1161" spans="1:15" s="193" customFormat="1" outlineLevel="2">
      <c r="A1161" s="155"/>
      <c r="B1161" s="230" t="s">
        <v>946</v>
      </c>
      <c r="C1161" s="202" t="s">
        <v>947</v>
      </c>
      <c r="D1161" s="203"/>
      <c r="E1161" s="176"/>
      <c r="F1161" s="177"/>
      <c r="G1161" s="192"/>
      <c r="H1161" s="179"/>
      <c r="I1161" s="283" t="e">
        <f>IF(#REF!="",#REF!*#REF!,IF(#REF!=0,#REF!*#REF!,#REF!*#REF!*#REF!))</f>
        <v>#REF!</v>
      </c>
      <c r="J1161" s="180" t="e">
        <f>#REF!*#REF!</f>
        <v>#REF!</v>
      </c>
      <c r="K1161" s="178" t="e">
        <f>#REF!*mo</f>
        <v>#REF!</v>
      </c>
      <c r="L1161" s="178" t="e">
        <f t="shared" si="149"/>
        <v>#REF!</v>
      </c>
      <c r="M1161" s="178" t="e">
        <f>#REF!*#REF!</f>
        <v>#REF!</v>
      </c>
      <c r="N1161" s="178" t="e">
        <f>#REF!+K1161+#REF!</f>
        <v>#REF!</v>
      </c>
      <c r="O1161" s="181" t="e">
        <f t="shared" si="147"/>
        <v>#REF!</v>
      </c>
    </row>
    <row r="1162" spans="1:15" s="193" customFormat="1" outlineLevel="2">
      <c r="A1162" s="155"/>
      <c r="B1162" s="230" t="s">
        <v>948</v>
      </c>
      <c r="C1162" s="202" t="s">
        <v>947</v>
      </c>
      <c r="D1162" s="203"/>
      <c r="E1162" s="176"/>
      <c r="F1162" s="177"/>
      <c r="G1162" s="192"/>
      <c r="H1162" s="179"/>
      <c r="I1162" s="283" t="e">
        <f>IF(#REF!="",#REF!*#REF!,IF(#REF!=0,#REF!*#REF!,#REF!*#REF!*#REF!))</f>
        <v>#REF!</v>
      </c>
      <c r="J1162" s="180" t="e">
        <f>#REF!*#REF!</f>
        <v>#REF!</v>
      </c>
      <c r="K1162" s="178" t="e">
        <f>#REF!*mo</f>
        <v>#REF!</v>
      </c>
      <c r="L1162" s="178" t="e">
        <f t="shared" si="149"/>
        <v>#REF!</v>
      </c>
      <c r="M1162" s="178" t="e">
        <f>#REF!*#REF!</f>
        <v>#REF!</v>
      </c>
      <c r="N1162" s="178" t="e">
        <f>#REF!+K1162+#REF!</f>
        <v>#REF!</v>
      </c>
      <c r="O1162" s="181" t="e">
        <f t="shared" si="147"/>
        <v>#REF!</v>
      </c>
    </row>
    <row r="1163" spans="1:15" s="193" customFormat="1" outlineLevel="2">
      <c r="A1163" s="155"/>
      <c r="B1163" s="231"/>
      <c r="C1163" s="202"/>
      <c r="D1163" s="203"/>
      <c r="E1163" s="176"/>
      <c r="F1163" s="177"/>
      <c r="G1163" s="192"/>
      <c r="H1163" s="179"/>
      <c r="I1163" s="283" t="e">
        <f>IF(#REF!="",#REF!*#REF!,IF(#REF!=0,#REF!*#REF!,#REF!*#REF!*#REF!))</f>
        <v>#REF!</v>
      </c>
      <c r="J1163" s="180" t="e">
        <f>#REF!*#REF!</f>
        <v>#REF!</v>
      </c>
      <c r="K1163" s="178" t="e">
        <f>#REF!*mo</f>
        <v>#REF!</v>
      </c>
      <c r="L1163" s="178" t="e">
        <f t="shared" si="149"/>
        <v>#REF!</v>
      </c>
      <c r="M1163" s="178" t="e">
        <f>#REF!*#REF!</f>
        <v>#REF!</v>
      </c>
      <c r="N1163" s="178" t="e">
        <f>#REF!+K1163+#REF!</f>
        <v>#REF!</v>
      </c>
      <c r="O1163" s="181" t="e">
        <f t="shared" si="147"/>
        <v>#REF!</v>
      </c>
    </row>
    <row r="1164" spans="1:15" s="193" customFormat="1" outlineLevel="2">
      <c r="A1164" s="155"/>
      <c r="B1164" s="230" t="s">
        <v>949</v>
      </c>
      <c r="C1164" s="202" t="s">
        <v>801</v>
      </c>
      <c r="D1164" s="203"/>
      <c r="E1164" s="176"/>
      <c r="F1164" s="177"/>
      <c r="G1164" s="192"/>
      <c r="H1164" s="179"/>
      <c r="I1164" s="283" t="e">
        <f>IF(#REF!="",#REF!*#REF!,IF(#REF!=0,#REF!*#REF!,#REF!*#REF!*#REF!))</f>
        <v>#REF!</v>
      </c>
      <c r="J1164" s="180" t="e">
        <f>#REF!*#REF!</f>
        <v>#REF!</v>
      </c>
      <c r="K1164" s="178" t="e">
        <f>#REF!*mo</f>
        <v>#REF!</v>
      </c>
      <c r="L1164" s="178" t="e">
        <f t="shared" si="149"/>
        <v>#REF!</v>
      </c>
      <c r="M1164" s="178" t="e">
        <f>#REF!*#REF!</f>
        <v>#REF!</v>
      </c>
      <c r="N1164" s="178" t="e">
        <f>#REF!+K1164+#REF!</f>
        <v>#REF!</v>
      </c>
      <c r="O1164" s="181" t="e">
        <f t="shared" si="147"/>
        <v>#REF!</v>
      </c>
    </row>
    <row r="1165" spans="1:15" s="193" customFormat="1" outlineLevel="2">
      <c r="A1165" s="155"/>
      <c r="B1165" s="205"/>
      <c r="C1165" s="202"/>
      <c r="D1165" s="203"/>
      <c r="E1165" s="176"/>
      <c r="F1165" s="177"/>
      <c r="G1165" s="192"/>
      <c r="H1165" s="179"/>
      <c r="I1165" s="283" t="e">
        <f>IF(#REF!="",#REF!*#REF!,IF(#REF!=0,#REF!*#REF!,#REF!*#REF!*#REF!))</f>
        <v>#REF!</v>
      </c>
      <c r="J1165" s="180" t="e">
        <f>#REF!*#REF!</f>
        <v>#REF!</v>
      </c>
      <c r="K1165" s="178" t="e">
        <f>#REF!*mo</f>
        <v>#REF!</v>
      </c>
      <c r="L1165" s="178" t="e">
        <f t="shared" si="149"/>
        <v>#REF!</v>
      </c>
      <c r="M1165" s="178" t="e">
        <f>#REF!*#REF!</f>
        <v>#REF!</v>
      </c>
      <c r="N1165" s="178" t="e">
        <f>#REF!+K1165+#REF!</f>
        <v>#REF!</v>
      </c>
      <c r="O1165" s="181" t="e">
        <f t="shared" si="147"/>
        <v>#REF!</v>
      </c>
    </row>
    <row r="1166" spans="1:15" s="193" customFormat="1" outlineLevel="2">
      <c r="A1166" s="155"/>
      <c r="B1166" s="230" t="s">
        <v>950</v>
      </c>
      <c r="C1166" s="202" t="s">
        <v>93</v>
      </c>
      <c r="D1166" s="203"/>
      <c r="E1166" s="176"/>
      <c r="F1166" s="177"/>
      <c r="G1166" s="192"/>
      <c r="H1166" s="179"/>
      <c r="I1166" s="283" t="e">
        <f>IF(#REF!="",#REF!*#REF!,IF(#REF!=0,#REF!*#REF!,#REF!*#REF!*#REF!))</f>
        <v>#REF!</v>
      </c>
      <c r="J1166" s="180" t="e">
        <f>#REF!*#REF!</f>
        <v>#REF!</v>
      </c>
      <c r="K1166" s="178" t="e">
        <f>#REF!*mo</f>
        <v>#REF!</v>
      </c>
      <c r="L1166" s="178" t="e">
        <f t="shared" si="149"/>
        <v>#REF!</v>
      </c>
      <c r="M1166" s="178" t="e">
        <f>#REF!*#REF!</f>
        <v>#REF!</v>
      </c>
      <c r="N1166" s="178" t="e">
        <f>#REF!+K1166+#REF!</f>
        <v>#REF!</v>
      </c>
      <c r="O1166" s="181" t="e">
        <f t="shared" si="147"/>
        <v>#REF!</v>
      </c>
    </row>
    <row r="1167" spans="1:15" s="193" customFormat="1" outlineLevel="2">
      <c r="A1167" s="155"/>
      <c r="B1167" s="230" t="s">
        <v>951</v>
      </c>
      <c r="C1167" s="202" t="s">
        <v>795</v>
      </c>
      <c r="D1167" s="203"/>
      <c r="E1167" s="176"/>
      <c r="F1167" s="177"/>
      <c r="G1167" s="192"/>
      <c r="H1167" s="179"/>
      <c r="I1167" s="283" t="e">
        <f>IF(#REF!="",#REF!*#REF!,IF(#REF!=0,#REF!*#REF!,#REF!*#REF!*#REF!))</f>
        <v>#REF!</v>
      </c>
      <c r="J1167" s="180" t="e">
        <f>#REF!*#REF!</f>
        <v>#REF!</v>
      </c>
      <c r="K1167" s="178" t="e">
        <f>#REF!*mo</f>
        <v>#REF!</v>
      </c>
      <c r="L1167" s="178" t="e">
        <f t="shared" si="149"/>
        <v>#REF!</v>
      </c>
      <c r="M1167" s="178" t="e">
        <f>#REF!*#REF!</f>
        <v>#REF!</v>
      </c>
      <c r="N1167" s="178" t="e">
        <f>#REF!+K1167+#REF!</f>
        <v>#REF!</v>
      </c>
      <c r="O1167" s="181" t="e">
        <f t="shared" si="147"/>
        <v>#REF!</v>
      </c>
    </row>
    <row r="1168" spans="1:15" s="193" customFormat="1" outlineLevel="2">
      <c r="A1168" s="155"/>
      <c r="B1168" s="230" t="s">
        <v>952</v>
      </c>
      <c r="C1168" s="202" t="s">
        <v>795</v>
      </c>
      <c r="D1168" s="203"/>
      <c r="E1168" s="176"/>
      <c r="F1168" s="177"/>
      <c r="G1168" s="192"/>
      <c r="H1168" s="179"/>
      <c r="I1168" s="283" t="e">
        <f>IF(#REF!="",#REF!*#REF!,IF(#REF!=0,#REF!*#REF!,#REF!*#REF!*#REF!))</f>
        <v>#REF!</v>
      </c>
      <c r="J1168" s="180" t="e">
        <f>#REF!*#REF!</f>
        <v>#REF!</v>
      </c>
      <c r="K1168" s="178" t="e">
        <f>#REF!*mo</f>
        <v>#REF!</v>
      </c>
      <c r="L1168" s="178" t="e">
        <f t="shared" si="149"/>
        <v>#REF!</v>
      </c>
      <c r="M1168" s="178" t="e">
        <f>#REF!*#REF!</f>
        <v>#REF!</v>
      </c>
      <c r="N1168" s="178" t="e">
        <f>#REF!+K1168+#REF!</f>
        <v>#REF!</v>
      </c>
      <c r="O1168" s="181" t="e">
        <f t="shared" si="147"/>
        <v>#REF!</v>
      </c>
    </row>
    <row r="1169" spans="1:15" s="193" customFormat="1" outlineLevel="2">
      <c r="A1169" s="155"/>
      <c r="B1169" s="230"/>
      <c r="C1169" s="202"/>
      <c r="D1169" s="203"/>
      <c r="E1169" s="176"/>
      <c r="F1169" s="177"/>
      <c r="G1169" s="192"/>
      <c r="H1169" s="179"/>
      <c r="I1169" s="283" t="e">
        <f>IF(#REF!="",#REF!*#REF!,IF(#REF!=0,#REF!*#REF!,#REF!*#REF!*#REF!))</f>
        <v>#REF!</v>
      </c>
      <c r="J1169" s="180" t="e">
        <f>#REF!*#REF!</f>
        <v>#REF!</v>
      </c>
      <c r="K1169" s="178" t="e">
        <f>#REF!*mo</f>
        <v>#REF!</v>
      </c>
      <c r="L1169" s="178" t="e">
        <f t="shared" si="149"/>
        <v>#REF!</v>
      </c>
      <c r="M1169" s="178" t="e">
        <f>#REF!*#REF!</f>
        <v>#REF!</v>
      </c>
      <c r="N1169" s="178" t="e">
        <f>#REF!+K1169+#REF!</f>
        <v>#REF!</v>
      </c>
      <c r="O1169" s="181" t="e">
        <f t="shared" si="147"/>
        <v>#REF!</v>
      </c>
    </row>
    <row r="1170" spans="1:15" s="193" customFormat="1" outlineLevel="2">
      <c r="A1170" s="155"/>
      <c r="B1170" s="201" t="s">
        <v>953</v>
      </c>
      <c r="C1170" s="202"/>
      <c r="D1170" s="203"/>
      <c r="E1170" s="176"/>
      <c r="F1170" s="177"/>
      <c r="G1170" s="192"/>
      <c r="H1170" s="179"/>
      <c r="I1170" s="283" t="e">
        <f>IF(#REF!="",#REF!*#REF!,IF(#REF!=0,#REF!*#REF!,#REF!*#REF!*#REF!))</f>
        <v>#REF!</v>
      </c>
      <c r="J1170" s="180" t="e">
        <f>#REF!*#REF!</f>
        <v>#REF!</v>
      </c>
      <c r="K1170" s="178" t="e">
        <f>#REF!*mo</f>
        <v>#REF!</v>
      </c>
      <c r="L1170" s="178" t="e">
        <f t="shared" si="149"/>
        <v>#REF!</v>
      </c>
      <c r="M1170" s="178" t="e">
        <f>#REF!*#REF!</f>
        <v>#REF!</v>
      </c>
      <c r="N1170" s="178" t="e">
        <f>#REF!+K1170+#REF!</f>
        <v>#REF!</v>
      </c>
      <c r="O1170" s="181" t="e">
        <f t="shared" si="147"/>
        <v>#REF!</v>
      </c>
    </row>
    <row r="1171" spans="1:15" s="193" customFormat="1" outlineLevel="2">
      <c r="A1171" s="155"/>
      <c r="B1171" s="229"/>
      <c r="C1171" s="202"/>
      <c r="D1171" s="203"/>
      <c r="E1171" s="176"/>
      <c r="F1171" s="177"/>
      <c r="G1171" s="192"/>
      <c r="H1171" s="179"/>
      <c r="I1171" s="283" t="e">
        <f>IF(#REF!="",#REF!*#REF!,IF(#REF!=0,#REF!*#REF!,#REF!*#REF!*#REF!))</f>
        <v>#REF!</v>
      </c>
      <c r="J1171" s="180" t="e">
        <f>#REF!*#REF!</f>
        <v>#REF!</v>
      </c>
      <c r="K1171" s="178" t="e">
        <f>#REF!*mo</f>
        <v>#REF!</v>
      </c>
      <c r="L1171" s="178" t="e">
        <f t="shared" si="149"/>
        <v>#REF!</v>
      </c>
      <c r="M1171" s="178" t="e">
        <f>#REF!*#REF!</f>
        <v>#REF!</v>
      </c>
      <c r="N1171" s="178" t="e">
        <f>#REF!+K1171+#REF!</f>
        <v>#REF!</v>
      </c>
      <c r="O1171" s="181" t="e">
        <f t="shared" si="147"/>
        <v>#REF!</v>
      </c>
    </row>
    <row r="1172" spans="1:15" s="193" customFormat="1" outlineLevel="2">
      <c r="A1172" s="155"/>
      <c r="B1172" s="205" t="s">
        <v>936</v>
      </c>
      <c r="C1172" s="202" t="s">
        <v>937</v>
      </c>
      <c r="D1172" s="203"/>
      <c r="E1172" s="176"/>
      <c r="F1172" s="177"/>
      <c r="G1172" s="192"/>
      <c r="H1172" s="179"/>
      <c r="I1172" s="283" t="e">
        <f>IF(#REF!="",#REF!*#REF!,IF(#REF!=0,#REF!*#REF!,#REF!*#REF!*#REF!))</f>
        <v>#REF!</v>
      </c>
      <c r="J1172" s="180" t="e">
        <f>#REF!*#REF!</f>
        <v>#REF!</v>
      </c>
      <c r="K1172" s="178" t="e">
        <f>#REF!*mo</f>
        <v>#REF!</v>
      </c>
      <c r="L1172" s="178" t="e">
        <f t="shared" si="149"/>
        <v>#REF!</v>
      </c>
      <c r="M1172" s="178" t="e">
        <f>#REF!*#REF!</f>
        <v>#REF!</v>
      </c>
      <c r="N1172" s="178" t="e">
        <f>#REF!+K1172+#REF!</f>
        <v>#REF!</v>
      </c>
      <c r="O1172" s="181" t="e">
        <f t="shared" si="147"/>
        <v>#REF!</v>
      </c>
    </row>
    <row r="1173" spans="1:15" s="193" customFormat="1" outlineLevel="2">
      <c r="A1173" s="155"/>
      <c r="B1173" s="205" t="s">
        <v>938</v>
      </c>
      <c r="C1173" s="202"/>
      <c r="D1173" s="203"/>
      <c r="E1173" s="176"/>
      <c r="F1173" s="177"/>
      <c r="G1173" s="192"/>
      <c r="H1173" s="179"/>
      <c r="I1173" s="283" t="e">
        <f>IF(#REF!="",#REF!*#REF!,IF(#REF!=0,#REF!*#REF!,#REF!*#REF!*#REF!))</f>
        <v>#REF!</v>
      </c>
      <c r="J1173" s="180" t="e">
        <f>#REF!*#REF!</f>
        <v>#REF!</v>
      </c>
      <c r="K1173" s="178" t="e">
        <f>#REF!*mo</f>
        <v>#REF!</v>
      </c>
      <c r="L1173" s="178" t="e">
        <f t="shared" si="149"/>
        <v>#REF!</v>
      </c>
      <c r="M1173" s="178" t="e">
        <f>#REF!*#REF!</f>
        <v>#REF!</v>
      </c>
      <c r="N1173" s="178" t="e">
        <f>#REF!+K1173+#REF!</f>
        <v>#REF!</v>
      </c>
      <c r="O1173" s="181" t="e">
        <f t="shared" si="147"/>
        <v>#REF!</v>
      </c>
    </row>
    <row r="1174" spans="1:15" s="193" customFormat="1" outlineLevel="2">
      <c r="A1174" s="155"/>
      <c r="B1174" s="230" t="s">
        <v>939</v>
      </c>
      <c r="C1174" s="202" t="s">
        <v>123</v>
      </c>
      <c r="D1174" s="203"/>
      <c r="E1174" s="176"/>
      <c r="F1174" s="177"/>
      <c r="G1174" s="192"/>
      <c r="H1174" s="179"/>
      <c r="I1174" s="283" t="e">
        <f>IF(#REF!="",#REF!*#REF!,IF(#REF!=0,#REF!*#REF!,#REF!*#REF!*#REF!))</f>
        <v>#REF!</v>
      </c>
      <c r="J1174" s="180" t="e">
        <f>#REF!*#REF!</f>
        <v>#REF!</v>
      </c>
      <c r="K1174" s="178" t="e">
        <f>#REF!*mo</f>
        <v>#REF!</v>
      </c>
      <c r="L1174" s="178" t="e">
        <f t="shared" si="149"/>
        <v>#REF!</v>
      </c>
      <c r="M1174" s="178" t="e">
        <f>#REF!*#REF!</f>
        <v>#REF!</v>
      </c>
      <c r="N1174" s="178" t="e">
        <f>#REF!+K1174+#REF!</f>
        <v>#REF!</v>
      </c>
      <c r="O1174" s="181" t="e">
        <f t="shared" si="147"/>
        <v>#REF!</v>
      </c>
    </row>
    <row r="1175" spans="1:15" s="193" customFormat="1" outlineLevel="2">
      <c r="A1175" s="155"/>
      <c r="B1175" s="230" t="s">
        <v>940</v>
      </c>
      <c r="C1175" s="202" t="s">
        <v>123</v>
      </c>
      <c r="D1175" s="203"/>
      <c r="E1175" s="176"/>
      <c r="F1175" s="177"/>
      <c r="G1175" s="192"/>
      <c r="H1175" s="179"/>
      <c r="I1175" s="283" t="e">
        <f>IF(#REF!="",#REF!*#REF!,IF(#REF!=0,#REF!*#REF!,#REF!*#REF!*#REF!))</f>
        <v>#REF!</v>
      </c>
      <c r="J1175" s="180" t="e">
        <f>#REF!*#REF!</f>
        <v>#REF!</v>
      </c>
      <c r="K1175" s="178" t="e">
        <f>#REF!*mo</f>
        <v>#REF!</v>
      </c>
      <c r="L1175" s="178" t="e">
        <f t="shared" si="149"/>
        <v>#REF!</v>
      </c>
      <c r="M1175" s="178" t="e">
        <f>#REF!*#REF!</f>
        <v>#REF!</v>
      </c>
      <c r="N1175" s="178" t="e">
        <f>#REF!+K1175+#REF!</f>
        <v>#REF!</v>
      </c>
      <c r="O1175" s="181" t="e">
        <f t="shared" si="147"/>
        <v>#REF!</v>
      </c>
    </row>
    <row r="1176" spans="1:15" s="193" customFormat="1" outlineLevel="2">
      <c r="A1176" s="155"/>
      <c r="B1176" s="230" t="s">
        <v>941</v>
      </c>
      <c r="C1176" s="202" t="s">
        <v>123</v>
      </c>
      <c r="D1176" s="203"/>
      <c r="E1176" s="176"/>
      <c r="F1176" s="177"/>
      <c r="G1176" s="192"/>
      <c r="H1176" s="179"/>
      <c r="I1176" s="283" t="e">
        <f>IF(#REF!="",#REF!*#REF!,IF(#REF!=0,#REF!*#REF!,#REF!*#REF!*#REF!))</f>
        <v>#REF!</v>
      </c>
      <c r="J1176" s="180" t="e">
        <f>#REF!*#REF!</f>
        <v>#REF!</v>
      </c>
      <c r="K1176" s="178" t="e">
        <f>#REF!*mo</f>
        <v>#REF!</v>
      </c>
      <c r="L1176" s="178" t="e">
        <f t="shared" si="149"/>
        <v>#REF!</v>
      </c>
      <c r="M1176" s="178" t="e">
        <f>#REF!*#REF!</f>
        <v>#REF!</v>
      </c>
      <c r="N1176" s="178" t="e">
        <f>#REF!+K1176+#REF!</f>
        <v>#REF!</v>
      </c>
      <c r="O1176" s="181" t="e">
        <f t="shared" si="147"/>
        <v>#REF!</v>
      </c>
    </row>
    <row r="1177" spans="1:15" s="193" customFormat="1" outlineLevel="2">
      <c r="A1177" s="155"/>
      <c r="B1177" s="230" t="s">
        <v>942</v>
      </c>
      <c r="C1177" s="202" t="s">
        <v>123</v>
      </c>
      <c r="D1177" s="203"/>
      <c r="E1177" s="176"/>
      <c r="F1177" s="177"/>
      <c r="G1177" s="192"/>
      <c r="H1177" s="179"/>
      <c r="I1177" s="283" t="e">
        <f>IF(#REF!="",#REF!*#REF!,IF(#REF!=0,#REF!*#REF!,#REF!*#REF!*#REF!))</f>
        <v>#REF!</v>
      </c>
      <c r="J1177" s="180" t="e">
        <f>#REF!*#REF!</f>
        <v>#REF!</v>
      </c>
      <c r="K1177" s="178" t="e">
        <f>#REF!*mo</f>
        <v>#REF!</v>
      </c>
      <c r="L1177" s="178" t="e">
        <f t="shared" si="149"/>
        <v>#REF!</v>
      </c>
      <c r="M1177" s="178" t="e">
        <f>#REF!*#REF!</f>
        <v>#REF!</v>
      </c>
      <c r="N1177" s="178" t="e">
        <f>#REF!+K1177+#REF!</f>
        <v>#REF!</v>
      </c>
      <c r="O1177" s="181" t="e">
        <f t="shared" si="147"/>
        <v>#REF!</v>
      </c>
    </row>
    <row r="1178" spans="1:15" s="193" customFormat="1" outlineLevel="2">
      <c r="A1178" s="155"/>
      <c r="B1178" s="230" t="s">
        <v>943</v>
      </c>
      <c r="C1178" s="202" t="s">
        <v>123</v>
      </c>
      <c r="D1178" s="203"/>
      <c r="E1178" s="176"/>
      <c r="F1178" s="177"/>
      <c r="G1178" s="192"/>
      <c r="H1178" s="179"/>
      <c r="I1178" s="283" t="e">
        <f>IF(#REF!="",#REF!*#REF!,IF(#REF!=0,#REF!*#REF!,#REF!*#REF!*#REF!))</f>
        <v>#REF!</v>
      </c>
      <c r="J1178" s="180" t="e">
        <f>#REF!*#REF!</f>
        <v>#REF!</v>
      </c>
      <c r="K1178" s="178" t="e">
        <f>#REF!*mo</f>
        <v>#REF!</v>
      </c>
      <c r="L1178" s="178" t="e">
        <f t="shared" si="149"/>
        <v>#REF!</v>
      </c>
      <c r="M1178" s="178" t="e">
        <f>#REF!*#REF!</f>
        <v>#REF!</v>
      </c>
      <c r="N1178" s="178" t="e">
        <f>#REF!+K1178+#REF!</f>
        <v>#REF!</v>
      </c>
      <c r="O1178" s="181" t="e">
        <f t="shared" si="147"/>
        <v>#REF!</v>
      </c>
    </row>
    <row r="1179" spans="1:15" s="193" customFormat="1" outlineLevel="2">
      <c r="A1179" s="155"/>
      <c r="B1179" s="230" t="s">
        <v>868</v>
      </c>
      <c r="C1179" s="202" t="s">
        <v>123</v>
      </c>
      <c r="D1179" s="203"/>
      <c r="E1179" s="176"/>
      <c r="F1179" s="177"/>
      <c r="G1179" s="192"/>
      <c r="H1179" s="179"/>
      <c r="I1179" s="283" t="e">
        <f>IF(#REF!="",#REF!*#REF!,IF(#REF!=0,#REF!*#REF!,#REF!*#REF!*#REF!))</f>
        <v>#REF!</v>
      </c>
      <c r="J1179" s="180" t="e">
        <f>#REF!*#REF!</f>
        <v>#REF!</v>
      </c>
      <c r="K1179" s="178" t="e">
        <f>#REF!*mo</f>
        <v>#REF!</v>
      </c>
      <c r="L1179" s="178" t="e">
        <f t="shared" si="149"/>
        <v>#REF!</v>
      </c>
      <c r="M1179" s="178" t="e">
        <f>#REF!*#REF!</f>
        <v>#REF!</v>
      </c>
      <c r="N1179" s="178" t="e">
        <f>#REF!+K1179+#REF!</f>
        <v>#REF!</v>
      </c>
      <c r="O1179" s="181" t="e">
        <f t="shared" si="147"/>
        <v>#REF!</v>
      </c>
    </row>
    <row r="1180" spans="1:15" s="193" customFormat="1" outlineLevel="2">
      <c r="A1180" s="155"/>
      <c r="B1180" s="230" t="s">
        <v>944</v>
      </c>
      <c r="C1180" s="202" t="s">
        <v>123</v>
      </c>
      <c r="D1180" s="203"/>
      <c r="E1180" s="176"/>
      <c r="F1180" s="177"/>
      <c r="G1180" s="192"/>
      <c r="H1180" s="179"/>
      <c r="I1180" s="283" t="e">
        <f>IF(#REF!="",#REF!*#REF!,IF(#REF!=0,#REF!*#REF!,#REF!*#REF!*#REF!))</f>
        <v>#REF!</v>
      </c>
      <c r="J1180" s="180" t="e">
        <f>#REF!*#REF!</f>
        <v>#REF!</v>
      </c>
      <c r="K1180" s="178" t="e">
        <f>#REF!*mo</f>
        <v>#REF!</v>
      </c>
      <c r="L1180" s="178" t="e">
        <f t="shared" si="149"/>
        <v>#REF!</v>
      </c>
      <c r="M1180" s="178" t="e">
        <f>#REF!*#REF!</f>
        <v>#REF!</v>
      </c>
      <c r="N1180" s="178" t="e">
        <f>#REF!+K1180+#REF!</f>
        <v>#REF!</v>
      </c>
      <c r="O1180" s="181" t="e">
        <f t="shared" si="147"/>
        <v>#REF!</v>
      </c>
    </row>
    <row r="1181" spans="1:15" s="193" customFormat="1" outlineLevel="2">
      <c r="A1181" s="155"/>
      <c r="B1181" s="230" t="s">
        <v>870</v>
      </c>
      <c r="C1181" s="202" t="s">
        <v>123</v>
      </c>
      <c r="D1181" s="203"/>
      <c r="E1181" s="176"/>
      <c r="F1181" s="177"/>
      <c r="G1181" s="192"/>
      <c r="H1181" s="179"/>
      <c r="I1181" s="283" t="e">
        <f>IF(#REF!="",#REF!*#REF!,IF(#REF!=0,#REF!*#REF!,#REF!*#REF!*#REF!))</f>
        <v>#REF!</v>
      </c>
      <c r="J1181" s="180" t="e">
        <f>#REF!*#REF!</f>
        <v>#REF!</v>
      </c>
      <c r="K1181" s="178" t="e">
        <f>#REF!*mo</f>
        <v>#REF!</v>
      </c>
      <c r="L1181" s="178" t="e">
        <f t="shared" si="149"/>
        <v>#REF!</v>
      </c>
      <c r="M1181" s="178" t="e">
        <f>#REF!*#REF!</f>
        <v>#REF!</v>
      </c>
      <c r="N1181" s="178" t="e">
        <f>#REF!+K1181+#REF!</f>
        <v>#REF!</v>
      </c>
      <c r="O1181" s="181" t="e">
        <f t="shared" si="147"/>
        <v>#REF!</v>
      </c>
    </row>
    <row r="1182" spans="1:15" s="193" customFormat="1" outlineLevel="2">
      <c r="A1182" s="155"/>
      <c r="B1182" s="230" t="s">
        <v>871</v>
      </c>
      <c r="C1182" s="202" t="s">
        <v>123</v>
      </c>
      <c r="D1182" s="203"/>
      <c r="E1182" s="176"/>
      <c r="F1182" s="177"/>
      <c r="G1182" s="192"/>
      <c r="H1182" s="179"/>
      <c r="I1182" s="283" t="e">
        <f>IF(#REF!="",#REF!*#REF!,IF(#REF!=0,#REF!*#REF!,#REF!*#REF!*#REF!))</f>
        <v>#REF!</v>
      </c>
      <c r="J1182" s="180" t="e">
        <f>#REF!*#REF!</f>
        <v>#REF!</v>
      </c>
      <c r="K1182" s="178" t="e">
        <f>#REF!*mo</f>
        <v>#REF!</v>
      </c>
      <c r="L1182" s="178" t="e">
        <f t="shared" si="149"/>
        <v>#REF!</v>
      </c>
      <c r="M1182" s="178" t="e">
        <f>#REF!*#REF!</f>
        <v>#REF!</v>
      </c>
      <c r="N1182" s="178" t="e">
        <f>#REF!+K1182+#REF!</f>
        <v>#REF!</v>
      </c>
      <c r="O1182" s="181" t="e">
        <f t="shared" si="147"/>
        <v>#REF!</v>
      </c>
    </row>
    <row r="1183" spans="1:15" s="193" customFormat="1" outlineLevel="2">
      <c r="A1183" s="155"/>
      <c r="B1183" s="231"/>
      <c r="C1183" s="202"/>
      <c r="D1183" s="203"/>
      <c r="E1183" s="176"/>
      <c r="F1183" s="177"/>
      <c r="G1183" s="192"/>
      <c r="H1183" s="179"/>
      <c r="I1183" s="283" t="e">
        <f>IF(#REF!="",#REF!*#REF!,IF(#REF!=0,#REF!*#REF!,#REF!*#REF!*#REF!))</f>
        <v>#REF!</v>
      </c>
      <c r="J1183" s="180" t="e">
        <f>#REF!*#REF!</f>
        <v>#REF!</v>
      </c>
      <c r="K1183" s="178" t="e">
        <f>#REF!*mo</f>
        <v>#REF!</v>
      </c>
      <c r="L1183" s="178" t="e">
        <f t="shared" si="149"/>
        <v>#REF!</v>
      </c>
      <c r="M1183" s="178" t="e">
        <f>#REF!*#REF!</f>
        <v>#REF!</v>
      </c>
      <c r="N1183" s="178" t="e">
        <f>#REF!+K1183+#REF!</f>
        <v>#REF!</v>
      </c>
      <c r="O1183" s="181" t="e">
        <f t="shared" si="147"/>
        <v>#REF!</v>
      </c>
    </row>
    <row r="1184" spans="1:15" s="193" customFormat="1" outlineLevel="2">
      <c r="A1184" s="155"/>
      <c r="B1184" s="230" t="s">
        <v>949</v>
      </c>
      <c r="C1184" s="202" t="s">
        <v>801</v>
      </c>
      <c r="D1184" s="203"/>
      <c r="E1184" s="176"/>
      <c r="F1184" s="177"/>
      <c r="G1184" s="192"/>
      <c r="H1184" s="179"/>
      <c r="I1184" s="283" t="e">
        <f>IF(#REF!="",#REF!*#REF!,IF(#REF!=0,#REF!*#REF!,#REF!*#REF!*#REF!))</f>
        <v>#REF!</v>
      </c>
      <c r="J1184" s="180" t="e">
        <f>#REF!*#REF!</f>
        <v>#REF!</v>
      </c>
      <c r="K1184" s="178" t="e">
        <f>#REF!*mo</f>
        <v>#REF!</v>
      </c>
      <c r="L1184" s="178" t="e">
        <f t="shared" si="149"/>
        <v>#REF!</v>
      </c>
      <c r="M1184" s="178" t="e">
        <f>#REF!*#REF!</f>
        <v>#REF!</v>
      </c>
      <c r="N1184" s="178" t="e">
        <f>#REF!+K1184+#REF!</f>
        <v>#REF!</v>
      </c>
      <c r="O1184" s="181" t="e">
        <f t="shared" si="147"/>
        <v>#REF!</v>
      </c>
    </row>
    <row r="1185" spans="1:15" s="193" customFormat="1" outlineLevel="2">
      <c r="A1185" s="155"/>
      <c r="B1185" s="205"/>
      <c r="C1185" s="202"/>
      <c r="D1185" s="203"/>
      <c r="E1185" s="176"/>
      <c r="F1185" s="177"/>
      <c r="G1185" s="192"/>
      <c r="H1185" s="179"/>
      <c r="I1185" s="283" t="e">
        <f>IF(#REF!="",#REF!*#REF!,IF(#REF!=0,#REF!*#REF!,#REF!*#REF!*#REF!))</f>
        <v>#REF!</v>
      </c>
      <c r="J1185" s="180" t="e">
        <f>#REF!*#REF!</f>
        <v>#REF!</v>
      </c>
      <c r="K1185" s="178" t="e">
        <f>#REF!*mo</f>
        <v>#REF!</v>
      </c>
      <c r="L1185" s="178" t="e">
        <f t="shared" si="149"/>
        <v>#REF!</v>
      </c>
      <c r="M1185" s="178" t="e">
        <f>#REF!*#REF!</f>
        <v>#REF!</v>
      </c>
      <c r="N1185" s="178" t="e">
        <f>#REF!+K1185+#REF!</f>
        <v>#REF!</v>
      </c>
      <c r="O1185" s="181" t="e">
        <f t="shared" si="147"/>
        <v>#REF!</v>
      </c>
    </row>
    <row r="1186" spans="1:15" s="193" customFormat="1" outlineLevel="2">
      <c r="A1186" s="155"/>
      <c r="B1186" s="230" t="s">
        <v>1136</v>
      </c>
      <c r="C1186" s="202" t="s">
        <v>795</v>
      </c>
      <c r="D1186" s="203"/>
      <c r="E1186" s="176"/>
      <c r="F1186" s="177"/>
      <c r="G1186" s="192"/>
      <c r="H1186" s="179"/>
      <c r="I1186" s="283" t="e">
        <f>IF(#REF!="",#REF!*#REF!,IF(#REF!=0,#REF!*#REF!,#REF!*#REF!*#REF!))</f>
        <v>#REF!</v>
      </c>
      <c r="J1186" s="180" t="e">
        <f>#REF!*#REF!</f>
        <v>#REF!</v>
      </c>
      <c r="K1186" s="178" t="e">
        <f>#REF!*mo</f>
        <v>#REF!</v>
      </c>
      <c r="L1186" s="178" t="e">
        <f t="shared" ref="L1186" si="150">J1186*mo</f>
        <v>#REF!</v>
      </c>
      <c r="M1186" s="178" t="e">
        <f>#REF!*#REF!</f>
        <v>#REF!</v>
      </c>
      <c r="N1186" s="178" t="e">
        <f>#REF!+K1186+#REF!</f>
        <v>#REF!</v>
      </c>
      <c r="O1186" s="181" t="e">
        <f t="shared" si="147"/>
        <v>#REF!</v>
      </c>
    </row>
    <row r="1187" spans="1:15" s="193" customFormat="1" outlineLevel="2">
      <c r="A1187" s="155"/>
      <c r="B1187" s="230" t="s">
        <v>951</v>
      </c>
      <c r="C1187" s="202" t="s">
        <v>795</v>
      </c>
      <c r="D1187" s="203"/>
      <c r="E1187" s="176"/>
      <c r="F1187" s="177"/>
      <c r="G1187" s="192"/>
      <c r="H1187" s="179"/>
      <c r="I1187" s="283" t="e">
        <f>IF(#REF!="",#REF!*#REF!,IF(#REF!=0,#REF!*#REF!,#REF!*#REF!*#REF!))</f>
        <v>#REF!</v>
      </c>
      <c r="J1187" s="180" t="e">
        <f>#REF!*#REF!</f>
        <v>#REF!</v>
      </c>
      <c r="K1187" s="178" t="e">
        <f>#REF!*mo</f>
        <v>#REF!</v>
      </c>
      <c r="L1187" s="178" t="e">
        <f t="shared" si="149"/>
        <v>#REF!</v>
      </c>
      <c r="M1187" s="178" t="e">
        <f>#REF!*#REF!</f>
        <v>#REF!</v>
      </c>
      <c r="N1187" s="178" t="e">
        <f>#REF!+K1187+#REF!</f>
        <v>#REF!</v>
      </c>
      <c r="O1187" s="181" t="e">
        <f t="shared" si="147"/>
        <v>#REF!</v>
      </c>
    </row>
    <row r="1188" spans="1:15" s="193" customFormat="1" outlineLevel="2">
      <c r="A1188" s="155"/>
      <c r="B1188" s="230" t="s">
        <v>954</v>
      </c>
      <c r="C1188" s="202" t="s">
        <v>795</v>
      </c>
      <c r="D1188" s="203"/>
      <c r="E1188" s="176"/>
      <c r="F1188" s="177"/>
      <c r="G1188" s="192"/>
      <c r="H1188" s="179"/>
      <c r="I1188" s="283" t="e">
        <f>IF(#REF!="",#REF!*#REF!,IF(#REF!=0,#REF!*#REF!,#REF!*#REF!*#REF!))</f>
        <v>#REF!</v>
      </c>
      <c r="J1188" s="180" t="e">
        <f>#REF!*#REF!</f>
        <v>#REF!</v>
      </c>
      <c r="K1188" s="178" t="e">
        <f>#REF!*mo</f>
        <v>#REF!</v>
      </c>
      <c r="L1188" s="178" t="e">
        <f t="shared" si="149"/>
        <v>#REF!</v>
      </c>
      <c r="M1188" s="178" t="e">
        <f>#REF!*#REF!</f>
        <v>#REF!</v>
      </c>
      <c r="N1188" s="178" t="e">
        <f>#REF!+K1188+#REF!</f>
        <v>#REF!</v>
      </c>
      <c r="O1188" s="181" t="e">
        <f t="shared" si="147"/>
        <v>#REF!</v>
      </c>
    </row>
    <row r="1189" spans="1:15" s="193" customFormat="1" outlineLevel="2">
      <c r="A1189" s="155"/>
      <c r="B1189" s="230"/>
      <c r="C1189" s="202"/>
      <c r="D1189" s="203"/>
      <c r="E1189" s="176"/>
      <c r="F1189" s="177"/>
      <c r="G1189" s="192"/>
      <c r="H1189" s="179"/>
      <c r="I1189" s="283" t="e">
        <f>IF(#REF!="",#REF!*#REF!,IF(#REF!=0,#REF!*#REF!,#REF!*#REF!*#REF!))</f>
        <v>#REF!</v>
      </c>
      <c r="J1189" s="180" t="e">
        <f>#REF!*#REF!</f>
        <v>#REF!</v>
      </c>
      <c r="K1189" s="178" t="e">
        <f>#REF!*mo</f>
        <v>#REF!</v>
      </c>
      <c r="L1189" s="178" t="e">
        <f t="shared" si="149"/>
        <v>#REF!</v>
      </c>
      <c r="M1189" s="178" t="e">
        <f>#REF!*#REF!</f>
        <v>#REF!</v>
      </c>
      <c r="N1189" s="178" t="e">
        <f>#REF!+K1189+#REF!</f>
        <v>#REF!</v>
      </c>
      <c r="O1189" s="181" t="e">
        <f t="shared" si="147"/>
        <v>#REF!</v>
      </c>
    </row>
    <row r="1190" spans="1:15" s="193" customFormat="1" outlineLevel="2">
      <c r="A1190" s="155"/>
      <c r="B1190" s="230" t="s">
        <v>955</v>
      </c>
      <c r="C1190" s="202" t="s">
        <v>795</v>
      </c>
      <c r="D1190" s="203"/>
      <c r="E1190" s="176"/>
      <c r="F1190" s="177"/>
      <c r="G1190" s="192"/>
      <c r="H1190" s="179"/>
      <c r="I1190" s="283" t="e">
        <f>IF(#REF!="",#REF!*#REF!,IF(#REF!=0,#REF!*#REF!,#REF!*#REF!*#REF!))</f>
        <v>#REF!</v>
      </c>
      <c r="J1190" s="180" t="e">
        <f>#REF!*#REF!</f>
        <v>#REF!</v>
      </c>
      <c r="K1190" s="178" t="e">
        <f>#REF!*mo</f>
        <v>#REF!</v>
      </c>
      <c r="L1190" s="178" t="e">
        <f t="shared" ref="L1190" si="151">J1190*mo</f>
        <v>#REF!</v>
      </c>
      <c r="M1190" s="178" t="e">
        <f>#REF!*#REF!</f>
        <v>#REF!</v>
      </c>
      <c r="N1190" s="178" t="e">
        <f>#REF!+K1190+#REF!</f>
        <v>#REF!</v>
      </c>
      <c r="O1190" s="181" t="e">
        <f t="shared" si="147"/>
        <v>#REF!</v>
      </c>
    </row>
    <row r="1191" spans="1:15" s="193" customFormat="1" outlineLevel="2">
      <c r="A1191" s="155"/>
      <c r="B1191" s="230"/>
      <c r="C1191" s="202"/>
      <c r="D1191" s="203"/>
      <c r="E1191" s="176"/>
      <c r="F1191" s="177"/>
      <c r="G1191" s="192"/>
      <c r="H1191" s="179"/>
      <c r="I1191" s="283" t="e">
        <f>IF(#REF!="",#REF!*#REF!,IF(#REF!=0,#REF!*#REF!,#REF!*#REF!*#REF!))</f>
        <v>#REF!</v>
      </c>
      <c r="J1191" s="180" t="e">
        <f>#REF!*#REF!</f>
        <v>#REF!</v>
      </c>
      <c r="K1191" s="178" t="e">
        <f>#REF!*mo</f>
        <v>#REF!</v>
      </c>
      <c r="L1191" s="178" t="e">
        <f t="shared" si="149"/>
        <v>#REF!</v>
      </c>
      <c r="M1191" s="178" t="e">
        <f>#REF!*#REF!</f>
        <v>#REF!</v>
      </c>
      <c r="N1191" s="178" t="e">
        <f>#REF!+K1191+#REF!</f>
        <v>#REF!</v>
      </c>
      <c r="O1191" s="181" t="e">
        <f t="shared" ref="O1191:O1233" si="152">M1191+L1191+I1191</f>
        <v>#REF!</v>
      </c>
    </row>
    <row r="1192" spans="1:15" s="193" customFormat="1" outlineLevel="2">
      <c r="A1192" s="155"/>
      <c r="B1192" s="156"/>
      <c r="C1192" s="190"/>
      <c r="D1192" s="191"/>
      <c r="E1192" s="176"/>
      <c r="F1192" s="177"/>
      <c r="G1192" s="192"/>
      <c r="H1192" s="179"/>
      <c r="I1192" s="283" t="e">
        <f>IF(#REF!="",#REF!*#REF!,IF(#REF!=0,#REF!*#REF!,#REF!*#REF!*#REF!))</f>
        <v>#REF!</v>
      </c>
      <c r="J1192" s="180" t="e">
        <f>#REF!*#REF!</f>
        <v>#REF!</v>
      </c>
      <c r="K1192" s="178" t="e">
        <f>#REF!*mo</f>
        <v>#REF!</v>
      </c>
      <c r="L1192" s="178" t="e">
        <f t="shared" si="149"/>
        <v>#REF!</v>
      </c>
      <c r="M1192" s="178" t="e">
        <f>#REF!*#REF!</f>
        <v>#REF!</v>
      </c>
      <c r="N1192" s="178" t="e">
        <f>#REF!+K1192+#REF!</f>
        <v>#REF!</v>
      </c>
      <c r="O1192" s="181" t="e">
        <f t="shared" si="152"/>
        <v>#REF!</v>
      </c>
    </row>
    <row r="1193" spans="1:15" s="209" customFormat="1" outlineLevel="1">
      <c r="A1193" s="157" t="str">
        <f>$A$241&amp;".3"</f>
        <v>.3</v>
      </c>
      <c r="B1193" s="232" t="s">
        <v>956</v>
      </c>
      <c r="C1193" s="195"/>
      <c r="D1193" s="170"/>
      <c r="E1193" s="176"/>
      <c r="F1193" s="177"/>
      <c r="G1193" s="192">
        <f>SUM(F1194:F1209)</f>
        <v>0</v>
      </c>
      <c r="H1193" s="179"/>
      <c r="I1193" s="283" t="e">
        <f>IF(#REF!="",#REF!*#REF!,IF(#REF!=0,#REF!*#REF!,#REF!*#REF!*#REF!))</f>
        <v>#REF!</v>
      </c>
      <c r="J1193" s="180" t="e">
        <f>#REF!*#REF!</f>
        <v>#REF!</v>
      </c>
      <c r="K1193" s="178" t="e">
        <f>#REF!*mo</f>
        <v>#REF!</v>
      </c>
      <c r="L1193" s="178" t="e">
        <f t="shared" si="149"/>
        <v>#REF!</v>
      </c>
      <c r="M1193" s="178" t="e">
        <f>#REF!*#REF!</f>
        <v>#REF!</v>
      </c>
      <c r="N1193" s="178" t="e">
        <f>#REF!+K1193+#REF!</f>
        <v>#REF!</v>
      </c>
      <c r="O1193" s="181" t="e">
        <f t="shared" si="152"/>
        <v>#REF!</v>
      </c>
    </row>
    <row r="1194" spans="1:15" s="193" customFormat="1" outlineLevel="2">
      <c r="A1194" s="155"/>
      <c r="B1194" s="230"/>
      <c r="C1194" s="202"/>
      <c r="D1194" s="203"/>
      <c r="E1194" s="176"/>
      <c r="F1194" s="177"/>
      <c r="G1194" s="192"/>
      <c r="H1194" s="179"/>
      <c r="I1194" s="283" t="e">
        <f>IF(#REF!="",#REF!*#REF!,IF(#REF!=0,#REF!*#REF!,#REF!*#REF!*#REF!))</f>
        <v>#REF!</v>
      </c>
      <c r="J1194" s="180" t="e">
        <f>#REF!*#REF!</f>
        <v>#REF!</v>
      </c>
      <c r="K1194" s="178" t="e">
        <f>#REF!*mo</f>
        <v>#REF!</v>
      </c>
      <c r="L1194" s="178" t="e">
        <f t="shared" si="149"/>
        <v>#REF!</v>
      </c>
      <c r="M1194" s="178" t="e">
        <f>#REF!*#REF!</f>
        <v>#REF!</v>
      </c>
      <c r="N1194" s="178" t="e">
        <f>#REF!+K1194+#REF!</f>
        <v>#REF!</v>
      </c>
      <c r="O1194" s="181" t="e">
        <f t="shared" si="152"/>
        <v>#REF!</v>
      </c>
    </row>
    <row r="1195" spans="1:15" s="193" customFormat="1" outlineLevel="2">
      <c r="A1195" s="155"/>
      <c r="B1195" s="230" t="s">
        <v>957</v>
      </c>
      <c r="C1195" s="202" t="s">
        <v>93</v>
      </c>
      <c r="D1195" s="203"/>
      <c r="E1195" s="176"/>
      <c r="F1195" s="177"/>
      <c r="G1195" s="192"/>
      <c r="H1195" s="179"/>
      <c r="I1195" s="283" t="e">
        <f>IF(#REF!="",#REF!*#REF!,IF(#REF!=0,#REF!*#REF!,#REF!*#REF!*#REF!))</f>
        <v>#REF!</v>
      </c>
      <c r="J1195" s="180" t="e">
        <f>#REF!*#REF!</f>
        <v>#REF!</v>
      </c>
      <c r="K1195" s="178" t="e">
        <f>#REF!*mo</f>
        <v>#REF!</v>
      </c>
      <c r="L1195" s="178" t="e">
        <f t="shared" si="149"/>
        <v>#REF!</v>
      </c>
      <c r="M1195" s="178" t="e">
        <f>#REF!*#REF!</f>
        <v>#REF!</v>
      </c>
      <c r="N1195" s="178" t="e">
        <f>#REF!+K1195+#REF!</f>
        <v>#REF!</v>
      </c>
      <c r="O1195" s="181" t="e">
        <f t="shared" si="152"/>
        <v>#REF!</v>
      </c>
    </row>
    <row r="1196" spans="1:15" s="193" customFormat="1" outlineLevel="2">
      <c r="A1196" s="155"/>
      <c r="B1196" s="230" t="s">
        <v>958</v>
      </c>
      <c r="C1196" s="202" t="s">
        <v>93</v>
      </c>
      <c r="D1196" s="203"/>
      <c r="E1196" s="176"/>
      <c r="F1196" s="177"/>
      <c r="G1196" s="192"/>
      <c r="H1196" s="179"/>
      <c r="I1196" s="283" t="e">
        <f>IF(#REF!="",#REF!*#REF!,IF(#REF!=0,#REF!*#REF!,#REF!*#REF!*#REF!))</f>
        <v>#REF!</v>
      </c>
      <c r="J1196" s="180" t="e">
        <f>#REF!*#REF!</f>
        <v>#REF!</v>
      </c>
      <c r="K1196" s="178" t="e">
        <f>#REF!*mo</f>
        <v>#REF!</v>
      </c>
      <c r="L1196" s="178" t="e">
        <f t="shared" si="149"/>
        <v>#REF!</v>
      </c>
      <c r="M1196" s="178" t="e">
        <f>#REF!*#REF!</f>
        <v>#REF!</v>
      </c>
      <c r="N1196" s="178" t="e">
        <f>#REF!+K1196+#REF!</f>
        <v>#REF!</v>
      </c>
      <c r="O1196" s="181" t="e">
        <f t="shared" si="152"/>
        <v>#REF!</v>
      </c>
    </row>
    <row r="1197" spans="1:15" s="193" customFormat="1" outlineLevel="2">
      <c r="A1197" s="155"/>
      <c r="B1197" s="230" t="s">
        <v>959</v>
      </c>
      <c r="C1197" s="202" t="s">
        <v>801</v>
      </c>
      <c r="D1197" s="203"/>
      <c r="E1197" s="176"/>
      <c r="F1197" s="177"/>
      <c r="G1197" s="192"/>
      <c r="H1197" s="179"/>
      <c r="I1197" s="283" t="e">
        <f>IF(#REF!="",#REF!*#REF!,IF(#REF!=0,#REF!*#REF!,#REF!*#REF!*#REF!))</f>
        <v>#REF!</v>
      </c>
      <c r="J1197" s="180" t="e">
        <f>#REF!*#REF!</f>
        <v>#REF!</v>
      </c>
      <c r="K1197" s="178" t="e">
        <f>#REF!*mo</f>
        <v>#REF!</v>
      </c>
      <c r="L1197" s="178" t="e">
        <f>J1197*mo</f>
        <v>#REF!</v>
      </c>
      <c r="M1197" s="178" t="e">
        <f>#REF!*#REF!</f>
        <v>#REF!</v>
      </c>
      <c r="N1197" s="178" t="e">
        <f>#REF!+K1197+#REF!</f>
        <v>#REF!</v>
      </c>
      <c r="O1197" s="181" t="e">
        <f>M1197+L1197+I1197</f>
        <v>#REF!</v>
      </c>
    </row>
    <row r="1198" spans="1:15" s="193" customFormat="1" outlineLevel="2">
      <c r="A1198" s="155"/>
      <c r="B1198" s="230"/>
      <c r="C1198" s="202"/>
      <c r="D1198" s="203"/>
      <c r="E1198" s="176"/>
      <c r="F1198" s="177"/>
      <c r="G1198" s="192"/>
      <c r="H1198" s="179"/>
      <c r="I1198" s="283"/>
      <c r="J1198" s="180"/>
      <c r="K1198" s="178"/>
      <c r="L1198" s="178"/>
      <c r="M1198" s="178"/>
      <c r="N1198" s="178"/>
      <c r="O1198" s="181"/>
    </row>
    <row r="1199" spans="1:15" s="193" customFormat="1" outlineLevel="2">
      <c r="A1199" s="155"/>
      <c r="B1199" s="230" t="s">
        <v>960</v>
      </c>
      <c r="C1199" s="202"/>
      <c r="D1199" s="203"/>
      <c r="E1199" s="176"/>
      <c r="F1199" s="177"/>
      <c r="G1199" s="192"/>
      <c r="H1199" s="179"/>
      <c r="I1199" s="283" t="e">
        <f>IF(#REF!="",#REF!*#REF!,IF(#REF!=0,#REF!*#REF!,#REF!*#REF!*#REF!))</f>
        <v>#REF!</v>
      </c>
      <c r="J1199" s="180" t="e">
        <f>#REF!*#REF!</f>
        <v>#REF!</v>
      </c>
      <c r="K1199" s="178" t="e">
        <f>#REF!*mo</f>
        <v>#REF!</v>
      </c>
      <c r="L1199" s="178" t="e">
        <f t="shared" ref="L1199:L1207" si="153">J1199*mo</f>
        <v>#REF!</v>
      </c>
      <c r="M1199" s="178" t="e">
        <f>#REF!*#REF!</f>
        <v>#REF!</v>
      </c>
      <c r="N1199" s="178" t="e">
        <f>#REF!+K1199+#REF!</f>
        <v>#REF!</v>
      </c>
      <c r="O1199" s="181" t="e">
        <f t="shared" ref="O1199:O1207" si="154">M1199+L1199+I1199</f>
        <v>#REF!</v>
      </c>
    </row>
    <row r="1200" spans="1:15" s="193" customFormat="1" outlineLevel="2">
      <c r="A1200" s="155"/>
      <c r="B1200" s="230" t="s">
        <v>961</v>
      </c>
      <c r="C1200" s="202" t="s">
        <v>93</v>
      </c>
      <c r="D1200" s="203"/>
      <c r="E1200" s="176"/>
      <c r="F1200" s="177"/>
      <c r="G1200" s="192"/>
      <c r="H1200" s="179"/>
      <c r="I1200" s="283" t="e">
        <f>IF(#REF!="",#REF!*#REF!,IF(#REF!=0,#REF!*#REF!,#REF!*#REF!*#REF!))</f>
        <v>#REF!</v>
      </c>
      <c r="J1200" s="180" t="e">
        <f>#REF!*#REF!</f>
        <v>#REF!</v>
      </c>
      <c r="K1200" s="178" t="e">
        <f>#REF!*mo</f>
        <v>#REF!</v>
      </c>
      <c r="L1200" s="178" t="e">
        <f t="shared" si="153"/>
        <v>#REF!</v>
      </c>
      <c r="M1200" s="178" t="e">
        <f>#REF!*#REF!</f>
        <v>#REF!</v>
      </c>
      <c r="N1200" s="178" t="e">
        <f>#REF!+K1200+#REF!</f>
        <v>#REF!</v>
      </c>
      <c r="O1200" s="181" t="e">
        <f t="shared" si="154"/>
        <v>#REF!</v>
      </c>
    </row>
    <row r="1201" spans="1:15" s="193" customFormat="1" outlineLevel="2">
      <c r="A1201" s="155"/>
      <c r="B1201" s="230" t="s">
        <v>962</v>
      </c>
      <c r="C1201" s="202" t="s">
        <v>93</v>
      </c>
      <c r="D1201" s="203"/>
      <c r="E1201" s="176"/>
      <c r="F1201" s="177"/>
      <c r="G1201" s="192"/>
      <c r="H1201" s="179"/>
      <c r="I1201" s="283" t="e">
        <f>IF(#REF!="",#REF!*#REF!,IF(#REF!=0,#REF!*#REF!,#REF!*#REF!*#REF!))</f>
        <v>#REF!</v>
      </c>
      <c r="J1201" s="180" t="e">
        <f>#REF!*#REF!</f>
        <v>#REF!</v>
      </c>
      <c r="K1201" s="178" t="e">
        <f>#REF!*mo</f>
        <v>#REF!</v>
      </c>
      <c r="L1201" s="178" t="e">
        <f t="shared" si="153"/>
        <v>#REF!</v>
      </c>
      <c r="M1201" s="178" t="e">
        <f>#REF!*#REF!</f>
        <v>#REF!</v>
      </c>
      <c r="N1201" s="178" t="e">
        <f>#REF!+K1201+#REF!</f>
        <v>#REF!</v>
      </c>
      <c r="O1201" s="181" t="e">
        <f t="shared" si="154"/>
        <v>#REF!</v>
      </c>
    </row>
    <row r="1202" spans="1:15" s="193" customFormat="1" outlineLevel="2">
      <c r="A1202" s="155"/>
      <c r="B1202" s="230" t="s">
        <v>963</v>
      </c>
      <c r="C1202" s="202" t="s">
        <v>93</v>
      </c>
      <c r="D1202" s="203"/>
      <c r="E1202" s="176"/>
      <c r="F1202" s="177"/>
      <c r="G1202" s="192"/>
      <c r="H1202" s="179"/>
      <c r="I1202" s="283" t="e">
        <f>IF(#REF!="",#REF!*#REF!,IF(#REF!=0,#REF!*#REF!,#REF!*#REF!*#REF!))</f>
        <v>#REF!</v>
      </c>
      <c r="J1202" s="180" t="e">
        <f>#REF!*#REF!</f>
        <v>#REF!</v>
      </c>
      <c r="K1202" s="178" t="e">
        <f>#REF!*mo</f>
        <v>#REF!</v>
      </c>
      <c r="L1202" s="178" t="e">
        <f t="shared" si="153"/>
        <v>#REF!</v>
      </c>
      <c r="M1202" s="178" t="e">
        <f>#REF!*#REF!</f>
        <v>#REF!</v>
      </c>
      <c r="N1202" s="178" t="e">
        <f>#REF!+K1202+#REF!</f>
        <v>#REF!</v>
      </c>
      <c r="O1202" s="181" t="e">
        <f t="shared" si="154"/>
        <v>#REF!</v>
      </c>
    </row>
    <row r="1203" spans="1:15" s="193" customFormat="1" outlineLevel="2">
      <c r="A1203" s="155"/>
      <c r="B1203" s="230" t="s">
        <v>964</v>
      </c>
      <c r="C1203" s="202" t="s">
        <v>93</v>
      </c>
      <c r="D1203" s="203"/>
      <c r="E1203" s="176"/>
      <c r="F1203" s="177"/>
      <c r="G1203" s="192"/>
      <c r="H1203" s="179"/>
      <c r="I1203" s="283" t="e">
        <f>IF(#REF!="",#REF!*#REF!,IF(#REF!=0,#REF!*#REF!,#REF!*#REF!*#REF!))</f>
        <v>#REF!</v>
      </c>
      <c r="J1203" s="180" t="e">
        <f>#REF!*#REF!</f>
        <v>#REF!</v>
      </c>
      <c r="K1203" s="178" t="e">
        <f>#REF!*mo</f>
        <v>#REF!</v>
      </c>
      <c r="L1203" s="178" t="e">
        <f t="shared" si="153"/>
        <v>#REF!</v>
      </c>
      <c r="M1203" s="178" t="e">
        <f>#REF!*#REF!</f>
        <v>#REF!</v>
      </c>
      <c r="N1203" s="178" t="e">
        <f>#REF!+K1203+#REF!</f>
        <v>#REF!</v>
      </c>
      <c r="O1203" s="181" t="e">
        <f t="shared" si="154"/>
        <v>#REF!</v>
      </c>
    </row>
    <row r="1204" spans="1:15" s="193" customFormat="1" outlineLevel="2">
      <c r="A1204" s="155"/>
      <c r="B1204" s="230" t="s">
        <v>965</v>
      </c>
      <c r="C1204" s="202" t="s">
        <v>93</v>
      </c>
      <c r="D1204" s="203"/>
      <c r="E1204" s="176"/>
      <c r="F1204" s="177"/>
      <c r="G1204" s="192"/>
      <c r="H1204" s="179"/>
      <c r="I1204" s="283" t="e">
        <f>IF(#REF!="",#REF!*#REF!,IF(#REF!=0,#REF!*#REF!,#REF!*#REF!*#REF!))</f>
        <v>#REF!</v>
      </c>
      <c r="J1204" s="180" t="e">
        <f>#REF!*#REF!</f>
        <v>#REF!</v>
      </c>
      <c r="K1204" s="178" t="e">
        <f>#REF!*mo</f>
        <v>#REF!</v>
      </c>
      <c r="L1204" s="178" t="e">
        <f t="shared" si="153"/>
        <v>#REF!</v>
      </c>
      <c r="M1204" s="178" t="e">
        <f>#REF!*#REF!</f>
        <v>#REF!</v>
      </c>
      <c r="N1204" s="178" t="e">
        <f>#REF!+K1204+#REF!</f>
        <v>#REF!</v>
      </c>
      <c r="O1204" s="181" t="e">
        <f t="shared" si="154"/>
        <v>#REF!</v>
      </c>
    </row>
    <row r="1205" spans="1:15" s="193" customFormat="1" outlineLevel="2">
      <c r="A1205" s="155"/>
      <c r="B1205" s="230" t="s">
        <v>966</v>
      </c>
      <c r="C1205" s="202" t="s">
        <v>93</v>
      </c>
      <c r="D1205" s="203"/>
      <c r="E1205" s="176"/>
      <c r="F1205" s="177"/>
      <c r="G1205" s="192"/>
      <c r="H1205" s="179"/>
      <c r="I1205" s="283" t="e">
        <f>IF(#REF!="",#REF!*#REF!,IF(#REF!=0,#REF!*#REF!,#REF!*#REF!*#REF!))</f>
        <v>#REF!</v>
      </c>
      <c r="J1205" s="180" t="e">
        <f>#REF!*#REF!</f>
        <v>#REF!</v>
      </c>
      <c r="K1205" s="178" t="e">
        <f>#REF!*mo</f>
        <v>#REF!</v>
      </c>
      <c r="L1205" s="178" t="e">
        <f t="shared" si="153"/>
        <v>#REF!</v>
      </c>
      <c r="M1205" s="178" t="e">
        <f>#REF!*#REF!</f>
        <v>#REF!</v>
      </c>
      <c r="N1205" s="178" t="e">
        <f>#REF!+K1205+#REF!</f>
        <v>#REF!</v>
      </c>
      <c r="O1205" s="181" t="e">
        <f t="shared" si="154"/>
        <v>#REF!</v>
      </c>
    </row>
    <row r="1206" spans="1:15" s="193" customFormat="1" outlineLevel="2">
      <c r="A1206" s="155"/>
      <c r="B1206" s="230" t="s">
        <v>967</v>
      </c>
      <c r="C1206" s="202" t="s">
        <v>93</v>
      </c>
      <c r="D1206" s="203"/>
      <c r="E1206" s="176"/>
      <c r="F1206" s="177"/>
      <c r="G1206" s="192"/>
      <c r="H1206" s="179"/>
      <c r="I1206" s="283" t="e">
        <f>IF(#REF!="",#REF!*#REF!,IF(#REF!=0,#REF!*#REF!,#REF!*#REF!*#REF!))</f>
        <v>#REF!</v>
      </c>
      <c r="J1206" s="180" t="e">
        <f>#REF!*#REF!</f>
        <v>#REF!</v>
      </c>
      <c r="K1206" s="178" t="e">
        <f>#REF!*mo</f>
        <v>#REF!</v>
      </c>
      <c r="L1206" s="178" t="e">
        <f t="shared" si="153"/>
        <v>#REF!</v>
      </c>
      <c r="M1206" s="178" t="e">
        <f>#REF!*#REF!</f>
        <v>#REF!</v>
      </c>
      <c r="N1206" s="178" t="e">
        <f>#REF!+K1206+#REF!</f>
        <v>#REF!</v>
      </c>
      <c r="O1206" s="181" t="e">
        <f t="shared" si="154"/>
        <v>#REF!</v>
      </c>
    </row>
    <row r="1207" spans="1:15" s="193" customFormat="1" outlineLevel="2">
      <c r="A1207" s="155"/>
      <c r="B1207" s="230" t="s">
        <v>968</v>
      </c>
      <c r="C1207" s="202" t="s">
        <v>801</v>
      </c>
      <c r="D1207" s="203"/>
      <c r="E1207" s="176"/>
      <c r="F1207" s="177"/>
      <c r="G1207" s="192"/>
      <c r="H1207" s="179"/>
      <c r="I1207" s="283" t="e">
        <f>IF(#REF!="",#REF!*#REF!,IF(#REF!=0,#REF!*#REF!,#REF!*#REF!*#REF!))</f>
        <v>#REF!</v>
      </c>
      <c r="J1207" s="180" t="e">
        <f>#REF!*#REF!</f>
        <v>#REF!</v>
      </c>
      <c r="K1207" s="178" t="e">
        <f>#REF!*mo</f>
        <v>#REF!</v>
      </c>
      <c r="L1207" s="178" t="e">
        <f t="shared" si="153"/>
        <v>#REF!</v>
      </c>
      <c r="M1207" s="178" t="e">
        <f>#REF!*#REF!</f>
        <v>#REF!</v>
      </c>
      <c r="N1207" s="178" t="e">
        <f>#REF!+K1207+#REF!</f>
        <v>#REF!</v>
      </c>
      <c r="O1207" s="181" t="e">
        <f t="shared" si="154"/>
        <v>#REF!</v>
      </c>
    </row>
    <row r="1208" spans="1:15" s="193" customFormat="1" outlineLevel="2">
      <c r="A1208" s="155"/>
      <c r="B1208" s="230"/>
      <c r="C1208" s="202"/>
      <c r="D1208" s="203"/>
      <c r="E1208" s="176"/>
      <c r="F1208" s="177"/>
      <c r="G1208" s="192"/>
      <c r="H1208" s="179"/>
      <c r="I1208" s="283"/>
      <c r="J1208" s="180"/>
      <c r="K1208" s="178"/>
      <c r="L1208" s="178"/>
      <c r="M1208" s="178"/>
      <c r="N1208" s="178"/>
      <c r="O1208" s="181"/>
    </row>
    <row r="1209" spans="1:15" s="193" customFormat="1" outlineLevel="2">
      <c r="A1209" s="155"/>
      <c r="B1209" s="230"/>
      <c r="C1209" s="202"/>
      <c r="D1209" s="203"/>
      <c r="E1209" s="176"/>
      <c r="F1209" s="177"/>
      <c r="G1209" s="192"/>
      <c r="H1209" s="179"/>
      <c r="I1209" s="283"/>
      <c r="J1209" s="180"/>
      <c r="K1209" s="178"/>
      <c r="L1209" s="178"/>
      <c r="M1209" s="178"/>
      <c r="N1209" s="178"/>
      <c r="O1209" s="181"/>
    </row>
    <row r="1210" spans="1:15" s="209" customFormat="1" outlineLevel="1">
      <c r="A1210" s="157" t="str">
        <f>$A$241&amp;".4"</f>
        <v>.4</v>
      </c>
      <c r="B1210" s="232" t="s">
        <v>969</v>
      </c>
      <c r="C1210" s="195"/>
      <c r="D1210" s="170"/>
      <c r="E1210" s="176"/>
      <c r="F1210" s="177"/>
      <c r="G1210" s="192">
        <f>SUM(F1210:F1221)</f>
        <v>0</v>
      </c>
      <c r="H1210" s="179"/>
      <c r="I1210" s="283" t="e">
        <f>IF(#REF!="",#REF!*#REF!,IF(#REF!=0,#REF!*#REF!,#REF!*#REF!*#REF!))</f>
        <v>#REF!</v>
      </c>
      <c r="J1210" s="180" t="e">
        <f>#REF!*#REF!</f>
        <v>#REF!</v>
      </c>
      <c r="K1210" s="178" t="e">
        <f>#REF!*mo</f>
        <v>#REF!</v>
      </c>
      <c r="L1210" s="178" t="e">
        <f t="shared" ref="L1210:L1217" si="155">J1210*mo</f>
        <v>#REF!</v>
      </c>
      <c r="M1210" s="178" t="e">
        <f>#REF!*#REF!</f>
        <v>#REF!</v>
      </c>
      <c r="N1210" s="178" t="e">
        <f>#REF!+K1210+#REF!</f>
        <v>#REF!</v>
      </c>
      <c r="O1210" s="181" t="e">
        <f t="shared" ref="O1210:O1221" si="156">M1210+L1210+I1210</f>
        <v>#REF!</v>
      </c>
    </row>
    <row r="1211" spans="1:15" s="193" customFormat="1" outlineLevel="2">
      <c r="A1211" s="155"/>
      <c r="B1211" s="230"/>
      <c r="C1211" s="202"/>
      <c r="D1211" s="203"/>
      <c r="E1211" s="176"/>
      <c r="F1211" s="177"/>
      <c r="G1211" s="192"/>
      <c r="H1211" s="179"/>
      <c r="I1211" s="283" t="e">
        <f>IF(#REF!="",#REF!*#REF!,IF(#REF!=0,#REF!*#REF!,#REF!*#REF!*#REF!))</f>
        <v>#REF!</v>
      </c>
      <c r="J1211" s="180" t="e">
        <f>#REF!*#REF!</f>
        <v>#REF!</v>
      </c>
      <c r="K1211" s="178" t="e">
        <f>#REF!*mo</f>
        <v>#REF!</v>
      </c>
      <c r="L1211" s="178" t="e">
        <f t="shared" si="155"/>
        <v>#REF!</v>
      </c>
      <c r="M1211" s="178" t="e">
        <f>#REF!*#REF!</f>
        <v>#REF!</v>
      </c>
      <c r="N1211" s="178" t="e">
        <f>#REF!+K1211+#REF!</f>
        <v>#REF!</v>
      </c>
      <c r="O1211" s="181" t="e">
        <f t="shared" si="156"/>
        <v>#REF!</v>
      </c>
    </row>
    <row r="1212" spans="1:15" s="193" customFormat="1" outlineLevel="2">
      <c r="A1212" s="155"/>
      <c r="B1212" s="230" t="s">
        <v>970</v>
      </c>
      <c r="C1212" s="202"/>
      <c r="D1212" s="203"/>
      <c r="E1212" s="176"/>
      <c r="F1212" s="177"/>
      <c r="G1212" s="192"/>
      <c r="H1212" s="179"/>
      <c r="I1212" s="283" t="e">
        <f>IF(#REF!="",#REF!*#REF!,IF(#REF!=0,#REF!*#REF!,#REF!*#REF!*#REF!))</f>
        <v>#REF!</v>
      </c>
      <c r="J1212" s="180" t="e">
        <f>#REF!*#REF!</f>
        <v>#REF!</v>
      </c>
      <c r="K1212" s="178" t="e">
        <f>#REF!*mo</f>
        <v>#REF!</v>
      </c>
      <c r="L1212" s="178" t="e">
        <f t="shared" ref="L1212" si="157">J1212*mo</f>
        <v>#REF!</v>
      </c>
      <c r="M1212" s="178" t="e">
        <f>#REF!*#REF!</f>
        <v>#REF!</v>
      </c>
      <c r="N1212" s="178" t="e">
        <f>#REF!+K1212+#REF!</f>
        <v>#REF!</v>
      </c>
      <c r="O1212" s="181" t="e">
        <f t="shared" si="156"/>
        <v>#REF!</v>
      </c>
    </row>
    <row r="1213" spans="1:15" s="193" customFormat="1" outlineLevel="2">
      <c r="A1213" s="155"/>
      <c r="B1213" s="230" t="s">
        <v>971</v>
      </c>
      <c r="C1213" s="202" t="s">
        <v>93</v>
      </c>
      <c r="D1213" s="203"/>
      <c r="E1213" s="176"/>
      <c r="F1213" s="177"/>
      <c r="G1213" s="192"/>
      <c r="H1213" s="179"/>
      <c r="I1213" s="283" t="e">
        <f>IF(#REF!="",#REF!*#REF!,IF(#REF!=0,#REF!*#REF!,#REF!*#REF!*#REF!))</f>
        <v>#REF!</v>
      </c>
      <c r="J1213" s="180" t="e">
        <f>#REF!*#REF!</f>
        <v>#REF!</v>
      </c>
      <c r="K1213" s="178" t="e">
        <f>#REF!*mo</f>
        <v>#REF!</v>
      </c>
      <c r="L1213" s="178" t="e">
        <f t="shared" si="155"/>
        <v>#REF!</v>
      </c>
      <c r="M1213" s="178" t="e">
        <f>#REF!*#REF!</f>
        <v>#REF!</v>
      </c>
      <c r="N1213" s="178" t="e">
        <f>#REF!+K1213+#REF!</f>
        <v>#REF!</v>
      </c>
      <c r="O1213" s="181" t="e">
        <f t="shared" si="156"/>
        <v>#REF!</v>
      </c>
    </row>
    <row r="1214" spans="1:15" s="193" customFormat="1" outlineLevel="2">
      <c r="A1214" s="155"/>
      <c r="B1214" s="230" t="s">
        <v>972</v>
      </c>
      <c r="C1214" s="202" t="s">
        <v>93</v>
      </c>
      <c r="D1214" s="203"/>
      <c r="E1214" s="176"/>
      <c r="F1214" s="177"/>
      <c r="G1214" s="192"/>
      <c r="H1214" s="179"/>
      <c r="I1214" s="283" t="e">
        <f>IF(#REF!="",#REF!*#REF!,IF(#REF!=0,#REF!*#REF!,#REF!*#REF!*#REF!))</f>
        <v>#REF!</v>
      </c>
      <c r="J1214" s="180" t="e">
        <f>#REF!*#REF!</f>
        <v>#REF!</v>
      </c>
      <c r="K1214" s="178" t="e">
        <f>#REF!*mo</f>
        <v>#REF!</v>
      </c>
      <c r="L1214" s="178" t="e">
        <f t="shared" si="155"/>
        <v>#REF!</v>
      </c>
      <c r="M1214" s="178" t="e">
        <f>#REF!*#REF!</f>
        <v>#REF!</v>
      </c>
      <c r="N1214" s="178" t="e">
        <f>#REF!+K1214+#REF!</f>
        <v>#REF!</v>
      </c>
      <c r="O1214" s="181" t="e">
        <f t="shared" si="156"/>
        <v>#REF!</v>
      </c>
    </row>
    <row r="1215" spans="1:15" s="193" customFormat="1" outlineLevel="2">
      <c r="A1215" s="155"/>
      <c r="B1215" s="230" t="s">
        <v>973</v>
      </c>
      <c r="C1215" s="202" t="s">
        <v>801</v>
      </c>
      <c r="D1215" s="203"/>
      <c r="E1215" s="176"/>
      <c r="F1215" s="177"/>
      <c r="G1215" s="192"/>
      <c r="H1215" s="179"/>
      <c r="I1215" s="283" t="e">
        <f>IF(#REF!="",#REF!*#REF!,IF(#REF!=0,#REF!*#REF!,#REF!*#REF!*#REF!))</f>
        <v>#REF!</v>
      </c>
      <c r="J1215" s="180" t="e">
        <f>#REF!*#REF!</f>
        <v>#REF!</v>
      </c>
      <c r="K1215" s="178" t="e">
        <f>#REF!*mo</f>
        <v>#REF!</v>
      </c>
      <c r="L1215" s="178" t="e">
        <f t="shared" si="155"/>
        <v>#REF!</v>
      </c>
      <c r="M1215" s="178" t="e">
        <f>#REF!*#REF!</f>
        <v>#REF!</v>
      </c>
      <c r="N1215" s="178" t="e">
        <f>#REF!+K1215+#REF!</f>
        <v>#REF!</v>
      </c>
      <c r="O1215" s="181" t="e">
        <f t="shared" si="156"/>
        <v>#REF!</v>
      </c>
    </row>
    <row r="1216" spans="1:15" s="193" customFormat="1" outlineLevel="2">
      <c r="A1216" s="155"/>
      <c r="B1216" s="230"/>
      <c r="C1216" s="202"/>
      <c r="D1216" s="203"/>
      <c r="E1216" s="176"/>
      <c r="F1216" s="177"/>
      <c r="G1216" s="192"/>
      <c r="H1216" s="179"/>
      <c r="I1216" s="283" t="e">
        <f>IF(#REF!="",#REF!*#REF!,IF(#REF!=0,#REF!*#REF!,#REF!*#REF!*#REF!))</f>
        <v>#REF!</v>
      </c>
      <c r="J1216" s="180" t="e">
        <f>#REF!*#REF!</f>
        <v>#REF!</v>
      </c>
      <c r="K1216" s="178" t="e">
        <f>#REF!*mo</f>
        <v>#REF!</v>
      </c>
      <c r="L1216" s="178" t="e">
        <f t="shared" si="155"/>
        <v>#REF!</v>
      </c>
      <c r="M1216" s="178" t="e">
        <f>#REF!*#REF!</f>
        <v>#REF!</v>
      </c>
      <c r="N1216" s="178" t="e">
        <f>#REF!+K1216+#REF!</f>
        <v>#REF!</v>
      </c>
      <c r="O1216" s="181" t="e">
        <f t="shared" si="156"/>
        <v>#REF!</v>
      </c>
    </row>
    <row r="1217" spans="1:15" s="193" customFormat="1" outlineLevel="2">
      <c r="A1217" s="155"/>
      <c r="B1217" s="230" t="s">
        <v>974</v>
      </c>
      <c r="C1217" s="202"/>
      <c r="D1217" s="203"/>
      <c r="E1217" s="176"/>
      <c r="F1217" s="177"/>
      <c r="G1217" s="192"/>
      <c r="H1217" s="179"/>
      <c r="I1217" s="283" t="e">
        <f>IF(#REF!="",#REF!*#REF!,IF(#REF!=0,#REF!*#REF!,#REF!*#REF!*#REF!))</f>
        <v>#REF!</v>
      </c>
      <c r="J1217" s="180" t="e">
        <f>#REF!*#REF!</f>
        <v>#REF!</v>
      </c>
      <c r="K1217" s="178" t="e">
        <f>#REF!*mo</f>
        <v>#REF!</v>
      </c>
      <c r="L1217" s="178" t="e">
        <f t="shared" si="155"/>
        <v>#REF!</v>
      </c>
      <c r="M1217" s="178" t="e">
        <f>#REF!*#REF!</f>
        <v>#REF!</v>
      </c>
      <c r="N1217" s="178" t="e">
        <f>#REF!+K1217+#REF!</f>
        <v>#REF!</v>
      </c>
      <c r="O1217" s="181" t="e">
        <f t="shared" si="156"/>
        <v>#REF!</v>
      </c>
    </row>
    <row r="1218" spans="1:15" s="193" customFormat="1" outlineLevel="2">
      <c r="A1218" s="155"/>
      <c r="B1218" s="230" t="s">
        <v>971</v>
      </c>
      <c r="C1218" s="202" t="s">
        <v>93</v>
      </c>
      <c r="D1218" s="203"/>
      <c r="E1218" s="176"/>
      <c r="F1218" s="177"/>
      <c r="G1218" s="192"/>
      <c r="H1218" s="179"/>
      <c r="I1218" s="283" t="e">
        <f>IF(#REF!="",#REF!*#REF!,IF(#REF!=0,#REF!*#REF!,#REF!*#REF!*#REF!))</f>
        <v>#REF!</v>
      </c>
      <c r="J1218" s="180" t="e">
        <f>#REF!*#REF!</f>
        <v>#REF!</v>
      </c>
      <c r="K1218" s="178" t="e">
        <f>#REF!*mo</f>
        <v>#REF!</v>
      </c>
      <c r="L1218" s="178" t="e">
        <f t="shared" ref="L1218:L1221" si="158">J1218*mo</f>
        <v>#REF!</v>
      </c>
      <c r="M1218" s="178" t="e">
        <f>#REF!*#REF!</f>
        <v>#REF!</v>
      </c>
      <c r="N1218" s="178" t="e">
        <f>#REF!+K1218+#REF!</f>
        <v>#REF!</v>
      </c>
      <c r="O1218" s="181" t="e">
        <f t="shared" si="156"/>
        <v>#REF!</v>
      </c>
    </row>
    <row r="1219" spans="1:15" s="193" customFormat="1" outlineLevel="2">
      <c r="A1219" s="155"/>
      <c r="B1219" s="230" t="s">
        <v>972</v>
      </c>
      <c r="C1219" s="202" t="s">
        <v>93</v>
      </c>
      <c r="D1219" s="203"/>
      <c r="E1219" s="176"/>
      <c r="F1219" s="177"/>
      <c r="G1219" s="192"/>
      <c r="H1219" s="179"/>
      <c r="I1219" s="283" t="e">
        <f>IF(#REF!="",#REF!*#REF!,IF(#REF!=0,#REF!*#REF!,#REF!*#REF!*#REF!))</f>
        <v>#REF!</v>
      </c>
      <c r="J1219" s="180" t="e">
        <f>#REF!*#REF!</f>
        <v>#REF!</v>
      </c>
      <c r="K1219" s="178" t="e">
        <f>#REF!*mo</f>
        <v>#REF!</v>
      </c>
      <c r="L1219" s="178" t="e">
        <f t="shared" si="158"/>
        <v>#REF!</v>
      </c>
      <c r="M1219" s="178" t="e">
        <f>#REF!*#REF!</f>
        <v>#REF!</v>
      </c>
      <c r="N1219" s="178" t="e">
        <f>#REF!+K1219+#REF!</f>
        <v>#REF!</v>
      </c>
      <c r="O1219" s="181" t="e">
        <f t="shared" si="156"/>
        <v>#REF!</v>
      </c>
    </row>
    <row r="1220" spans="1:15" s="193" customFormat="1" outlineLevel="2">
      <c r="A1220" s="155"/>
      <c r="B1220" s="230" t="s">
        <v>973</v>
      </c>
      <c r="C1220" s="202" t="s">
        <v>801</v>
      </c>
      <c r="D1220" s="203"/>
      <c r="E1220" s="176"/>
      <c r="F1220" s="177"/>
      <c r="G1220" s="192"/>
      <c r="H1220" s="179"/>
      <c r="I1220" s="283" t="e">
        <f>IF(#REF!="",#REF!*#REF!,IF(#REF!=0,#REF!*#REF!,#REF!*#REF!*#REF!))</f>
        <v>#REF!</v>
      </c>
      <c r="J1220" s="180" t="e">
        <f>#REF!*#REF!</f>
        <v>#REF!</v>
      </c>
      <c r="K1220" s="178" t="e">
        <f>#REF!*mo</f>
        <v>#REF!</v>
      </c>
      <c r="L1220" s="178" t="e">
        <f t="shared" si="158"/>
        <v>#REF!</v>
      </c>
      <c r="M1220" s="178" t="e">
        <f>#REF!*#REF!</f>
        <v>#REF!</v>
      </c>
      <c r="N1220" s="178" t="e">
        <f>#REF!+K1220+#REF!</f>
        <v>#REF!</v>
      </c>
      <c r="O1220" s="181" t="e">
        <f t="shared" si="156"/>
        <v>#REF!</v>
      </c>
    </row>
    <row r="1221" spans="1:15" s="193" customFormat="1" outlineLevel="2">
      <c r="A1221" s="155"/>
      <c r="B1221" s="230"/>
      <c r="C1221" s="202"/>
      <c r="D1221" s="203"/>
      <c r="E1221" s="176"/>
      <c r="F1221" s="177"/>
      <c r="G1221" s="192"/>
      <c r="H1221" s="179"/>
      <c r="I1221" s="283" t="e">
        <f>IF(#REF!="",#REF!*#REF!,IF(#REF!=0,#REF!*#REF!,#REF!*#REF!*#REF!))</f>
        <v>#REF!</v>
      </c>
      <c r="J1221" s="180" t="e">
        <f>#REF!*#REF!</f>
        <v>#REF!</v>
      </c>
      <c r="K1221" s="178" t="e">
        <f>#REF!*mo</f>
        <v>#REF!</v>
      </c>
      <c r="L1221" s="178" t="e">
        <f t="shared" si="158"/>
        <v>#REF!</v>
      </c>
      <c r="M1221" s="178" t="e">
        <f>#REF!*#REF!</f>
        <v>#REF!</v>
      </c>
      <c r="N1221" s="178" t="e">
        <f>#REF!+K1221+#REF!</f>
        <v>#REF!</v>
      </c>
      <c r="O1221" s="181" t="e">
        <f t="shared" si="156"/>
        <v>#REF!</v>
      </c>
    </row>
    <row r="1222" spans="1:15" s="193" customFormat="1" outlineLevel="1">
      <c r="A1222" s="155"/>
      <c r="B1222" s="198" t="str">
        <f>"Total "&amp;B1127</f>
        <v>Total VMC</v>
      </c>
      <c r="C1222" s="202"/>
      <c r="D1222" s="203"/>
      <c r="E1222" s="176"/>
      <c r="F1222" s="177"/>
      <c r="G1222" s="192"/>
      <c r="H1222" s="179">
        <f>SUM(G1128:G1223)</f>
        <v>0</v>
      </c>
      <c r="I1222" s="283"/>
      <c r="J1222" s="180"/>
      <c r="K1222" s="178"/>
      <c r="L1222" s="178"/>
      <c r="M1222" s="178"/>
      <c r="N1222" s="178"/>
      <c r="O1222" s="181"/>
    </row>
    <row r="1223" spans="1:15" s="193" customFormat="1" outlineLevel="1">
      <c r="A1223" s="155"/>
      <c r="B1223" s="156"/>
      <c r="C1223" s="190"/>
      <c r="D1223" s="191"/>
      <c r="E1223" s="176"/>
      <c r="F1223" s="177"/>
      <c r="G1223" s="192"/>
      <c r="H1223" s="179"/>
      <c r="I1223" s="283" t="e">
        <f>IF(#REF!="",#REF!*#REF!,IF(#REF!=0,#REF!*#REF!,#REF!*#REF!*#REF!))</f>
        <v>#REF!</v>
      </c>
      <c r="J1223" s="180" t="e">
        <f>#REF!*#REF!</f>
        <v>#REF!</v>
      </c>
      <c r="K1223" s="178" t="e">
        <f>#REF!*mo</f>
        <v>#REF!</v>
      </c>
      <c r="L1223" s="178" t="e">
        <f t="shared" si="149"/>
        <v>#REF!</v>
      </c>
      <c r="M1223" s="178" t="e">
        <f>#REF!*#REF!</f>
        <v>#REF!</v>
      </c>
      <c r="N1223" s="178" t="e">
        <f>#REF!+K1223+#REF!</f>
        <v>#REF!</v>
      </c>
      <c r="O1223" s="181" t="e">
        <f t="shared" si="152"/>
        <v>#REF!</v>
      </c>
    </row>
    <row r="1224" spans="1:15" s="209" customFormat="1" outlineLevel="1">
      <c r="A1224" s="157" t="str">
        <f>A1125&amp;".2"</f>
        <v>4.2</v>
      </c>
      <c r="B1224" s="158" t="s">
        <v>1137</v>
      </c>
      <c r="C1224" s="195"/>
      <c r="D1224" s="170"/>
      <c r="E1224" s="176"/>
      <c r="F1224" s="177"/>
      <c r="G1224" s="192"/>
      <c r="H1224" s="179">
        <f>SUM(G1225:G1234)</f>
        <v>0</v>
      </c>
      <c r="I1224" s="283" t="e">
        <f>IF(#REF!="",#REF!*#REF!,IF(#REF!=0,#REF!*#REF!,#REF!*#REF!*#REF!))</f>
        <v>#REF!</v>
      </c>
      <c r="J1224" s="180" t="e">
        <f>#REF!*#REF!</f>
        <v>#REF!</v>
      </c>
      <c r="K1224" s="178" t="e">
        <f>#REF!*mo</f>
        <v>#REF!</v>
      </c>
      <c r="L1224" s="178" t="e">
        <f t="shared" si="149"/>
        <v>#REF!</v>
      </c>
      <c r="M1224" s="178" t="e">
        <f>#REF!*#REF!</f>
        <v>#REF!</v>
      </c>
      <c r="N1224" s="178" t="e">
        <f>#REF!+K1224+#REF!</f>
        <v>#REF!</v>
      </c>
      <c r="O1224" s="181" t="e">
        <f t="shared" si="152"/>
        <v>#REF!</v>
      </c>
    </row>
    <row r="1225" spans="1:15" s="209" customFormat="1" outlineLevel="1">
      <c r="A1225" s="157" t="str">
        <f>$A$338&amp;".1"</f>
        <v>.1</v>
      </c>
      <c r="B1225" s="232" t="s">
        <v>1138</v>
      </c>
      <c r="C1225" s="195"/>
      <c r="D1225" s="170"/>
      <c r="E1225" s="176"/>
      <c r="F1225" s="177"/>
      <c r="G1225" s="192">
        <f>SUM(F1226:F1229)</f>
        <v>0</v>
      </c>
      <c r="H1225" s="179"/>
      <c r="I1225" s="283" t="e">
        <f>IF(#REF!="",#REF!*#REF!,IF(#REF!=0,#REF!*#REF!,#REF!*#REF!*#REF!))</f>
        <v>#REF!</v>
      </c>
      <c r="J1225" s="180" t="e">
        <f>#REF!*#REF!</f>
        <v>#REF!</v>
      </c>
      <c r="K1225" s="178" t="e">
        <f>#REF!*mo</f>
        <v>#REF!</v>
      </c>
      <c r="L1225" s="178" t="e">
        <f t="shared" si="149"/>
        <v>#REF!</v>
      </c>
      <c r="M1225" s="178" t="e">
        <f>#REF!*#REF!</f>
        <v>#REF!</v>
      </c>
      <c r="N1225" s="178" t="e">
        <f>#REF!+K1225+#REF!</f>
        <v>#REF!</v>
      </c>
      <c r="O1225" s="181" t="e">
        <f t="shared" si="152"/>
        <v>#REF!</v>
      </c>
    </row>
    <row r="1226" spans="1:15" s="193" customFormat="1" outlineLevel="2">
      <c r="A1226" s="155"/>
      <c r="B1226" s="230"/>
      <c r="C1226" s="202"/>
      <c r="D1226" s="203"/>
      <c r="E1226" s="176"/>
      <c r="F1226" s="177"/>
      <c r="G1226" s="192"/>
      <c r="H1226" s="179"/>
      <c r="I1226" s="283" t="e">
        <f>IF(#REF!="",#REF!*#REF!,IF(#REF!=0,#REF!*#REF!,#REF!*#REF!*#REF!))</f>
        <v>#REF!</v>
      </c>
      <c r="J1226" s="180" t="e">
        <f>#REF!*#REF!</f>
        <v>#REF!</v>
      </c>
      <c r="K1226" s="178" t="e">
        <f>#REF!*mo</f>
        <v>#REF!</v>
      </c>
      <c r="L1226" s="178" t="e">
        <f t="shared" si="149"/>
        <v>#REF!</v>
      </c>
      <c r="M1226" s="178" t="e">
        <f>#REF!*#REF!</f>
        <v>#REF!</v>
      </c>
      <c r="N1226" s="178" t="e">
        <f>#REF!+K1226+#REF!</f>
        <v>#REF!</v>
      </c>
      <c r="O1226" s="181" t="e">
        <f t="shared" si="152"/>
        <v>#REF!</v>
      </c>
    </row>
    <row r="1227" spans="1:15" s="193" customFormat="1" outlineLevel="2">
      <c r="A1227" s="155"/>
      <c r="B1227" s="230" t="s">
        <v>1139</v>
      </c>
      <c r="C1227" s="202" t="s">
        <v>93</v>
      </c>
      <c r="D1227" s="203"/>
      <c r="E1227" s="176"/>
      <c r="F1227" s="177"/>
      <c r="G1227" s="192"/>
      <c r="H1227" s="179"/>
      <c r="I1227" s="283" t="e">
        <f>IF(#REF!="",#REF!*#REF!,IF(#REF!=0,#REF!*#REF!,#REF!*#REF!*#REF!))</f>
        <v>#REF!</v>
      </c>
      <c r="J1227" s="180" t="e">
        <f>#REF!*#REF!</f>
        <v>#REF!</v>
      </c>
      <c r="K1227" s="178" t="e">
        <f>#REF!*mo</f>
        <v>#REF!</v>
      </c>
      <c r="L1227" s="178" t="e">
        <f t="shared" si="149"/>
        <v>#REF!</v>
      </c>
      <c r="M1227" s="178" t="e">
        <f>#REF!*#REF!</f>
        <v>#REF!</v>
      </c>
      <c r="N1227" s="178" t="e">
        <f>#REF!+K1227+#REF!</f>
        <v>#REF!</v>
      </c>
      <c r="O1227" s="181" t="e">
        <f t="shared" si="152"/>
        <v>#REF!</v>
      </c>
    </row>
    <row r="1228" spans="1:15" s="193" customFormat="1" outlineLevel="2">
      <c r="A1228" s="155"/>
      <c r="B1228" s="230" t="s">
        <v>1140</v>
      </c>
      <c r="C1228" s="202" t="s">
        <v>93</v>
      </c>
      <c r="D1228" s="203"/>
      <c r="E1228" s="176"/>
      <c r="F1228" s="177"/>
      <c r="G1228" s="192"/>
      <c r="H1228" s="179"/>
      <c r="I1228" s="283" t="e">
        <f>IF(#REF!="",#REF!*#REF!,IF(#REF!=0,#REF!*#REF!,#REF!*#REF!*#REF!))</f>
        <v>#REF!</v>
      </c>
      <c r="J1228" s="180" t="e">
        <f>#REF!*#REF!</f>
        <v>#REF!</v>
      </c>
      <c r="K1228" s="178" t="e">
        <f>#REF!*mo</f>
        <v>#REF!</v>
      </c>
      <c r="L1228" s="178" t="e">
        <f t="shared" si="149"/>
        <v>#REF!</v>
      </c>
      <c r="M1228" s="178" t="e">
        <f>#REF!*#REF!</f>
        <v>#REF!</v>
      </c>
      <c r="N1228" s="178" t="e">
        <f>#REF!+K1228+#REF!</f>
        <v>#REF!</v>
      </c>
      <c r="O1228" s="181" t="e">
        <f t="shared" si="152"/>
        <v>#REF!</v>
      </c>
    </row>
    <row r="1229" spans="1:15" s="193" customFormat="1" outlineLevel="2">
      <c r="A1229" s="155"/>
      <c r="B1229" s="230"/>
      <c r="C1229" s="202"/>
      <c r="D1229" s="203"/>
      <c r="E1229" s="176"/>
      <c r="F1229" s="177"/>
      <c r="G1229" s="192"/>
      <c r="H1229" s="179"/>
      <c r="I1229" s="283" t="e">
        <f>IF(#REF!="",#REF!*#REF!,IF(#REF!=0,#REF!*#REF!,#REF!*#REF!*#REF!))</f>
        <v>#REF!</v>
      </c>
      <c r="J1229" s="180" t="e">
        <f>#REF!*#REF!</f>
        <v>#REF!</v>
      </c>
      <c r="K1229" s="178" t="e">
        <f>#REF!*mo</f>
        <v>#REF!</v>
      </c>
      <c r="L1229" s="178" t="e">
        <f t="shared" si="149"/>
        <v>#REF!</v>
      </c>
      <c r="M1229" s="178" t="e">
        <f>#REF!*#REF!</f>
        <v>#REF!</v>
      </c>
      <c r="N1229" s="178" t="e">
        <f>#REF!+K1229+#REF!</f>
        <v>#REF!</v>
      </c>
      <c r="O1229" s="181" t="e">
        <f t="shared" si="152"/>
        <v>#REF!</v>
      </c>
    </row>
    <row r="1230" spans="1:15" s="209" customFormat="1" outlineLevel="1">
      <c r="A1230" s="157" t="str">
        <f>$A$338&amp;".2"</f>
        <v>.2</v>
      </c>
      <c r="B1230" s="232" t="s">
        <v>1141</v>
      </c>
      <c r="C1230" s="195"/>
      <c r="D1230" s="170"/>
      <c r="E1230" s="176"/>
      <c r="F1230" s="177"/>
      <c r="G1230" s="192">
        <f>SUM(F1231:F1234)</f>
        <v>0</v>
      </c>
      <c r="H1230" s="179"/>
      <c r="I1230" s="283" t="e">
        <f>IF(#REF!="",#REF!*#REF!,IF(#REF!=0,#REF!*#REF!,#REF!*#REF!*#REF!))</f>
        <v>#REF!</v>
      </c>
      <c r="J1230" s="180" t="e">
        <f>#REF!*#REF!</f>
        <v>#REF!</v>
      </c>
      <c r="K1230" s="178" t="e">
        <f>#REF!*mo</f>
        <v>#REF!</v>
      </c>
      <c r="L1230" s="178" t="e">
        <f t="shared" si="149"/>
        <v>#REF!</v>
      </c>
      <c r="M1230" s="178" t="e">
        <f>#REF!*#REF!</f>
        <v>#REF!</v>
      </c>
      <c r="N1230" s="178" t="e">
        <f>#REF!+K1230+#REF!</f>
        <v>#REF!</v>
      </c>
      <c r="O1230" s="181" t="e">
        <f t="shared" si="152"/>
        <v>#REF!</v>
      </c>
    </row>
    <row r="1231" spans="1:15" s="193" customFormat="1" outlineLevel="2">
      <c r="A1231" s="155"/>
      <c r="B1231" s="230"/>
      <c r="C1231" s="202"/>
      <c r="D1231" s="203"/>
      <c r="E1231" s="176"/>
      <c r="F1231" s="177"/>
      <c r="G1231" s="192"/>
      <c r="H1231" s="179"/>
      <c r="I1231" s="283" t="e">
        <f>IF(#REF!="",#REF!*#REF!,IF(#REF!=0,#REF!*#REF!,#REF!*#REF!*#REF!))</f>
        <v>#REF!</v>
      </c>
      <c r="J1231" s="180" t="e">
        <f>#REF!*#REF!</f>
        <v>#REF!</v>
      </c>
      <c r="K1231" s="178" t="e">
        <f>#REF!*mo</f>
        <v>#REF!</v>
      </c>
      <c r="L1231" s="178" t="e">
        <f t="shared" si="149"/>
        <v>#REF!</v>
      </c>
      <c r="M1231" s="178" t="e">
        <f>#REF!*#REF!</f>
        <v>#REF!</v>
      </c>
      <c r="N1231" s="178" t="e">
        <f>#REF!+K1231+#REF!</f>
        <v>#REF!</v>
      </c>
      <c r="O1231" s="181" t="e">
        <f t="shared" si="152"/>
        <v>#REF!</v>
      </c>
    </row>
    <row r="1232" spans="1:15" s="193" customFormat="1" outlineLevel="2">
      <c r="A1232" s="155"/>
      <c r="B1232" s="230" t="s">
        <v>1142</v>
      </c>
      <c r="C1232" s="202" t="s">
        <v>93</v>
      </c>
      <c r="D1232" s="203"/>
      <c r="E1232" s="176"/>
      <c r="F1232" s="177"/>
      <c r="G1232" s="192"/>
      <c r="H1232" s="179"/>
      <c r="I1232" s="283" t="e">
        <f>IF(#REF!="",#REF!*#REF!,IF(#REF!=0,#REF!*#REF!,#REF!*#REF!*#REF!))</f>
        <v>#REF!</v>
      </c>
      <c r="J1232" s="180" t="e">
        <f>#REF!*#REF!</f>
        <v>#REF!</v>
      </c>
      <c r="K1232" s="178" t="e">
        <f>#REF!*mo</f>
        <v>#REF!</v>
      </c>
      <c r="L1232" s="178" t="e">
        <f t="shared" si="149"/>
        <v>#REF!</v>
      </c>
      <c r="M1232" s="178" t="e">
        <f>#REF!*#REF!</f>
        <v>#REF!</v>
      </c>
      <c r="N1232" s="178" t="e">
        <f>#REF!+K1232+#REF!</f>
        <v>#REF!</v>
      </c>
      <c r="O1232" s="181" t="e">
        <f t="shared" si="152"/>
        <v>#REF!</v>
      </c>
    </row>
    <row r="1233" spans="1:15" s="193" customFormat="1" outlineLevel="2">
      <c r="A1233" s="155"/>
      <c r="B1233" s="230" t="s">
        <v>1143</v>
      </c>
      <c r="C1233" s="202" t="s">
        <v>93</v>
      </c>
      <c r="D1233" s="203"/>
      <c r="E1233" s="176"/>
      <c r="F1233" s="177"/>
      <c r="G1233" s="192"/>
      <c r="H1233" s="179"/>
      <c r="I1233" s="283" t="e">
        <f>IF(#REF!="",#REF!*#REF!,IF(#REF!=0,#REF!*#REF!,#REF!*#REF!*#REF!))</f>
        <v>#REF!</v>
      </c>
      <c r="J1233" s="180" t="e">
        <f>#REF!*#REF!</f>
        <v>#REF!</v>
      </c>
      <c r="K1233" s="178" t="e">
        <f>#REF!*mo</f>
        <v>#REF!</v>
      </c>
      <c r="L1233" s="178" t="e">
        <f t="shared" si="149"/>
        <v>#REF!</v>
      </c>
      <c r="M1233" s="178" t="e">
        <f>#REF!*#REF!</f>
        <v>#REF!</v>
      </c>
      <c r="N1233" s="178" t="e">
        <f>#REF!+K1233+#REF!</f>
        <v>#REF!</v>
      </c>
      <c r="O1233" s="181" t="e">
        <f t="shared" si="152"/>
        <v>#REF!</v>
      </c>
    </row>
    <row r="1234" spans="1:15" s="193" customFormat="1" outlineLevel="1">
      <c r="A1234" s="155"/>
      <c r="B1234" s="198" t="str">
        <f>"Total "&amp;B1224</f>
        <v>Total EXTRACTIONS SPECIFIQUES</v>
      </c>
      <c r="C1234" s="190"/>
      <c r="D1234" s="191"/>
      <c r="E1234" s="176"/>
      <c r="F1234" s="177"/>
      <c r="G1234" s="192"/>
      <c r="H1234" s="179">
        <f>SUM(G1224:G1234)</f>
        <v>0</v>
      </c>
      <c r="I1234" s="283" t="e">
        <f>IF(#REF!="",#REF!*#REF!,IF(#REF!=0,#REF!*#REF!,#REF!*#REF!*#REF!))</f>
        <v>#REF!</v>
      </c>
      <c r="J1234" s="180" t="e">
        <f>#REF!*#REF!</f>
        <v>#REF!</v>
      </c>
      <c r="K1234" s="178" t="e">
        <f>#REF!*mo</f>
        <v>#REF!</v>
      </c>
      <c r="L1234" s="178" t="e">
        <f>J1234*mo</f>
        <v>#REF!</v>
      </c>
      <c r="M1234" s="178" t="e">
        <f>#REF!*#REF!</f>
        <v>#REF!</v>
      </c>
      <c r="N1234" s="178" t="e">
        <f>#REF!+K1234+#REF!</f>
        <v>#REF!</v>
      </c>
      <c r="O1234" s="181" t="e">
        <f>M1234+L1234+I1234</f>
        <v>#REF!</v>
      </c>
    </row>
    <row r="1235" spans="1:15" s="193" customFormat="1" outlineLevel="1">
      <c r="A1235" s="155"/>
      <c r="B1235" s="156"/>
      <c r="C1235" s="190"/>
      <c r="D1235" s="191"/>
      <c r="E1235" s="176"/>
      <c r="F1235" s="177"/>
      <c r="G1235" s="192"/>
      <c r="H1235" s="179"/>
      <c r="I1235" s="283" t="e">
        <f>IF(#REF!="",#REF!*#REF!,IF(#REF!=0,#REF!*#REF!,#REF!*#REF!*#REF!))</f>
        <v>#REF!</v>
      </c>
      <c r="J1235" s="180" t="e">
        <f>#REF!*#REF!</f>
        <v>#REF!</v>
      </c>
      <c r="K1235" s="178" t="e">
        <f>#REF!*mo</f>
        <v>#REF!</v>
      </c>
      <c r="L1235" s="178" t="e">
        <f t="shared" ref="L1235" si="159">J1235*mo</f>
        <v>#REF!</v>
      </c>
      <c r="M1235" s="178" t="e">
        <f>#REF!*#REF!</f>
        <v>#REF!</v>
      </c>
      <c r="N1235" s="178" t="e">
        <f>#REF!+K1235+#REF!</f>
        <v>#REF!</v>
      </c>
      <c r="O1235" s="181" t="e">
        <f t="shared" ref="O1235" si="160">M1235+L1235+I1235</f>
        <v>#REF!</v>
      </c>
    </row>
    <row r="1236" spans="1:15" s="194" customFormat="1" ht="12.6">
      <c r="A1236" s="153"/>
      <c r="B1236" s="154" t="s">
        <v>1144</v>
      </c>
      <c r="C1236" s="182"/>
      <c r="D1236" s="183"/>
      <c r="E1236" s="184"/>
      <c r="F1236" s="185"/>
      <c r="G1236" s="186"/>
      <c r="H1236" s="187">
        <f>SUM(H1237:H1297)</f>
        <v>0</v>
      </c>
      <c r="I1236" s="282" t="e">
        <f>IF(#REF!="",#REF!*#REF!,IF(#REF!=0,#REF!*#REF!,#REF!*#REF!*#REF!))</f>
        <v>#REF!</v>
      </c>
      <c r="J1236" s="188"/>
      <c r="K1236" s="186"/>
      <c r="L1236" s="186"/>
      <c r="M1236" s="186"/>
      <c r="N1236" s="186"/>
      <c r="O1236" s="187"/>
    </row>
    <row r="1237" spans="1:15" s="193" customFormat="1" ht="14.1" customHeight="1" outlineLevel="1">
      <c r="A1237" s="155"/>
      <c r="B1237" s="156"/>
      <c r="C1237" s="190"/>
      <c r="D1237" s="191"/>
      <c r="E1237" s="176"/>
      <c r="F1237" s="177"/>
      <c r="G1237" s="192"/>
      <c r="H1237" s="179"/>
      <c r="I1237" s="283" t="e">
        <f>IF(#REF!="",#REF!*#REF!,IF(#REF!=0,#REF!*#REF!,#REF!*#REF!*#REF!))</f>
        <v>#REF!</v>
      </c>
      <c r="J1237" s="180"/>
      <c r="K1237" s="178"/>
      <c r="L1237" s="178"/>
      <c r="M1237" s="178"/>
      <c r="N1237" s="178"/>
      <c r="O1237" s="181"/>
    </row>
    <row r="1238" spans="1:15" s="209" customFormat="1" outlineLevel="1">
      <c r="A1238" s="157" t="str">
        <f>$A$350&amp;".1"</f>
        <v>.1</v>
      </c>
      <c r="B1238" s="158" t="s">
        <v>1145</v>
      </c>
      <c r="C1238" s="195"/>
      <c r="D1238" s="170"/>
      <c r="E1238" s="176"/>
      <c r="F1238" s="177"/>
      <c r="G1238" s="192">
        <f>SUM(F1239:F1269)</f>
        <v>0</v>
      </c>
      <c r="H1238" s="179"/>
      <c r="I1238" s="283" t="e">
        <f>IF(#REF!="",#REF!*#REF!,IF(#REF!=0,#REF!*#REF!,#REF!*#REF!*#REF!))</f>
        <v>#REF!</v>
      </c>
      <c r="J1238" s="180" t="e">
        <f>#REF!*#REF!</f>
        <v>#REF!</v>
      </c>
      <c r="K1238" s="178"/>
      <c r="L1238" s="178"/>
      <c r="M1238" s="178"/>
      <c r="N1238" s="178"/>
      <c r="O1238" s="181"/>
    </row>
    <row r="1239" spans="1:15" s="193" customFormat="1" outlineLevel="2">
      <c r="A1239" s="155"/>
      <c r="B1239" s="156"/>
      <c r="C1239" s="190"/>
      <c r="D1239" s="191"/>
      <c r="E1239" s="176"/>
      <c r="F1239" s="177"/>
      <c r="G1239" s="192"/>
      <c r="H1239" s="179"/>
      <c r="I1239" s="283" t="e">
        <f>IF(#REF!="",#REF!*#REF!,IF(#REF!=0,#REF!*#REF!,#REF!*#REF!*#REF!))</f>
        <v>#REF!</v>
      </c>
      <c r="J1239" s="180" t="e">
        <f>#REF!*#REF!</f>
        <v>#REF!</v>
      </c>
      <c r="K1239" s="178" t="e">
        <f>#REF!*mo</f>
        <v>#REF!</v>
      </c>
      <c r="L1239" s="178" t="e">
        <f>J1239*mo</f>
        <v>#REF!</v>
      </c>
      <c r="M1239" s="178" t="e">
        <f>#REF!*#REF!</f>
        <v>#REF!</v>
      </c>
      <c r="N1239" s="178" t="e">
        <f>#REF!+K1239+#REF!</f>
        <v>#REF!</v>
      </c>
      <c r="O1239" s="181" t="e">
        <f>M1239+L1239+I1239</f>
        <v>#REF!</v>
      </c>
    </row>
    <row r="1240" spans="1:15" s="193" customFormat="1" outlineLevel="2">
      <c r="A1240" s="155"/>
      <c r="B1240" s="156" t="s">
        <v>1146</v>
      </c>
      <c r="C1240" s="190" t="s">
        <v>795</v>
      </c>
      <c r="D1240" s="191"/>
      <c r="E1240" s="176"/>
      <c r="F1240" s="177"/>
      <c r="G1240" s="192"/>
      <c r="H1240" s="179"/>
      <c r="I1240" s="283" t="e">
        <f>IF(#REF!="",#REF!*#REF!,IF(#REF!=0,#REF!*#REF!,#REF!*#REF!*#REF!))</f>
        <v>#REF!</v>
      </c>
      <c r="J1240" s="180" t="e">
        <f>#REF!*#REF!</f>
        <v>#REF!</v>
      </c>
      <c r="K1240" s="178"/>
      <c r="L1240" s="178"/>
      <c r="M1240" s="178"/>
      <c r="N1240" s="178"/>
      <c r="O1240" s="181"/>
    </row>
    <row r="1241" spans="1:15" s="193" customFormat="1" outlineLevel="2">
      <c r="A1241" s="155"/>
      <c r="B1241" s="197" t="s">
        <v>1147</v>
      </c>
      <c r="C1241" s="190"/>
      <c r="D1241" s="191"/>
      <c r="E1241" s="176"/>
      <c r="F1241" s="177"/>
      <c r="G1241" s="192"/>
      <c r="H1241" s="179"/>
      <c r="I1241" s="283"/>
      <c r="J1241" s="180"/>
      <c r="K1241" s="178"/>
      <c r="L1241" s="178"/>
      <c r="M1241" s="178"/>
      <c r="N1241" s="178"/>
      <c r="O1241" s="181"/>
    </row>
    <row r="1242" spans="1:15" s="193" customFormat="1" outlineLevel="2">
      <c r="A1242" s="155"/>
      <c r="B1242" s="197" t="s">
        <v>1148</v>
      </c>
      <c r="C1242" s="190"/>
      <c r="D1242" s="191"/>
      <c r="E1242" s="176"/>
      <c r="F1242" s="177"/>
      <c r="G1242" s="192"/>
      <c r="H1242" s="179"/>
      <c r="I1242" s="283"/>
      <c r="J1242" s="180"/>
      <c r="K1242" s="178"/>
      <c r="L1242" s="178"/>
      <c r="M1242" s="178"/>
      <c r="N1242" s="178"/>
      <c r="O1242" s="181"/>
    </row>
    <row r="1243" spans="1:15" s="193" customFormat="1" outlineLevel="2">
      <c r="A1243" s="155"/>
      <c r="B1243" s="197" t="s">
        <v>1149</v>
      </c>
      <c r="C1243" s="190"/>
      <c r="D1243" s="191"/>
      <c r="E1243" s="176"/>
      <c r="F1243" s="177"/>
      <c r="G1243" s="192"/>
      <c r="H1243" s="179"/>
      <c r="I1243" s="283"/>
      <c r="J1243" s="180"/>
      <c r="K1243" s="178"/>
      <c r="L1243" s="178"/>
      <c r="M1243" s="178"/>
      <c r="N1243" s="178"/>
      <c r="O1243" s="181"/>
    </row>
    <row r="1244" spans="1:15" s="193" customFormat="1" outlineLevel="2">
      <c r="A1244" s="155"/>
      <c r="B1244" s="197" t="s">
        <v>1150</v>
      </c>
      <c r="C1244" s="190"/>
      <c r="D1244" s="191"/>
      <c r="E1244" s="176"/>
      <c r="F1244" s="177"/>
      <c r="G1244" s="192"/>
      <c r="H1244" s="179"/>
      <c r="I1244" s="283"/>
      <c r="J1244" s="180"/>
      <c r="K1244" s="178"/>
      <c r="L1244" s="178"/>
      <c r="M1244" s="178"/>
      <c r="N1244" s="178"/>
      <c r="O1244" s="181"/>
    </row>
    <row r="1245" spans="1:15" s="193" customFormat="1" outlineLevel="2">
      <c r="A1245" s="155"/>
      <c r="B1245" s="230" t="s">
        <v>1151</v>
      </c>
      <c r="C1245" s="190"/>
      <c r="D1245" s="191"/>
      <c r="E1245" s="176"/>
      <c r="F1245" s="177"/>
      <c r="G1245" s="192"/>
      <c r="H1245" s="179"/>
      <c r="I1245" s="283"/>
      <c r="J1245" s="180"/>
      <c r="K1245" s="178"/>
      <c r="L1245" s="178"/>
      <c r="M1245" s="178"/>
      <c r="N1245" s="178"/>
      <c r="O1245" s="181"/>
    </row>
    <row r="1246" spans="1:15" s="193" customFormat="1" outlineLevel="2">
      <c r="A1246" s="155"/>
      <c r="B1246" s="231"/>
      <c r="C1246" s="190"/>
      <c r="D1246" s="191"/>
      <c r="E1246" s="176"/>
      <c r="F1246" s="177"/>
      <c r="G1246" s="192"/>
      <c r="H1246" s="179"/>
      <c r="I1246" s="283"/>
      <c r="J1246" s="180"/>
      <c r="K1246" s="178"/>
      <c r="L1246" s="178"/>
      <c r="M1246" s="178"/>
      <c r="N1246" s="178"/>
      <c r="O1246" s="181"/>
    </row>
    <row r="1247" spans="1:15" s="193" customFormat="1" outlineLevel="2">
      <c r="A1247" s="155"/>
      <c r="B1247" s="156" t="s">
        <v>1152</v>
      </c>
      <c r="C1247" s="190" t="s">
        <v>93</v>
      </c>
      <c r="D1247" s="191"/>
      <c r="E1247" s="176"/>
      <c r="F1247" s="177"/>
      <c r="G1247" s="192"/>
      <c r="H1247" s="179"/>
      <c r="I1247" s="283" t="e">
        <f>IF(#REF!="",#REF!*#REF!,IF(#REF!=0,#REF!*#REF!,#REF!*#REF!*#REF!))</f>
        <v>#REF!</v>
      </c>
      <c r="J1247" s="180" t="e">
        <f>#REF!*#REF!</f>
        <v>#REF!</v>
      </c>
      <c r="K1247" s="178" t="e">
        <f>#REF!*mo</f>
        <v>#REF!</v>
      </c>
      <c r="L1247" s="178" t="e">
        <f>J1247*mo</f>
        <v>#REF!</v>
      </c>
      <c r="M1247" s="178" t="e">
        <f>#REF!*#REF!</f>
        <v>#REF!</v>
      </c>
      <c r="N1247" s="178" t="e">
        <f>#REF!+K1247+#REF!</f>
        <v>#REF!</v>
      </c>
      <c r="O1247" s="181" t="e">
        <f>M1247+L1247+I1247</f>
        <v>#REF!</v>
      </c>
    </row>
    <row r="1248" spans="1:15" s="193" customFormat="1" outlineLevel="2">
      <c r="A1248" s="155"/>
      <c r="B1248" s="156" t="s">
        <v>1153</v>
      </c>
      <c r="C1248" s="190" t="s">
        <v>93</v>
      </c>
      <c r="D1248" s="191"/>
      <c r="E1248" s="176"/>
      <c r="F1248" s="177"/>
      <c r="G1248" s="192"/>
      <c r="H1248" s="179"/>
      <c r="I1248" s="283" t="e">
        <f>IF(#REF!="",#REF!*#REF!,IF(#REF!=0,#REF!*#REF!,#REF!*#REF!*#REF!))</f>
        <v>#REF!</v>
      </c>
      <c r="J1248" s="180" t="e">
        <f>#REF!*#REF!</f>
        <v>#REF!</v>
      </c>
      <c r="K1248" s="178"/>
      <c r="L1248" s="178"/>
      <c r="M1248" s="178"/>
      <c r="N1248" s="178"/>
      <c r="O1248" s="181"/>
    </row>
    <row r="1249" spans="1:15" s="193" customFormat="1" outlineLevel="2">
      <c r="A1249" s="155"/>
      <c r="B1249" s="156" t="s">
        <v>1154</v>
      </c>
      <c r="C1249" s="190" t="s">
        <v>795</v>
      </c>
      <c r="D1249" s="191"/>
      <c r="E1249" s="176"/>
      <c r="F1249" s="177"/>
      <c r="G1249" s="192"/>
      <c r="H1249" s="179"/>
      <c r="I1249" s="283" t="e">
        <f>IF(#REF!="",#REF!*#REF!,IF(#REF!=0,#REF!*#REF!,#REF!*#REF!*#REF!))</f>
        <v>#REF!</v>
      </c>
      <c r="J1249" s="180" t="e">
        <f>#REF!*#REF!</f>
        <v>#REF!</v>
      </c>
      <c r="K1249" s="178" t="e">
        <f>#REF!*mo</f>
        <v>#REF!</v>
      </c>
      <c r="L1249" s="178" t="e">
        <f>J1249*mo</f>
        <v>#REF!</v>
      </c>
      <c r="M1249" s="178" t="e">
        <f>#REF!*#REF!</f>
        <v>#REF!</v>
      </c>
      <c r="N1249" s="178" t="e">
        <f>#REF!+K1249+#REF!</f>
        <v>#REF!</v>
      </c>
      <c r="O1249" s="181" t="e">
        <f>M1249+L1249+I1249</f>
        <v>#REF!</v>
      </c>
    </row>
    <row r="1250" spans="1:15" s="193" customFormat="1" outlineLevel="2">
      <c r="A1250" s="155"/>
      <c r="B1250" s="156"/>
      <c r="C1250" s="190"/>
      <c r="D1250" s="191"/>
      <c r="E1250" s="176"/>
      <c r="F1250" s="177"/>
      <c r="G1250" s="192"/>
      <c r="H1250" s="179"/>
      <c r="I1250" s="283" t="e">
        <f>IF(#REF!="",#REF!*#REF!,IF(#REF!=0,#REF!*#REF!,#REF!*#REF!*#REF!))</f>
        <v>#REF!</v>
      </c>
      <c r="J1250" s="180" t="e">
        <f>#REF!*#REF!</f>
        <v>#REF!</v>
      </c>
      <c r="K1250" s="178"/>
      <c r="L1250" s="178"/>
      <c r="M1250" s="178"/>
      <c r="N1250" s="178"/>
      <c r="O1250" s="181"/>
    </row>
    <row r="1251" spans="1:15" s="193" customFormat="1" outlineLevel="2">
      <c r="A1251" s="155"/>
      <c r="B1251" s="205" t="s">
        <v>936</v>
      </c>
      <c r="C1251" s="202" t="s">
        <v>937</v>
      </c>
      <c r="D1251" s="203"/>
      <c r="E1251" s="176"/>
      <c r="F1251" s="177"/>
      <c r="G1251" s="192"/>
      <c r="H1251" s="179"/>
      <c r="I1251" s="283" t="e">
        <f>IF(#REF!="",#REF!*#REF!,IF(#REF!=0,#REF!*#REF!,#REF!*#REF!*#REF!))</f>
        <v>#REF!</v>
      </c>
      <c r="J1251" s="180" t="e">
        <f>#REF!*#REF!</f>
        <v>#REF!</v>
      </c>
      <c r="K1251" s="178" t="e">
        <f>#REF!*mo</f>
        <v>#REF!</v>
      </c>
      <c r="L1251" s="178" t="e">
        <f>J1251*mo</f>
        <v>#REF!</v>
      </c>
      <c r="M1251" s="178" t="e">
        <f>#REF!*#REF!</f>
        <v>#REF!</v>
      </c>
      <c r="N1251" s="178" t="e">
        <f>#REF!+K1251+#REF!</f>
        <v>#REF!</v>
      </c>
      <c r="O1251" s="181" t="e">
        <f>M1251+L1251+I1251</f>
        <v>#REF!</v>
      </c>
    </row>
    <row r="1252" spans="1:15" s="193" customFormat="1" outlineLevel="2">
      <c r="A1252" s="155"/>
      <c r="B1252" s="205" t="s">
        <v>1155</v>
      </c>
      <c r="C1252" s="202" t="s">
        <v>947</v>
      </c>
      <c r="D1252" s="203"/>
      <c r="E1252" s="176"/>
      <c r="F1252" s="177"/>
      <c r="G1252" s="192"/>
      <c r="H1252" s="179"/>
      <c r="I1252" s="283" t="e">
        <f>IF(#REF!="",#REF!*#REF!,IF(#REF!=0,#REF!*#REF!,#REF!*#REF!*#REF!))</f>
        <v>#REF!</v>
      </c>
      <c r="J1252" s="180" t="e">
        <f>#REF!*#REF!</f>
        <v>#REF!</v>
      </c>
      <c r="K1252" s="178" t="e">
        <f>#REF!*mo</f>
        <v>#REF!</v>
      </c>
      <c r="L1252" s="178" t="e">
        <f>J1252*mo</f>
        <v>#REF!</v>
      </c>
      <c r="M1252" s="178" t="e">
        <f>#REF!*#REF!</f>
        <v>#REF!</v>
      </c>
      <c r="N1252" s="178" t="e">
        <f>#REF!+K1252+#REF!</f>
        <v>#REF!</v>
      </c>
      <c r="O1252" s="181" t="e">
        <f t="shared" ref="O1252:O1253" si="161">M1252+L1252+I1252</f>
        <v>#REF!</v>
      </c>
    </row>
    <row r="1253" spans="1:15" s="193" customFormat="1" outlineLevel="2">
      <c r="A1253" s="155"/>
      <c r="B1253" s="205" t="s">
        <v>1156</v>
      </c>
      <c r="C1253" s="202" t="s">
        <v>947</v>
      </c>
      <c r="D1253" s="203"/>
      <c r="E1253" s="176"/>
      <c r="F1253" s="177"/>
      <c r="G1253" s="192"/>
      <c r="H1253" s="179"/>
      <c r="I1253" s="283" t="e">
        <f>IF(#REF!="",#REF!*#REF!,IF(#REF!=0,#REF!*#REF!,#REF!*#REF!*#REF!))</f>
        <v>#REF!</v>
      </c>
      <c r="J1253" s="180" t="e">
        <f>#REF!*#REF!</f>
        <v>#REF!</v>
      </c>
      <c r="K1253" s="178" t="e">
        <f>#REF!*mo</f>
        <v>#REF!</v>
      </c>
      <c r="L1253" s="178" t="e">
        <f>J1253*mo</f>
        <v>#REF!</v>
      </c>
      <c r="M1253" s="178" t="e">
        <f>#REF!*#REF!</f>
        <v>#REF!</v>
      </c>
      <c r="N1253" s="178" t="e">
        <f>#REF!+K1253+#REF!</f>
        <v>#REF!</v>
      </c>
      <c r="O1253" s="181" t="e">
        <f t="shared" si="161"/>
        <v>#REF!</v>
      </c>
    </row>
    <row r="1254" spans="1:15" s="193" customFormat="1" outlineLevel="2">
      <c r="A1254" s="155"/>
      <c r="B1254" s="156"/>
      <c r="C1254" s="190"/>
      <c r="D1254" s="191"/>
      <c r="E1254" s="176"/>
      <c r="F1254" s="177"/>
      <c r="G1254" s="192"/>
      <c r="H1254" s="179"/>
      <c r="I1254" s="283" t="e">
        <f>IF(#REF!="",#REF!*#REF!,IF(#REF!=0,#REF!*#REF!,#REF!*#REF!*#REF!))</f>
        <v>#REF!</v>
      </c>
      <c r="J1254" s="180" t="e">
        <f>#REF!*#REF!</f>
        <v>#REF!</v>
      </c>
      <c r="K1254" s="178" t="e">
        <f>#REF!*mo</f>
        <v>#REF!</v>
      </c>
      <c r="L1254" s="178" t="e">
        <f>J1254*mo</f>
        <v>#REF!</v>
      </c>
      <c r="M1254" s="178" t="e">
        <f>#REF!*#REF!</f>
        <v>#REF!</v>
      </c>
      <c r="N1254" s="178" t="e">
        <f>#REF!+K1254+#REF!</f>
        <v>#REF!</v>
      </c>
      <c r="O1254" s="181" t="e">
        <f>M1254+L1254+I1254</f>
        <v>#REF!</v>
      </c>
    </row>
    <row r="1255" spans="1:15" s="193" customFormat="1" outlineLevel="2">
      <c r="A1255" s="155"/>
      <c r="B1255" s="205" t="s">
        <v>1157</v>
      </c>
      <c r="C1255" s="202" t="s">
        <v>795</v>
      </c>
      <c r="D1255" s="203"/>
      <c r="E1255" s="176"/>
      <c r="F1255" s="177"/>
      <c r="G1255" s="192"/>
      <c r="H1255" s="179"/>
      <c r="I1255" s="283" t="e">
        <f>IF(#REF!="",#REF!*#REF!,IF(#REF!=0,#REF!*#REF!,#REF!*#REF!*#REF!))</f>
        <v>#REF!</v>
      </c>
      <c r="J1255" s="180" t="e">
        <f>#REF!*#REF!</f>
        <v>#REF!</v>
      </c>
      <c r="K1255" s="178"/>
      <c r="L1255" s="178"/>
      <c r="M1255" s="178"/>
      <c r="N1255" s="178"/>
      <c r="O1255" s="181"/>
    </row>
    <row r="1256" spans="1:15" s="193" customFormat="1" outlineLevel="2">
      <c r="A1256" s="155"/>
      <c r="B1256" s="230" t="s">
        <v>1158</v>
      </c>
      <c r="C1256" s="202"/>
      <c r="D1256" s="203"/>
      <c r="E1256" s="176"/>
      <c r="F1256" s="177"/>
      <c r="G1256" s="192"/>
      <c r="H1256" s="179"/>
      <c r="I1256" s="283"/>
      <c r="J1256" s="180"/>
      <c r="K1256" s="178"/>
      <c r="L1256" s="178"/>
      <c r="M1256" s="178"/>
      <c r="N1256" s="178"/>
      <c r="O1256" s="181"/>
    </row>
    <row r="1257" spans="1:15" s="193" customFormat="1" outlineLevel="2">
      <c r="A1257" s="155"/>
      <c r="B1257" s="230" t="s">
        <v>1159</v>
      </c>
      <c r="C1257" s="202"/>
      <c r="D1257" s="203"/>
      <c r="E1257" s="176"/>
      <c r="F1257" s="177"/>
      <c r="G1257" s="192"/>
      <c r="H1257" s="179"/>
      <c r="I1257" s="283"/>
      <c r="J1257" s="180"/>
      <c r="K1257" s="178"/>
      <c r="L1257" s="178"/>
      <c r="M1257" s="178"/>
      <c r="N1257" s="178"/>
      <c r="O1257" s="181"/>
    </row>
    <row r="1258" spans="1:15" s="193" customFormat="1" outlineLevel="2">
      <c r="A1258" s="155"/>
      <c r="B1258" s="230" t="s">
        <v>1160</v>
      </c>
      <c r="C1258" s="202"/>
      <c r="D1258" s="203"/>
      <c r="E1258" s="176"/>
      <c r="F1258" s="177"/>
      <c r="G1258" s="192"/>
      <c r="H1258" s="179"/>
      <c r="I1258" s="283"/>
      <c r="J1258" s="180"/>
      <c r="K1258" s="178"/>
      <c r="L1258" s="178"/>
      <c r="M1258" s="178"/>
      <c r="N1258" s="178"/>
      <c r="O1258" s="181"/>
    </row>
    <row r="1259" spans="1:15" s="193" customFormat="1" outlineLevel="2">
      <c r="A1259" s="155"/>
      <c r="B1259" s="230" t="s">
        <v>1151</v>
      </c>
      <c r="C1259" s="202"/>
      <c r="D1259" s="203"/>
      <c r="E1259" s="176"/>
      <c r="F1259" s="177"/>
      <c r="G1259" s="192"/>
      <c r="H1259" s="179"/>
      <c r="I1259" s="283"/>
      <c r="J1259" s="180"/>
      <c r="K1259" s="178"/>
      <c r="L1259" s="178"/>
      <c r="M1259" s="178"/>
      <c r="N1259" s="178"/>
      <c r="O1259" s="181"/>
    </row>
    <row r="1260" spans="1:15" s="193" customFormat="1" outlineLevel="2">
      <c r="A1260" s="155"/>
      <c r="B1260" s="230"/>
      <c r="C1260" s="202"/>
      <c r="D1260" s="203"/>
      <c r="E1260" s="176"/>
      <c r="F1260" s="177"/>
      <c r="G1260" s="192"/>
      <c r="H1260" s="179"/>
      <c r="I1260" s="283"/>
      <c r="J1260" s="180"/>
      <c r="K1260" s="178"/>
      <c r="L1260" s="178"/>
      <c r="M1260" s="178"/>
      <c r="N1260" s="178"/>
      <c r="O1260" s="181"/>
    </row>
    <row r="1261" spans="1:15" s="193" customFormat="1" outlineLevel="2">
      <c r="A1261" s="155"/>
      <c r="B1261" s="205" t="s">
        <v>1161</v>
      </c>
      <c r="C1261" s="202" t="s">
        <v>795</v>
      </c>
      <c r="D1261" s="203"/>
      <c r="E1261" s="176"/>
      <c r="F1261" s="177"/>
      <c r="G1261" s="192"/>
      <c r="H1261" s="179"/>
      <c r="I1261" s="283" t="e">
        <f>IF(#REF!="",#REF!*#REF!,IF(#REF!=0,#REF!*#REF!,#REF!*#REF!*#REF!))</f>
        <v>#REF!</v>
      </c>
      <c r="J1261" s="180" t="e">
        <f>#REF!*#REF!</f>
        <v>#REF!</v>
      </c>
      <c r="K1261" s="178" t="e">
        <f>#REF!*mo</f>
        <v>#REF!</v>
      </c>
      <c r="L1261" s="178" t="e">
        <f>J1261*mo</f>
        <v>#REF!</v>
      </c>
      <c r="M1261" s="178" t="e">
        <f>#REF!*#REF!</f>
        <v>#REF!</v>
      </c>
      <c r="N1261" s="178" t="e">
        <f>#REF!+K1261+#REF!</f>
        <v>#REF!</v>
      </c>
      <c r="O1261" s="181" t="e">
        <f>M1261+L1261+I1261</f>
        <v>#REF!</v>
      </c>
    </row>
    <row r="1262" spans="1:15" s="193" customFormat="1" outlineLevel="2">
      <c r="A1262" s="155"/>
      <c r="B1262" s="230" t="s">
        <v>1158</v>
      </c>
      <c r="C1262" s="202"/>
      <c r="D1262" s="203"/>
      <c r="E1262" s="176"/>
      <c r="F1262" s="177"/>
      <c r="G1262" s="192"/>
      <c r="H1262" s="179"/>
      <c r="I1262" s="283"/>
      <c r="J1262" s="180"/>
      <c r="K1262" s="178"/>
      <c r="L1262" s="178"/>
      <c r="M1262" s="178"/>
      <c r="N1262" s="178"/>
      <c r="O1262" s="181"/>
    </row>
    <row r="1263" spans="1:15" s="193" customFormat="1" outlineLevel="2">
      <c r="A1263" s="155"/>
      <c r="B1263" s="230" t="s">
        <v>1159</v>
      </c>
      <c r="C1263" s="202"/>
      <c r="D1263" s="203"/>
      <c r="E1263" s="176"/>
      <c r="F1263" s="177"/>
      <c r="G1263" s="192"/>
      <c r="H1263" s="179"/>
      <c r="I1263" s="283"/>
      <c r="J1263" s="180"/>
      <c r="K1263" s="178"/>
      <c r="L1263" s="178"/>
      <c r="M1263" s="178"/>
      <c r="N1263" s="178"/>
      <c r="O1263" s="181"/>
    </row>
    <row r="1264" spans="1:15" s="193" customFormat="1" outlineLevel="2">
      <c r="A1264" s="155"/>
      <c r="B1264" s="230" t="s">
        <v>1160</v>
      </c>
      <c r="C1264" s="202"/>
      <c r="D1264" s="203"/>
      <c r="E1264" s="176"/>
      <c r="F1264" s="177"/>
      <c r="G1264" s="192"/>
      <c r="H1264" s="179"/>
      <c r="I1264" s="283"/>
      <c r="J1264" s="180"/>
      <c r="K1264" s="178"/>
      <c r="L1264" s="178"/>
      <c r="M1264" s="178"/>
      <c r="N1264" s="178"/>
      <c r="O1264" s="181"/>
    </row>
    <row r="1265" spans="1:15" s="193" customFormat="1" outlineLevel="2">
      <c r="A1265" s="155"/>
      <c r="B1265" s="230" t="s">
        <v>1151</v>
      </c>
      <c r="C1265" s="202"/>
      <c r="D1265" s="203"/>
      <c r="E1265" s="176"/>
      <c r="F1265" s="177"/>
      <c r="G1265" s="192"/>
      <c r="H1265" s="179"/>
      <c r="I1265" s="283"/>
      <c r="J1265" s="180"/>
      <c r="K1265" s="178"/>
      <c r="L1265" s="178"/>
      <c r="M1265" s="178"/>
      <c r="N1265" s="178"/>
      <c r="O1265" s="181"/>
    </row>
    <row r="1266" spans="1:15" s="193" customFormat="1" outlineLevel="2">
      <c r="A1266" s="155"/>
      <c r="B1266" s="206"/>
      <c r="C1266" s="202"/>
      <c r="D1266" s="203"/>
      <c r="E1266" s="176"/>
      <c r="F1266" s="177"/>
      <c r="G1266" s="192"/>
      <c r="H1266" s="179"/>
      <c r="I1266" s="283"/>
      <c r="J1266" s="180"/>
      <c r="K1266" s="178"/>
      <c r="L1266" s="178"/>
      <c r="M1266" s="178"/>
      <c r="N1266" s="178"/>
      <c r="O1266" s="181"/>
    </row>
    <row r="1267" spans="1:15" s="193" customFormat="1" outlineLevel="2">
      <c r="A1267" s="155"/>
      <c r="B1267" s="206"/>
      <c r="C1267" s="202"/>
      <c r="D1267" s="203"/>
      <c r="E1267" s="176"/>
      <c r="F1267" s="177"/>
      <c r="G1267" s="192"/>
      <c r="H1267" s="179"/>
      <c r="I1267" s="283"/>
      <c r="J1267" s="180"/>
      <c r="K1267" s="178"/>
      <c r="L1267" s="178"/>
      <c r="M1267" s="178"/>
      <c r="N1267" s="178"/>
      <c r="O1267" s="181"/>
    </row>
    <row r="1268" spans="1:15" s="193" customFormat="1" outlineLevel="2">
      <c r="A1268" s="155"/>
      <c r="B1268" s="156" t="s">
        <v>1162</v>
      </c>
      <c r="C1268" s="190" t="s">
        <v>93</v>
      </c>
      <c r="D1268" s="191"/>
      <c r="E1268" s="176"/>
      <c r="F1268" s="177"/>
      <c r="G1268" s="192"/>
      <c r="H1268" s="179"/>
      <c r="I1268" s="283" t="e">
        <f>IF(#REF!="",#REF!*#REF!,IF(#REF!=0,#REF!*#REF!,#REF!*#REF!*#REF!))</f>
        <v>#REF!</v>
      </c>
      <c r="J1268" s="180" t="e">
        <f>#REF!*#REF!</f>
        <v>#REF!</v>
      </c>
      <c r="K1268" s="178" t="e">
        <f>#REF!*mo</f>
        <v>#REF!</v>
      </c>
      <c r="L1268" s="178" t="e">
        <f t="shared" ref="L1268:L1295" si="162">J1268*mo</f>
        <v>#REF!</v>
      </c>
      <c r="M1268" s="178" t="e">
        <f>#REF!*#REF!</f>
        <v>#REF!</v>
      </c>
      <c r="N1268" s="178" t="e">
        <f>#REF!+K1268+#REF!</f>
        <v>#REF!</v>
      </c>
      <c r="O1268" s="181" t="e">
        <f t="shared" ref="O1268:O1295" si="163">M1268+L1268+I1268</f>
        <v>#REF!</v>
      </c>
    </row>
    <row r="1269" spans="1:15" s="193" customFormat="1" outlineLevel="1">
      <c r="A1269" s="155"/>
      <c r="B1269" s="198" t="str">
        <f>"Total "&amp;B1238</f>
        <v>Total AMENEE D'AIR</v>
      </c>
      <c r="C1269" s="190"/>
      <c r="D1269" s="191"/>
      <c r="E1269" s="176"/>
      <c r="F1269" s="177"/>
      <c r="G1269" s="192"/>
      <c r="H1269" s="179">
        <f>SUM(G1238:G1269)</f>
        <v>0</v>
      </c>
      <c r="I1269" s="283" t="e">
        <f>IF(#REF!="",#REF!*#REF!,IF(#REF!=0,#REF!*#REF!,#REF!*#REF!*#REF!))</f>
        <v>#REF!</v>
      </c>
      <c r="J1269" s="180" t="e">
        <f>#REF!*#REF!</f>
        <v>#REF!</v>
      </c>
      <c r="K1269" s="178" t="e">
        <f>#REF!*mo</f>
        <v>#REF!</v>
      </c>
      <c r="L1269" s="178" t="e">
        <f t="shared" si="162"/>
        <v>#REF!</v>
      </c>
      <c r="M1269" s="178" t="e">
        <f>#REF!*#REF!</f>
        <v>#REF!</v>
      </c>
      <c r="N1269" s="178" t="e">
        <f>#REF!+K1269+#REF!</f>
        <v>#REF!</v>
      </c>
      <c r="O1269" s="181" t="e">
        <f t="shared" si="163"/>
        <v>#REF!</v>
      </c>
    </row>
    <row r="1270" spans="1:15" s="193" customFormat="1" outlineLevel="1">
      <c r="A1270" s="155"/>
      <c r="B1270" s="198"/>
      <c r="C1270" s="190"/>
      <c r="D1270" s="191"/>
      <c r="E1270" s="176"/>
      <c r="F1270" s="177"/>
      <c r="G1270" s="192"/>
      <c r="H1270" s="179"/>
      <c r="I1270" s="283"/>
      <c r="J1270" s="180"/>
      <c r="K1270" s="178"/>
      <c r="L1270" s="178"/>
      <c r="M1270" s="178"/>
      <c r="N1270" s="178"/>
      <c r="O1270" s="181"/>
    </row>
    <row r="1271" spans="1:15" s="209" customFormat="1" outlineLevel="1">
      <c r="A1271" s="157" t="str">
        <f>$A$350&amp;".2"</f>
        <v>.2</v>
      </c>
      <c r="B1271" s="158" t="s">
        <v>1163</v>
      </c>
      <c r="C1271" s="195"/>
      <c r="D1271" s="170"/>
      <c r="E1271" s="176"/>
      <c r="F1271" s="177"/>
      <c r="G1271" s="192">
        <f>SUM(F1272:F1297)</f>
        <v>0</v>
      </c>
      <c r="H1271" s="179"/>
      <c r="I1271" s="283" t="e">
        <f>IF(#REF!="",#REF!*#REF!,IF(#REF!=0,#REF!*#REF!,#REF!*#REF!*#REF!))</f>
        <v>#REF!</v>
      </c>
      <c r="J1271" s="180" t="e">
        <f>#REF!*#REF!</f>
        <v>#REF!</v>
      </c>
      <c r="K1271" s="178" t="e">
        <f>#REF!*mo</f>
        <v>#REF!</v>
      </c>
      <c r="L1271" s="178" t="e">
        <f t="shared" si="162"/>
        <v>#REF!</v>
      </c>
      <c r="M1271" s="178" t="e">
        <f>#REF!*#REF!</f>
        <v>#REF!</v>
      </c>
      <c r="N1271" s="178" t="e">
        <f>#REF!+K1271+#REF!</f>
        <v>#REF!</v>
      </c>
      <c r="O1271" s="181" t="e">
        <f t="shared" si="163"/>
        <v>#REF!</v>
      </c>
    </row>
    <row r="1272" spans="1:15" s="193" customFormat="1" outlineLevel="2">
      <c r="A1272" s="155"/>
      <c r="B1272" s="156"/>
      <c r="C1272" s="190"/>
      <c r="D1272" s="191"/>
      <c r="E1272" s="176"/>
      <c r="F1272" s="177"/>
      <c r="G1272" s="192"/>
      <c r="H1272" s="179"/>
      <c r="I1272" s="283" t="e">
        <f>IF(#REF!="",#REF!*#REF!,IF(#REF!=0,#REF!*#REF!,#REF!*#REF!*#REF!))</f>
        <v>#REF!</v>
      </c>
      <c r="J1272" s="180" t="e">
        <f>#REF!*#REF!</f>
        <v>#REF!</v>
      </c>
      <c r="K1272" s="178" t="e">
        <f>#REF!*mo</f>
        <v>#REF!</v>
      </c>
      <c r="L1272" s="178" t="e">
        <f t="shared" si="162"/>
        <v>#REF!</v>
      </c>
      <c r="M1272" s="178" t="e">
        <f>#REF!*#REF!</f>
        <v>#REF!</v>
      </c>
      <c r="N1272" s="178" t="e">
        <f>#REF!+K1272+#REF!</f>
        <v>#REF!</v>
      </c>
      <c r="O1272" s="181" t="e">
        <f t="shared" si="163"/>
        <v>#REF!</v>
      </c>
    </row>
    <row r="1273" spans="1:15" s="193" customFormat="1" outlineLevel="2">
      <c r="A1273" s="155"/>
      <c r="B1273" s="156" t="s">
        <v>1164</v>
      </c>
      <c r="C1273" s="190" t="s">
        <v>795</v>
      </c>
      <c r="D1273" s="191"/>
      <c r="E1273" s="176"/>
      <c r="F1273" s="177"/>
      <c r="G1273" s="192"/>
      <c r="H1273" s="179"/>
      <c r="I1273" s="283" t="e">
        <f>IF(#REF!="",#REF!*#REF!,IF(#REF!=0,#REF!*#REF!,#REF!*#REF!*#REF!))</f>
        <v>#REF!</v>
      </c>
      <c r="J1273" s="180" t="e">
        <f>#REF!*#REF!</f>
        <v>#REF!</v>
      </c>
      <c r="K1273" s="178" t="e">
        <f>#REF!*mo</f>
        <v>#REF!</v>
      </c>
      <c r="L1273" s="178" t="e">
        <f t="shared" si="162"/>
        <v>#REF!</v>
      </c>
      <c r="M1273" s="178" t="e">
        <f>#REF!*#REF!</f>
        <v>#REF!</v>
      </c>
      <c r="N1273" s="178" t="e">
        <f>#REF!+K1273+#REF!</f>
        <v>#REF!</v>
      </c>
      <c r="O1273" s="181" t="e">
        <f t="shared" si="163"/>
        <v>#REF!</v>
      </c>
    </row>
    <row r="1274" spans="1:15" s="193" customFormat="1" outlineLevel="2">
      <c r="A1274" s="155"/>
      <c r="B1274" s="197" t="s">
        <v>1147</v>
      </c>
      <c r="C1274" s="190"/>
      <c r="D1274" s="191"/>
      <c r="E1274" s="176"/>
      <c r="F1274" s="177"/>
      <c r="G1274" s="192"/>
      <c r="H1274" s="179"/>
      <c r="I1274" s="283"/>
      <c r="J1274" s="180"/>
      <c r="K1274" s="178"/>
      <c r="L1274" s="178"/>
      <c r="M1274" s="178"/>
      <c r="N1274" s="178"/>
      <c r="O1274" s="181"/>
    </row>
    <row r="1275" spans="1:15" s="193" customFormat="1" outlineLevel="2">
      <c r="A1275" s="155"/>
      <c r="B1275" s="197" t="s">
        <v>1148</v>
      </c>
      <c r="C1275" s="190"/>
      <c r="D1275" s="191"/>
      <c r="E1275" s="176"/>
      <c r="F1275" s="177"/>
      <c r="G1275" s="192"/>
      <c r="H1275" s="179"/>
      <c r="I1275" s="283"/>
      <c r="J1275" s="180"/>
      <c r="K1275" s="178"/>
      <c r="L1275" s="178"/>
      <c r="M1275" s="178"/>
      <c r="N1275" s="178"/>
      <c r="O1275" s="181"/>
    </row>
    <row r="1276" spans="1:15" s="193" customFormat="1" outlineLevel="2">
      <c r="A1276" s="155"/>
      <c r="B1276" s="197" t="s">
        <v>1149</v>
      </c>
      <c r="C1276" s="190"/>
      <c r="D1276" s="191"/>
      <c r="E1276" s="176"/>
      <c r="F1276" s="177"/>
      <c r="G1276" s="192"/>
      <c r="H1276" s="179"/>
      <c r="I1276" s="283"/>
      <c r="J1276" s="180"/>
      <c r="K1276" s="178"/>
      <c r="L1276" s="178"/>
      <c r="M1276" s="178"/>
      <c r="N1276" s="178"/>
      <c r="O1276" s="181"/>
    </row>
    <row r="1277" spans="1:15" s="193" customFormat="1" outlineLevel="2">
      <c r="A1277" s="155"/>
      <c r="B1277" s="197" t="s">
        <v>1150</v>
      </c>
      <c r="C1277" s="190"/>
      <c r="D1277" s="191"/>
      <c r="E1277" s="176"/>
      <c r="F1277" s="177"/>
      <c r="G1277" s="192"/>
      <c r="H1277" s="179"/>
      <c r="I1277" s="283"/>
      <c r="J1277" s="180"/>
      <c r="K1277" s="178"/>
      <c r="L1277" s="178"/>
      <c r="M1277" s="178"/>
      <c r="N1277" s="178"/>
      <c r="O1277" s="181"/>
    </row>
    <row r="1278" spans="1:15" s="193" customFormat="1" outlineLevel="2">
      <c r="A1278" s="155"/>
      <c r="B1278" s="230" t="s">
        <v>1151</v>
      </c>
      <c r="C1278" s="190"/>
      <c r="D1278" s="191"/>
      <c r="E1278" s="176"/>
      <c r="F1278" s="177"/>
      <c r="G1278" s="192"/>
      <c r="H1278" s="179"/>
      <c r="I1278" s="283"/>
      <c r="J1278" s="180"/>
      <c r="K1278" s="178"/>
      <c r="L1278" s="178"/>
      <c r="M1278" s="178"/>
      <c r="N1278" s="178"/>
      <c r="O1278" s="181"/>
    </row>
    <row r="1279" spans="1:15" s="193" customFormat="1" outlineLevel="2">
      <c r="A1279" s="155"/>
      <c r="B1279" s="156"/>
      <c r="C1279" s="190"/>
      <c r="D1279" s="191"/>
      <c r="E1279" s="176"/>
      <c r="F1279" s="177"/>
      <c r="G1279" s="192"/>
      <c r="H1279" s="179"/>
      <c r="I1279" s="283"/>
      <c r="J1279" s="180"/>
      <c r="K1279" s="178"/>
      <c r="L1279" s="178"/>
      <c r="M1279" s="178"/>
      <c r="N1279" s="178"/>
      <c r="O1279" s="181"/>
    </row>
    <row r="1280" spans="1:15" s="193" customFormat="1" outlineLevel="2">
      <c r="A1280" s="155"/>
      <c r="B1280" s="156" t="s">
        <v>1152</v>
      </c>
      <c r="C1280" s="190" t="s">
        <v>93</v>
      </c>
      <c r="D1280" s="191"/>
      <c r="E1280" s="176"/>
      <c r="F1280" s="177"/>
      <c r="G1280" s="192"/>
      <c r="H1280" s="179"/>
      <c r="I1280" s="283" t="e">
        <f>IF(#REF!="",#REF!*#REF!,IF(#REF!=0,#REF!*#REF!,#REF!*#REF!*#REF!))</f>
        <v>#REF!</v>
      </c>
      <c r="J1280" s="180" t="e">
        <f>#REF!*#REF!</f>
        <v>#REF!</v>
      </c>
      <c r="K1280" s="178" t="e">
        <f>#REF!*mo</f>
        <v>#REF!</v>
      </c>
      <c r="L1280" s="178" t="e">
        <f t="shared" si="162"/>
        <v>#REF!</v>
      </c>
      <c r="M1280" s="178" t="e">
        <f>#REF!*#REF!</f>
        <v>#REF!</v>
      </c>
      <c r="N1280" s="178" t="e">
        <f>#REF!+K1280+#REF!</f>
        <v>#REF!</v>
      </c>
      <c r="O1280" s="181" t="e">
        <f t="shared" si="163"/>
        <v>#REF!</v>
      </c>
    </row>
    <row r="1281" spans="1:15" s="193" customFormat="1" outlineLevel="2">
      <c r="A1281" s="155"/>
      <c r="B1281" s="156" t="s">
        <v>1153</v>
      </c>
      <c r="C1281" s="190" t="s">
        <v>93</v>
      </c>
      <c r="D1281" s="191"/>
      <c r="E1281" s="176"/>
      <c r="F1281" s="177"/>
      <c r="G1281" s="192"/>
      <c r="H1281" s="179"/>
      <c r="I1281" s="283" t="e">
        <f>IF(#REF!="",#REF!*#REF!,IF(#REF!=0,#REF!*#REF!,#REF!*#REF!*#REF!))</f>
        <v>#REF!</v>
      </c>
      <c r="J1281" s="180" t="e">
        <f>#REF!*#REF!</f>
        <v>#REF!</v>
      </c>
      <c r="K1281" s="178" t="e">
        <f>#REF!*mo</f>
        <v>#REF!</v>
      </c>
      <c r="L1281" s="178" t="e">
        <f t="shared" si="162"/>
        <v>#REF!</v>
      </c>
      <c r="M1281" s="178" t="e">
        <f>#REF!*#REF!</f>
        <v>#REF!</v>
      </c>
      <c r="N1281" s="178" t="e">
        <f>#REF!+K1281+#REF!</f>
        <v>#REF!</v>
      </c>
      <c r="O1281" s="181" t="e">
        <f t="shared" si="163"/>
        <v>#REF!</v>
      </c>
    </row>
    <row r="1282" spans="1:15" s="193" customFormat="1" outlineLevel="2">
      <c r="A1282" s="155"/>
      <c r="B1282" s="156" t="s">
        <v>1154</v>
      </c>
      <c r="C1282" s="190" t="s">
        <v>795</v>
      </c>
      <c r="D1282" s="191"/>
      <c r="E1282" s="176"/>
      <c r="F1282" s="177"/>
      <c r="G1282" s="192"/>
      <c r="H1282" s="179"/>
      <c r="I1282" s="283" t="e">
        <f>IF(#REF!="",#REF!*#REF!,IF(#REF!=0,#REF!*#REF!,#REF!*#REF!*#REF!))</f>
        <v>#REF!</v>
      </c>
      <c r="J1282" s="180" t="e">
        <f>#REF!*#REF!</f>
        <v>#REF!</v>
      </c>
      <c r="K1282" s="178" t="e">
        <f>#REF!*mo</f>
        <v>#REF!</v>
      </c>
      <c r="L1282" s="178" t="e">
        <f t="shared" si="162"/>
        <v>#REF!</v>
      </c>
      <c r="M1282" s="178" t="e">
        <f>#REF!*#REF!</f>
        <v>#REF!</v>
      </c>
      <c r="N1282" s="178" t="e">
        <f>#REF!+K1282+#REF!</f>
        <v>#REF!</v>
      </c>
      <c r="O1282" s="181" t="e">
        <f t="shared" si="163"/>
        <v>#REF!</v>
      </c>
    </row>
    <row r="1283" spans="1:15" s="193" customFormat="1" outlineLevel="2">
      <c r="A1283" s="155"/>
      <c r="B1283" s="156"/>
      <c r="C1283" s="190"/>
      <c r="D1283" s="191"/>
      <c r="E1283" s="176"/>
      <c r="F1283" s="177"/>
      <c r="G1283" s="192"/>
      <c r="H1283" s="179"/>
      <c r="I1283" s="283" t="e">
        <f>IF(#REF!="",#REF!*#REF!,IF(#REF!=0,#REF!*#REF!,#REF!*#REF!*#REF!))</f>
        <v>#REF!</v>
      </c>
      <c r="J1283" s="180" t="e">
        <f>#REF!*#REF!</f>
        <v>#REF!</v>
      </c>
      <c r="K1283" s="178" t="e">
        <f>#REF!*mo</f>
        <v>#REF!</v>
      </c>
      <c r="L1283" s="178" t="e">
        <f t="shared" si="162"/>
        <v>#REF!</v>
      </c>
      <c r="M1283" s="178" t="e">
        <f>#REF!*#REF!</f>
        <v>#REF!</v>
      </c>
      <c r="N1283" s="178" t="e">
        <f>#REF!+K1283+#REF!</f>
        <v>#REF!</v>
      </c>
      <c r="O1283" s="181" t="e">
        <f t="shared" si="163"/>
        <v>#REF!</v>
      </c>
    </row>
    <row r="1284" spans="1:15" s="193" customFormat="1" outlineLevel="2">
      <c r="A1284" s="155"/>
      <c r="B1284" s="205" t="s">
        <v>936</v>
      </c>
      <c r="C1284" s="202" t="s">
        <v>937</v>
      </c>
      <c r="D1284" s="203"/>
      <c r="E1284" s="176"/>
      <c r="F1284" s="177"/>
      <c r="G1284" s="192"/>
      <c r="H1284" s="179"/>
      <c r="I1284" s="283" t="e">
        <f>IF(#REF!="",#REF!*#REF!,IF(#REF!=0,#REF!*#REF!,#REF!*#REF!*#REF!))</f>
        <v>#REF!</v>
      </c>
      <c r="J1284" s="180" t="e">
        <f>#REF!*#REF!</f>
        <v>#REF!</v>
      </c>
      <c r="K1284" s="178" t="e">
        <f>#REF!*mo</f>
        <v>#REF!</v>
      </c>
      <c r="L1284" s="178" t="e">
        <f t="shared" si="162"/>
        <v>#REF!</v>
      </c>
      <c r="M1284" s="178" t="e">
        <f>#REF!*#REF!</f>
        <v>#REF!</v>
      </c>
      <c r="N1284" s="178" t="e">
        <f>#REF!+K1284+#REF!</f>
        <v>#REF!</v>
      </c>
      <c r="O1284" s="181" t="e">
        <f t="shared" si="163"/>
        <v>#REF!</v>
      </c>
    </row>
    <row r="1285" spans="1:15" s="193" customFormat="1" outlineLevel="2">
      <c r="A1285" s="155"/>
      <c r="B1285" s="205" t="s">
        <v>1155</v>
      </c>
      <c r="C1285" s="202" t="s">
        <v>947</v>
      </c>
      <c r="D1285" s="203"/>
      <c r="E1285" s="176"/>
      <c r="F1285" s="177"/>
      <c r="G1285" s="192"/>
      <c r="H1285" s="179"/>
      <c r="I1285" s="283" t="e">
        <f>IF(#REF!="",#REF!*#REF!,IF(#REF!=0,#REF!*#REF!,#REF!*#REF!*#REF!))</f>
        <v>#REF!</v>
      </c>
      <c r="J1285" s="180" t="e">
        <f>#REF!*#REF!</f>
        <v>#REF!</v>
      </c>
      <c r="K1285" s="178" t="e">
        <f>#REF!*mo</f>
        <v>#REF!</v>
      </c>
      <c r="L1285" s="178" t="e">
        <f t="shared" si="162"/>
        <v>#REF!</v>
      </c>
      <c r="M1285" s="178" t="e">
        <f>#REF!*#REF!</f>
        <v>#REF!</v>
      </c>
      <c r="N1285" s="178" t="e">
        <f>#REF!+K1285+#REF!</f>
        <v>#REF!</v>
      </c>
      <c r="O1285" s="181" t="e">
        <f t="shared" si="163"/>
        <v>#REF!</v>
      </c>
    </row>
    <row r="1286" spans="1:15" s="193" customFormat="1" outlineLevel="2">
      <c r="A1286" s="155"/>
      <c r="B1286" s="205" t="s">
        <v>1156</v>
      </c>
      <c r="C1286" s="202" t="s">
        <v>947</v>
      </c>
      <c r="D1286" s="203"/>
      <c r="E1286" s="176"/>
      <c r="F1286" s="177"/>
      <c r="G1286" s="192"/>
      <c r="H1286" s="179"/>
      <c r="I1286" s="283" t="e">
        <f>IF(#REF!="",#REF!*#REF!,IF(#REF!=0,#REF!*#REF!,#REF!*#REF!*#REF!))</f>
        <v>#REF!</v>
      </c>
      <c r="J1286" s="180" t="e">
        <f>#REF!*#REF!</f>
        <v>#REF!</v>
      </c>
      <c r="K1286" s="178" t="e">
        <f>#REF!*mo</f>
        <v>#REF!</v>
      </c>
      <c r="L1286" s="178" t="e">
        <f>J1286*mo</f>
        <v>#REF!</v>
      </c>
      <c r="M1286" s="178" t="e">
        <f>#REF!*#REF!</f>
        <v>#REF!</v>
      </c>
      <c r="N1286" s="178" t="e">
        <f>#REF!+K1286+#REF!</f>
        <v>#REF!</v>
      </c>
      <c r="O1286" s="181" t="e">
        <f>M1286+L1286+I1286</f>
        <v>#REF!</v>
      </c>
    </row>
    <row r="1287" spans="1:15" s="193" customFormat="1" outlineLevel="2">
      <c r="A1287" s="155"/>
      <c r="B1287" s="156"/>
      <c r="C1287" s="190"/>
      <c r="D1287" s="191"/>
      <c r="E1287" s="176"/>
      <c r="F1287" s="177"/>
      <c r="G1287" s="192"/>
      <c r="H1287" s="179"/>
      <c r="I1287" s="283" t="e">
        <f>IF(#REF!="",#REF!*#REF!,IF(#REF!=0,#REF!*#REF!,#REF!*#REF!*#REF!))</f>
        <v>#REF!</v>
      </c>
      <c r="J1287" s="180" t="e">
        <f>#REF!*#REF!</f>
        <v>#REF!</v>
      </c>
      <c r="K1287" s="178" t="e">
        <f>#REF!*mo</f>
        <v>#REF!</v>
      </c>
      <c r="L1287" s="178" t="e">
        <f t="shared" si="162"/>
        <v>#REF!</v>
      </c>
      <c r="M1287" s="178" t="e">
        <f>#REF!*#REF!</f>
        <v>#REF!</v>
      </c>
      <c r="N1287" s="178" t="e">
        <f>#REF!+K1287+#REF!</f>
        <v>#REF!</v>
      </c>
      <c r="O1287" s="181" t="e">
        <f t="shared" si="163"/>
        <v>#REF!</v>
      </c>
    </row>
    <row r="1288" spans="1:15" s="193" customFormat="1" outlineLevel="2">
      <c r="A1288" s="155"/>
      <c r="B1288" s="205" t="s">
        <v>1165</v>
      </c>
      <c r="C1288" s="202" t="s">
        <v>937</v>
      </c>
      <c r="D1288" s="203"/>
      <c r="E1288" s="176"/>
      <c r="F1288" s="177"/>
      <c r="G1288" s="192"/>
      <c r="H1288" s="179"/>
      <c r="I1288" s="283" t="e">
        <f>IF(#REF!="",#REF!*#REF!,IF(#REF!=0,#REF!*#REF!,#REF!*#REF!*#REF!))</f>
        <v>#REF!</v>
      </c>
      <c r="J1288" s="180" t="e">
        <f>#REF!*#REF!</f>
        <v>#REF!</v>
      </c>
      <c r="K1288" s="178" t="e">
        <f>#REF!*mo</f>
        <v>#REF!</v>
      </c>
      <c r="L1288" s="178" t="e">
        <f t="shared" si="162"/>
        <v>#REF!</v>
      </c>
      <c r="M1288" s="178" t="e">
        <f>#REF!*#REF!</f>
        <v>#REF!</v>
      </c>
      <c r="N1288" s="178" t="e">
        <f>#REF!+K1288+#REF!</f>
        <v>#REF!</v>
      </c>
      <c r="O1288" s="181" t="e">
        <f t="shared" si="163"/>
        <v>#REF!</v>
      </c>
    </row>
    <row r="1289" spans="1:15" s="193" customFormat="1" outlineLevel="2">
      <c r="A1289" s="155"/>
      <c r="B1289" s="230" t="s">
        <v>1158</v>
      </c>
      <c r="C1289" s="202"/>
      <c r="D1289" s="203"/>
      <c r="E1289" s="176"/>
      <c r="F1289" s="177"/>
      <c r="G1289" s="192"/>
      <c r="H1289" s="179"/>
      <c r="I1289" s="283"/>
      <c r="J1289" s="180"/>
      <c r="K1289" s="178"/>
      <c r="L1289" s="178"/>
      <c r="M1289" s="178"/>
      <c r="N1289" s="178"/>
      <c r="O1289" s="181"/>
    </row>
    <row r="1290" spans="1:15" s="193" customFormat="1" outlineLevel="2">
      <c r="A1290" s="155"/>
      <c r="B1290" s="230" t="s">
        <v>1159</v>
      </c>
      <c r="C1290" s="202"/>
      <c r="D1290" s="203"/>
      <c r="E1290" s="176"/>
      <c r="F1290" s="177"/>
      <c r="G1290" s="192"/>
      <c r="H1290" s="179"/>
      <c r="I1290" s="283"/>
      <c r="J1290" s="180"/>
      <c r="K1290" s="178"/>
      <c r="L1290" s="178"/>
      <c r="M1290" s="178"/>
      <c r="N1290" s="178"/>
      <c r="O1290" s="181"/>
    </row>
    <row r="1291" spans="1:15" s="193" customFormat="1" outlineLevel="2">
      <c r="A1291" s="155"/>
      <c r="B1291" s="230" t="s">
        <v>1160</v>
      </c>
      <c r="C1291" s="202"/>
      <c r="D1291" s="203"/>
      <c r="E1291" s="176"/>
      <c r="F1291" s="177"/>
      <c r="G1291" s="192"/>
      <c r="H1291" s="179"/>
      <c r="I1291" s="283"/>
      <c r="J1291" s="180"/>
      <c r="K1291" s="178"/>
      <c r="L1291" s="178"/>
      <c r="M1291" s="178"/>
      <c r="N1291" s="178"/>
      <c r="O1291" s="181"/>
    </row>
    <row r="1292" spans="1:15" s="193" customFormat="1" outlineLevel="2">
      <c r="A1292" s="155"/>
      <c r="B1292" s="230" t="s">
        <v>1151</v>
      </c>
      <c r="C1292" s="202"/>
      <c r="D1292" s="203"/>
      <c r="E1292" s="176"/>
      <c r="F1292" s="177"/>
      <c r="G1292" s="192"/>
      <c r="H1292" s="179"/>
      <c r="I1292" s="283"/>
      <c r="J1292" s="180"/>
      <c r="K1292" s="178"/>
      <c r="L1292" s="178"/>
      <c r="M1292" s="178"/>
      <c r="N1292" s="178"/>
      <c r="O1292" s="181"/>
    </row>
    <row r="1293" spans="1:15" s="193" customFormat="1" outlineLevel="2">
      <c r="A1293" s="155"/>
      <c r="B1293" s="205"/>
      <c r="C1293" s="202"/>
      <c r="D1293" s="203"/>
      <c r="E1293" s="176"/>
      <c r="F1293" s="177"/>
      <c r="G1293" s="192"/>
      <c r="H1293" s="179"/>
      <c r="I1293" s="283"/>
      <c r="J1293" s="180"/>
      <c r="K1293" s="178"/>
      <c r="L1293" s="178"/>
      <c r="M1293" s="178"/>
      <c r="N1293" s="178"/>
      <c r="O1293" s="181"/>
    </row>
    <row r="1294" spans="1:15" s="193" customFormat="1" outlineLevel="2">
      <c r="A1294" s="155"/>
      <c r="B1294" s="205" t="s">
        <v>1166</v>
      </c>
      <c r="C1294" s="202" t="s">
        <v>947</v>
      </c>
      <c r="D1294" s="203"/>
      <c r="E1294" s="176"/>
      <c r="F1294" s="177"/>
      <c r="G1294" s="192"/>
      <c r="H1294" s="179"/>
      <c r="I1294" s="283" t="e">
        <f>IF(#REF!="",#REF!*#REF!,IF(#REF!=0,#REF!*#REF!,#REF!*#REF!*#REF!))</f>
        <v>#REF!</v>
      </c>
      <c r="J1294" s="180" t="e">
        <f>#REF!*#REF!</f>
        <v>#REF!</v>
      </c>
      <c r="K1294" s="178" t="e">
        <f>#REF!*mo</f>
        <v>#REF!</v>
      </c>
      <c r="L1294" s="178" t="e">
        <f t="shared" si="162"/>
        <v>#REF!</v>
      </c>
      <c r="M1294" s="178" t="e">
        <f>#REF!*#REF!</f>
        <v>#REF!</v>
      </c>
      <c r="N1294" s="178" t="e">
        <f>#REF!+K1294+#REF!</f>
        <v>#REF!</v>
      </c>
      <c r="O1294" s="181" t="e">
        <f t="shared" si="163"/>
        <v>#REF!</v>
      </c>
    </row>
    <row r="1295" spans="1:15" s="193" customFormat="1" outlineLevel="2">
      <c r="A1295" s="155"/>
      <c r="B1295" s="156" t="s">
        <v>1167</v>
      </c>
      <c r="C1295" s="190"/>
      <c r="D1295" s="191"/>
      <c r="E1295" s="176"/>
      <c r="F1295" s="177"/>
      <c r="G1295" s="192"/>
      <c r="H1295" s="179"/>
      <c r="I1295" s="283" t="e">
        <f>IF(#REF!="",#REF!*#REF!,IF(#REF!=0,#REF!*#REF!,#REF!*#REF!*#REF!))</f>
        <v>#REF!</v>
      </c>
      <c r="J1295" s="180" t="e">
        <f>#REF!*#REF!</f>
        <v>#REF!</v>
      </c>
      <c r="K1295" s="178" t="e">
        <f>#REF!*mo</f>
        <v>#REF!</v>
      </c>
      <c r="L1295" s="178" t="e">
        <f t="shared" si="162"/>
        <v>#REF!</v>
      </c>
      <c r="M1295" s="178" t="e">
        <f>#REF!*#REF!</f>
        <v>#REF!</v>
      </c>
      <c r="N1295" s="178" t="e">
        <f>#REF!+K1295+#REF!</f>
        <v>#REF!</v>
      </c>
      <c r="O1295" s="181" t="e">
        <f t="shared" si="163"/>
        <v>#REF!</v>
      </c>
    </row>
    <row r="1296" spans="1:15" s="193" customFormat="1" outlineLevel="1">
      <c r="A1296" s="155"/>
      <c r="B1296" s="198" t="str">
        <f>"Total "&amp;B1271</f>
        <v>Total EXTRACTION D'AIR</v>
      </c>
      <c r="C1296" s="190"/>
      <c r="D1296" s="191"/>
      <c r="E1296" s="176"/>
      <c r="F1296" s="177"/>
      <c r="G1296" s="192"/>
      <c r="H1296" s="179">
        <f>SUM(G1271:G1296)</f>
        <v>0</v>
      </c>
      <c r="I1296" s="283"/>
      <c r="J1296" s="180"/>
      <c r="K1296" s="178"/>
      <c r="L1296" s="178"/>
      <c r="M1296" s="178"/>
      <c r="N1296" s="178"/>
      <c r="O1296" s="181"/>
    </row>
    <row r="1297" spans="1:15" s="193" customFormat="1" outlineLevel="1">
      <c r="A1297" s="155"/>
      <c r="B1297" s="156"/>
      <c r="C1297" s="190"/>
      <c r="D1297" s="191"/>
      <c r="E1297" s="176"/>
      <c r="F1297" s="177"/>
      <c r="G1297" s="192"/>
      <c r="H1297" s="179"/>
      <c r="I1297" s="283" t="e">
        <f>IF(#REF!="",#REF!*#REF!,IF(#REF!=0,#REF!*#REF!,#REF!*#REF!*#REF!))</f>
        <v>#REF!</v>
      </c>
      <c r="J1297" s="180" t="e">
        <f>#REF!*#REF!</f>
        <v>#REF!</v>
      </c>
      <c r="K1297" s="178" t="e">
        <f>#REF!*mo</f>
        <v>#REF!</v>
      </c>
      <c r="L1297" s="178" t="e">
        <f>J1297*mo</f>
        <v>#REF!</v>
      </c>
      <c r="M1297" s="178" t="e">
        <f>#REF!*#REF!</f>
        <v>#REF!</v>
      </c>
      <c r="N1297" s="178" t="e">
        <f>#REF!+K1297+#REF!</f>
        <v>#REF!</v>
      </c>
      <c r="O1297" s="181" t="e">
        <f>M1297+L1297+I1297</f>
        <v>#REF!</v>
      </c>
    </row>
    <row r="1298" spans="1:15" s="194" customFormat="1" ht="12.6">
      <c r="A1298" s="153">
        <v>5</v>
      </c>
      <c r="B1298" s="154" t="s">
        <v>975</v>
      </c>
      <c r="C1298" s="182"/>
      <c r="D1298" s="183"/>
      <c r="E1298" s="184"/>
      <c r="F1298" s="185"/>
      <c r="G1298" s="186"/>
      <c r="H1298" s="187">
        <f>SUM(H1299:H1416)</f>
        <v>0</v>
      </c>
      <c r="I1298" s="282" t="e">
        <f>IF(#REF!="",#REF!*#REF!,IF(#REF!=0,#REF!*#REF!,#REF!*#REF!*#REF!))</f>
        <v>#REF!</v>
      </c>
      <c r="J1298" s="188"/>
      <c r="K1298" s="186"/>
      <c r="L1298" s="186"/>
      <c r="M1298" s="186"/>
      <c r="N1298" s="186"/>
      <c r="O1298" s="187"/>
    </row>
    <row r="1299" spans="1:15" s="193" customFormat="1" outlineLevel="1">
      <c r="A1299" s="155"/>
      <c r="B1299" s="156"/>
      <c r="C1299" s="190"/>
      <c r="D1299" s="191"/>
      <c r="E1299" s="176"/>
      <c r="F1299" s="177"/>
      <c r="G1299" s="192"/>
      <c r="H1299" s="179"/>
      <c r="I1299" s="283" t="e">
        <f>IF(#REF!="",#REF!*#REF!,IF(#REF!=0,#REF!*#REF!,#REF!*#REF!*#REF!))</f>
        <v>#REF!</v>
      </c>
      <c r="J1299" s="180" t="e">
        <f>#REF!*#REF!</f>
        <v>#REF!</v>
      </c>
      <c r="K1299" s="178" t="e">
        <f>#REF!*mo</f>
        <v>#REF!</v>
      </c>
      <c r="L1299" s="178" t="e">
        <f>J1299*mo</f>
        <v>#REF!</v>
      </c>
      <c r="M1299" s="178" t="e">
        <f>#REF!*#REF!</f>
        <v>#REF!</v>
      </c>
      <c r="N1299" s="178" t="e">
        <f>#REF!+K1299+#REF!</f>
        <v>#REF!</v>
      </c>
      <c r="O1299" s="181" t="e">
        <f>M1299+L1299+I1299</f>
        <v>#REF!</v>
      </c>
    </row>
    <row r="1300" spans="1:15" s="209" customFormat="1" outlineLevel="1">
      <c r="A1300" s="157" t="str">
        <f>$A$412&amp;".1"</f>
        <v>.1</v>
      </c>
      <c r="B1300" s="158" t="s">
        <v>976</v>
      </c>
      <c r="C1300" s="195"/>
      <c r="D1300" s="170"/>
      <c r="E1300" s="176"/>
      <c r="F1300" s="177"/>
      <c r="G1300" s="192">
        <f>SUM(F1301:F1325)</f>
        <v>0</v>
      </c>
      <c r="H1300" s="196"/>
      <c r="I1300" s="283" t="e">
        <f>IF(#REF!="",#REF!*#REF!,IF(#REF!=0,#REF!*#REF!,#REF!*#REF!*#REF!))</f>
        <v>#REF!</v>
      </c>
      <c r="J1300" s="180" t="e">
        <f>#REF!*#REF!</f>
        <v>#REF!</v>
      </c>
      <c r="K1300" s="178" t="e">
        <f>#REF!*mo</f>
        <v>#REF!</v>
      </c>
      <c r="L1300" s="178" t="e">
        <f>J1300*mo</f>
        <v>#REF!</v>
      </c>
      <c r="M1300" s="178" t="e">
        <f>#REF!*#REF!</f>
        <v>#REF!</v>
      </c>
      <c r="N1300" s="178" t="e">
        <f>#REF!+K1300+#REF!</f>
        <v>#REF!</v>
      </c>
      <c r="O1300" s="181" t="e">
        <f>M1300+L1300+I1300</f>
        <v>#REF!</v>
      </c>
    </row>
    <row r="1301" spans="1:15" s="193" customFormat="1" outlineLevel="2">
      <c r="A1301" s="155"/>
      <c r="B1301" s="156"/>
      <c r="C1301" s="190"/>
      <c r="D1301" s="191"/>
      <c r="E1301" s="176"/>
      <c r="F1301" s="177"/>
      <c r="G1301" s="192"/>
      <c r="H1301" s="179"/>
      <c r="I1301" s="283" t="e">
        <f>IF(#REF!="",#REF!*#REF!,IF(#REF!=0,#REF!*#REF!,#REF!*#REF!*#REF!))</f>
        <v>#REF!</v>
      </c>
      <c r="J1301" s="180" t="e">
        <f>#REF!*#REF!</f>
        <v>#REF!</v>
      </c>
      <c r="K1301" s="178" t="e">
        <f>#REF!*mo</f>
        <v>#REF!</v>
      </c>
      <c r="L1301" s="178" t="e">
        <f>J1301*mo</f>
        <v>#REF!</v>
      </c>
      <c r="M1301" s="178" t="e">
        <f>#REF!*#REF!</f>
        <v>#REF!</v>
      </c>
      <c r="N1301" s="178" t="e">
        <f>#REF!+K1301+#REF!</f>
        <v>#REF!</v>
      </c>
      <c r="O1301" s="181" t="e">
        <f>M1301+L1301+I1301</f>
        <v>#REF!</v>
      </c>
    </row>
    <row r="1302" spans="1:15" s="193" customFormat="1" outlineLevel="2">
      <c r="A1302" s="155"/>
      <c r="B1302" s="233" t="s">
        <v>977</v>
      </c>
      <c r="C1302" s="190"/>
      <c r="D1302" s="191"/>
      <c r="E1302" s="176"/>
      <c r="F1302" s="177"/>
      <c r="G1302" s="192"/>
      <c r="H1302" s="179"/>
      <c r="I1302" s="283" t="e">
        <f>IF(#REF!="",#REF!*#REF!,IF(#REF!=0,#REF!*#REF!,#REF!*#REF!*#REF!))</f>
        <v>#REF!</v>
      </c>
      <c r="J1302" s="180" t="e">
        <f>#REF!*#REF!</f>
        <v>#REF!</v>
      </c>
      <c r="K1302" s="178" t="e">
        <f>#REF!*mo</f>
        <v>#REF!</v>
      </c>
      <c r="L1302" s="178" t="e">
        <f>J1302*mo</f>
        <v>#REF!</v>
      </c>
      <c r="M1302" s="178" t="e">
        <f>#REF!*#REF!</f>
        <v>#REF!</v>
      </c>
      <c r="N1302" s="178" t="e">
        <f>#REF!+K1302+#REF!</f>
        <v>#REF!</v>
      </c>
      <c r="O1302" s="181" t="e">
        <f>M1302+L1302+I1302</f>
        <v>#REF!</v>
      </c>
    </row>
    <row r="1303" spans="1:15" s="193" customFormat="1" outlineLevel="2">
      <c r="A1303" s="155"/>
      <c r="B1303" s="212" t="s">
        <v>978</v>
      </c>
      <c r="C1303" s="190" t="s">
        <v>123</v>
      </c>
      <c r="D1303" s="191"/>
      <c r="E1303" s="176"/>
      <c r="F1303" s="177"/>
      <c r="G1303" s="192"/>
      <c r="H1303" s="179"/>
      <c r="I1303" s="283" t="e">
        <f>IF(#REF!="",#REF!*#REF!,IF(#REF!=0,#REF!*#REF!,#REF!*#REF!*#REF!))</f>
        <v>#REF!</v>
      </c>
      <c r="J1303" s="180" t="e">
        <f>#REF!*#REF!</f>
        <v>#REF!</v>
      </c>
      <c r="K1303" s="178" t="e">
        <f>#REF!*mo</f>
        <v>#REF!</v>
      </c>
      <c r="L1303" s="178" t="e">
        <f>J1303*mo</f>
        <v>#REF!</v>
      </c>
      <c r="M1303" s="178" t="e">
        <f>#REF!*#REF!</f>
        <v>#REF!</v>
      </c>
      <c r="N1303" s="178" t="e">
        <f>#REF!+K1303+#REF!</f>
        <v>#REF!</v>
      </c>
      <c r="O1303" s="181" t="e">
        <f>M1303+L1303+I1303</f>
        <v>#REF!</v>
      </c>
    </row>
    <row r="1304" spans="1:15" s="193" customFormat="1" outlineLevel="2">
      <c r="A1304" s="155"/>
      <c r="B1304" s="234" t="s">
        <v>979</v>
      </c>
      <c r="C1304" s="190" t="s">
        <v>93</v>
      </c>
      <c r="D1304" s="191"/>
      <c r="E1304" s="176"/>
      <c r="F1304" s="177"/>
      <c r="G1304" s="192"/>
      <c r="H1304" s="179"/>
      <c r="I1304" s="283" t="e">
        <f>IF(#REF!="",#REF!*#REF!,IF(#REF!=0,#REF!*#REF!,#REF!*#REF!*#REF!))</f>
        <v>#REF!</v>
      </c>
      <c r="J1304" s="180" t="e">
        <f>#REF!*#REF!</f>
        <v>#REF!</v>
      </c>
      <c r="K1304" s="178" t="e">
        <f>#REF!*mo</f>
        <v>#REF!</v>
      </c>
      <c r="L1304" s="178" t="e">
        <f t="shared" ref="L1304:L1406" si="164">J1304*mo</f>
        <v>#REF!</v>
      </c>
      <c r="M1304" s="178" t="e">
        <f>#REF!*#REF!</f>
        <v>#REF!</v>
      </c>
      <c r="N1304" s="178" t="e">
        <f>#REF!+K1304+#REF!</f>
        <v>#REF!</v>
      </c>
      <c r="O1304" s="181" t="e">
        <f t="shared" ref="O1304:O1406" si="165">M1304+L1304+I1304</f>
        <v>#REF!</v>
      </c>
    </row>
    <row r="1305" spans="1:15" s="193" customFormat="1" outlineLevel="2">
      <c r="A1305" s="155"/>
      <c r="B1305" s="234" t="s">
        <v>980</v>
      </c>
      <c r="C1305" s="190" t="s">
        <v>93</v>
      </c>
      <c r="D1305" s="191"/>
      <c r="E1305" s="176"/>
      <c r="F1305" s="177"/>
      <c r="G1305" s="192"/>
      <c r="H1305" s="179"/>
      <c r="I1305" s="283" t="e">
        <f>IF(#REF!="",#REF!*#REF!,IF(#REF!=0,#REF!*#REF!,#REF!*#REF!*#REF!))</f>
        <v>#REF!</v>
      </c>
      <c r="J1305" s="180" t="e">
        <f>#REF!*#REF!</f>
        <v>#REF!</v>
      </c>
      <c r="K1305" s="178" t="e">
        <f>#REF!*mo</f>
        <v>#REF!</v>
      </c>
      <c r="L1305" s="178" t="e">
        <f t="shared" si="164"/>
        <v>#REF!</v>
      </c>
      <c r="M1305" s="178" t="e">
        <f>#REF!*#REF!</f>
        <v>#REF!</v>
      </c>
      <c r="N1305" s="178" t="e">
        <f>#REF!+K1305+#REF!</f>
        <v>#REF!</v>
      </c>
      <c r="O1305" s="181" t="e">
        <f t="shared" si="165"/>
        <v>#REF!</v>
      </c>
    </row>
    <row r="1306" spans="1:15" s="193" customFormat="1" outlineLevel="2">
      <c r="A1306" s="155"/>
      <c r="B1306" s="234" t="s">
        <v>981</v>
      </c>
      <c r="C1306" s="190" t="s">
        <v>93</v>
      </c>
      <c r="D1306" s="191"/>
      <c r="E1306" s="176"/>
      <c r="F1306" s="177"/>
      <c r="G1306" s="192"/>
      <c r="H1306" s="179"/>
      <c r="I1306" s="283" t="e">
        <f>IF(#REF!="",#REF!*#REF!,IF(#REF!=0,#REF!*#REF!,#REF!*#REF!*#REF!))</f>
        <v>#REF!</v>
      </c>
      <c r="J1306" s="180" t="e">
        <f>#REF!*#REF!</f>
        <v>#REF!</v>
      </c>
      <c r="K1306" s="178" t="e">
        <f>#REF!*mo</f>
        <v>#REF!</v>
      </c>
      <c r="L1306" s="178" t="e">
        <f t="shared" si="164"/>
        <v>#REF!</v>
      </c>
      <c r="M1306" s="178" t="e">
        <f>#REF!*#REF!</f>
        <v>#REF!</v>
      </c>
      <c r="N1306" s="178" t="e">
        <f>#REF!+K1306+#REF!</f>
        <v>#REF!</v>
      </c>
      <c r="O1306" s="181" t="e">
        <f t="shared" si="165"/>
        <v>#REF!</v>
      </c>
    </row>
    <row r="1307" spans="1:15" s="193" customFormat="1" outlineLevel="2">
      <c r="A1307" s="155"/>
      <c r="B1307" s="234" t="s">
        <v>982</v>
      </c>
      <c r="C1307" s="190" t="s">
        <v>93</v>
      </c>
      <c r="D1307" s="191"/>
      <c r="E1307" s="176"/>
      <c r="F1307" s="177"/>
      <c r="G1307" s="192"/>
      <c r="H1307" s="179"/>
      <c r="I1307" s="283" t="e">
        <f>IF(#REF!="",#REF!*#REF!,IF(#REF!=0,#REF!*#REF!,#REF!*#REF!*#REF!))</f>
        <v>#REF!</v>
      </c>
      <c r="J1307" s="180" t="e">
        <f>#REF!*#REF!</f>
        <v>#REF!</v>
      </c>
      <c r="K1307" s="178" t="e">
        <f>#REF!*mo</f>
        <v>#REF!</v>
      </c>
      <c r="L1307" s="178" t="e">
        <f t="shared" si="164"/>
        <v>#REF!</v>
      </c>
      <c r="M1307" s="178" t="e">
        <f>#REF!*#REF!</f>
        <v>#REF!</v>
      </c>
      <c r="N1307" s="178" t="e">
        <f>#REF!+K1307+#REF!</f>
        <v>#REF!</v>
      </c>
      <c r="O1307" s="181" t="e">
        <f t="shared" si="165"/>
        <v>#REF!</v>
      </c>
    </row>
    <row r="1308" spans="1:15" s="193" customFormat="1" outlineLevel="2">
      <c r="A1308" s="155"/>
      <c r="B1308" s="234" t="s">
        <v>983</v>
      </c>
      <c r="C1308" s="190" t="s">
        <v>93</v>
      </c>
      <c r="D1308" s="191"/>
      <c r="E1308" s="176"/>
      <c r="F1308" s="177"/>
      <c r="G1308" s="192"/>
      <c r="H1308" s="179"/>
      <c r="I1308" s="283" t="e">
        <f>IF(#REF!="",#REF!*#REF!,IF(#REF!=0,#REF!*#REF!,#REF!*#REF!*#REF!))</f>
        <v>#REF!</v>
      </c>
      <c r="J1308" s="180" t="e">
        <f>#REF!*#REF!</f>
        <v>#REF!</v>
      </c>
      <c r="K1308" s="178" t="e">
        <f>#REF!*mo</f>
        <v>#REF!</v>
      </c>
      <c r="L1308" s="178" t="e">
        <f t="shared" si="164"/>
        <v>#REF!</v>
      </c>
      <c r="M1308" s="178" t="e">
        <f>#REF!*#REF!</f>
        <v>#REF!</v>
      </c>
      <c r="N1308" s="178" t="e">
        <f>#REF!+K1308+#REF!</f>
        <v>#REF!</v>
      </c>
      <c r="O1308" s="181" t="e">
        <f t="shared" si="165"/>
        <v>#REF!</v>
      </c>
    </row>
    <row r="1309" spans="1:15" s="193" customFormat="1" outlineLevel="2">
      <c r="A1309" s="155"/>
      <c r="B1309" s="234" t="s">
        <v>984</v>
      </c>
      <c r="C1309" s="190" t="s">
        <v>795</v>
      </c>
      <c r="D1309" s="191"/>
      <c r="E1309" s="176"/>
      <c r="F1309" s="177"/>
      <c r="G1309" s="192"/>
      <c r="H1309" s="179"/>
      <c r="I1309" s="283" t="e">
        <f>IF(#REF!="",#REF!*#REF!,IF(#REF!=0,#REF!*#REF!,#REF!*#REF!*#REF!))</f>
        <v>#REF!</v>
      </c>
      <c r="J1309" s="180" t="e">
        <f>#REF!*#REF!</f>
        <v>#REF!</v>
      </c>
      <c r="K1309" s="178" t="e">
        <f>#REF!*mo</f>
        <v>#REF!</v>
      </c>
      <c r="L1309" s="178" t="e">
        <f t="shared" si="164"/>
        <v>#REF!</v>
      </c>
      <c r="M1309" s="178" t="e">
        <f>#REF!*#REF!</f>
        <v>#REF!</v>
      </c>
      <c r="N1309" s="178" t="e">
        <f>#REF!+K1309+#REF!</f>
        <v>#REF!</v>
      </c>
      <c r="O1309" s="181" t="e">
        <f t="shared" si="165"/>
        <v>#REF!</v>
      </c>
    </row>
    <row r="1310" spans="1:15" s="193" customFormat="1" outlineLevel="2">
      <c r="A1310" s="155"/>
      <c r="B1310" s="234" t="s">
        <v>985</v>
      </c>
      <c r="C1310" s="190" t="s">
        <v>93</v>
      </c>
      <c r="D1310" s="191"/>
      <c r="E1310" s="176"/>
      <c r="F1310" s="177"/>
      <c r="G1310" s="192"/>
      <c r="H1310" s="179"/>
      <c r="I1310" s="283" t="e">
        <f>IF(#REF!="",#REF!*#REF!,IF(#REF!=0,#REF!*#REF!,#REF!*#REF!*#REF!))</f>
        <v>#REF!</v>
      </c>
      <c r="J1310" s="180" t="e">
        <f>#REF!*#REF!</f>
        <v>#REF!</v>
      </c>
      <c r="K1310" s="178" t="e">
        <f>#REF!*mo</f>
        <v>#REF!</v>
      </c>
      <c r="L1310" s="178" t="e">
        <f t="shared" si="164"/>
        <v>#REF!</v>
      </c>
      <c r="M1310" s="178" t="e">
        <f>#REF!*#REF!</f>
        <v>#REF!</v>
      </c>
      <c r="N1310" s="178" t="e">
        <f>#REF!+K1310+#REF!</f>
        <v>#REF!</v>
      </c>
      <c r="O1310" s="181" t="e">
        <f t="shared" si="165"/>
        <v>#REF!</v>
      </c>
    </row>
    <row r="1311" spans="1:15" s="193" customFormat="1" outlineLevel="2">
      <c r="A1311" s="155"/>
      <c r="B1311" s="234" t="s">
        <v>905</v>
      </c>
      <c r="C1311" s="190" t="s">
        <v>93</v>
      </c>
      <c r="D1311" s="191"/>
      <c r="E1311" s="176"/>
      <c r="F1311" s="177"/>
      <c r="G1311" s="192"/>
      <c r="H1311" s="179"/>
      <c r="I1311" s="283" t="e">
        <f>IF(#REF!="",#REF!*#REF!,IF(#REF!=0,#REF!*#REF!,#REF!*#REF!*#REF!))</f>
        <v>#REF!</v>
      </c>
      <c r="J1311" s="180" t="e">
        <f>#REF!*#REF!</f>
        <v>#REF!</v>
      </c>
      <c r="K1311" s="178" t="e">
        <f>#REF!*mo</f>
        <v>#REF!</v>
      </c>
      <c r="L1311" s="178" t="e">
        <f t="shared" si="164"/>
        <v>#REF!</v>
      </c>
      <c r="M1311" s="178" t="e">
        <f>#REF!*#REF!</f>
        <v>#REF!</v>
      </c>
      <c r="N1311" s="178" t="e">
        <f>#REF!+K1311+#REF!</f>
        <v>#REF!</v>
      </c>
      <c r="O1311" s="181" t="e">
        <f t="shared" si="165"/>
        <v>#REF!</v>
      </c>
    </row>
    <row r="1312" spans="1:15" s="193" customFormat="1" outlineLevel="2">
      <c r="A1312" s="155"/>
      <c r="B1312" s="234"/>
      <c r="C1312" s="190"/>
      <c r="D1312" s="191"/>
      <c r="E1312" s="176"/>
      <c r="F1312" s="177"/>
      <c r="G1312" s="192"/>
      <c r="H1312" s="179"/>
      <c r="I1312" s="283" t="e">
        <f>IF(#REF!="",#REF!*#REF!,IF(#REF!=0,#REF!*#REF!,#REF!*#REF!*#REF!))</f>
        <v>#REF!</v>
      </c>
      <c r="J1312" s="180" t="e">
        <f>#REF!*#REF!</f>
        <v>#REF!</v>
      </c>
      <c r="K1312" s="178" t="e">
        <f>#REF!*mo</f>
        <v>#REF!</v>
      </c>
      <c r="L1312" s="178" t="e">
        <f t="shared" si="164"/>
        <v>#REF!</v>
      </c>
      <c r="M1312" s="178" t="e">
        <f>#REF!*#REF!</f>
        <v>#REF!</v>
      </c>
      <c r="N1312" s="178" t="e">
        <f>#REF!+K1312+#REF!</f>
        <v>#REF!</v>
      </c>
      <c r="O1312" s="181" t="e">
        <f t="shared" si="165"/>
        <v>#REF!</v>
      </c>
    </row>
    <row r="1313" spans="1:15" s="193" customFormat="1" outlineLevel="2">
      <c r="A1313" s="155"/>
      <c r="B1313" s="233" t="s">
        <v>986</v>
      </c>
      <c r="C1313" s="190"/>
      <c r="D1313" s="191"/>
      <c r="E1313" s="176"/>
      <c r="F1313" s="177"/>
      <c r="G1313" s="192"/>
      <c r="H1313" s="179"/>
      <c r="I1313" s="283" t="e">
        <f>IF(#REF!="",#REF!*#REF!,IF(#REF!=0,#REF!*#REF!,#REF!*#REF!*#REF!))</f>
        <v>#REF!</v>
      </c>
      <c r="J1313" s="180" t="e">
        <f>#REF!*#REF!</f>
        <v>#REF!</v>
      </c>
      <c r="K1313" s="178" t="e">
        <f>#REF!*mo</f>
        <v>#REF!</v>
      </c>
      <c r="L1313" s="178" t="e">
        <f t="shared" si="164"/>
        <v>#REF!</v>
      </c>
      <c r="M1313" s="178" t="e">
        <f>#REF!*#REF!</f>
        <v>#REF!</v>
      </c>
      <c r="N1313" s="178" t="e">
        <f>#REF!+K1313+#REF!</f>
        <v>#REF!</v>
      </c>
      <c r="O1313" s="181" t="e">
        <f t="shared" si="165"/>
        <v>#REF!</v>
      </c>
    </row>
    <row r="1314" spans="1:15" s="193" customFormat="1" outlineLevel="2">
      <c r="A1314" s="155"/>
      <c r="B1314" s="212" t="s">
        <v>978</v>
      </c>
      <c r="C1314" s="190" t="s">
        <v>123</v>
      </c>
      <c r="D1314" s="191"/>
      <c r="E1314" s="176"/>
      <c r="F1314" s="177"/>
      <c r="G1314" s="192"/>
      <c r="H1314" s="179"/>
      <c r="I1314" s="283" t="e">
        <f>IF(#REF!="",#REF!*#REF!,IF(#REF!=0,#REF!*#REF!,#REF!*#REF!*#REF!))</f>
        <v>#REF!</v>
      </c>
      <c r="J1314" s="180" t="e">
        <f>#REF!*#REF!</f>
        <v>#REF!</v>
      </c>
      <c r="K1314" s="178" t="e">
        <f>#REF!*mo</f>
        <v>#REF!</v>
      </c>
      <c r="L1314" s="178" t="e">
        <f t="shared" si="164"/>
        <v>#REF!</v>
      </c>
      <c r="M1314" s="178" t="e">
        <f>#REF!*#REF!</f>
        <v>#REF!</v>
      </c>
      <c r="N1314" s="178" t="e">
        <f>#REF!+K1314+#REF!</f>
        <v>#REF!</v>
      </c>
      <c r="O1314" s="181" t="e">
        <f t="shared" si="165"/>
        <v>#REF!</v>
      </c>
    </row>
    <row r="1315" spans="1:15" s="193" customFormat="1" outlineLevel="2">
      <c r="A1315" s="155"/>
      <c r="B1315" s="234" t="s">
        <v>987</v>
      </c>
      <c r="C1315" s="190" t="s">
        <v>93</v>
      </c>
      <c r="D1315" s="191"/>
      <c r="E1315" s="176"/>
      <c r="F1315" s="177"/>
      <c r="G1315" s="192"/>
      <c r="H1315" s="179"/>
      <c r="I1315" s="283" t="e">
        <f>IF(#REF!="",#REF!*#REF!,IF(#REF!=0,#REF!*#REF!,#REF!*#REF!*#REF!))</f>
        <v>#REF!</v>
      </c>
      <c r="J1315" s="180" t="e">
        <f>#REF!*#REF!</f>
        <v>#REF!</v>
      </c>
      <c r="K1315" s="178" t="e">
        <f>#REF!*mo</f>
        <v>#REF!</v>
      </c>
      <c r="L1315" s="178" t="e">
        <f t="shared" si="164"/>
        <v>#REF!</v>
      </c>
      <c r="M1315" s="178" t="e">
        <f>#REF!*#REF!</f>
        <v>#REF!</v>
      </c>
      <c r="N1315" s="178" t="e">
        <f>#REF!+K1315+#REF!</f>
        <v>#REF!</v>
      </c>
      <c r="O1315" s="181" t="e">
        <f t="shared" si="165"/>
        <v>#REF!</v>
      </c>
    </row>
    <row r="1316" spans="1:15" s="193" customFormat="1" outlineLevel="2">
      <c r="A1316" s="155"/>
      <c r="B1316" s="234" t="s">
        <v>980</v>
      </c>
      <c r="C1316" s="190" t="s">
        <v>93</v>
      </c>
      <c r="D1316" s="191"/>
      <c r="E1316" s="176"/>
      <c r="F1316" s="177"/>
      <c r="G1316" s="192"/>
      <c r="H1316" s="179"/>
      <c r="I1316" s="283" t="e">
        <f>IF(#REF!="",#REF!*#REF!,IF(#REF!=0,#REF!*#REF!,#REF!*#REF!*#REF!))</f>
        <v>#REF!</v>
      </c>
      <c r="J1316" s="180" t="e">
        <f>#REF!*#REF!</f>
        <v>#REF!</v>
      </c>
      <c r="K1316" s="178" t="e">
        <f>#REF!*mo</f>
        <v>#REF!</v>
      </c>
      <c r="L1316" s="178" t="e">
        <f t="shared" si="164"/>
        <v>#REF!</v>
      </c>
      <c r="M1316" s="178" t="e">
        <f>#REF!*#REF!</f>
        <v>#REF!</v>
      </c>
      <c r="N1316" s="178" t="e">
        <f>#REF!+K1316+#REF!</f>
        <v>#REF!</v>
      </c>
      <c r="O1316" s="181" t="e">
        <f t="shared" si="165"/>
        <v>#REF!</v>
      </c>
    </row>
    <row r="1317" spans="1:15" s="193" customFormat="1" outlineLevel="2">
      <c r="A1317" s="155"/>
      <c r="B1317" s="234" t="s">
        <v>988</v>
      </c>
      <c r="C1317" s="190" t="s">
        <v>93</v>
      </c>
      <c r="D1317" s="191"/>
      <c r="E1317" s="176"/>
      <c r="F1317" s="177"/>
      <c r="G1317" s="192"/>
      <c r="H1317" s="179"/>
      <c r="I1317" s="283" t="e">
        <f>IF(#REF!="",#REF!*#REF!,IF(#REF!=0,#REF!*#REF!,#REF!*#REF!*#REF!))</f>
        <v>#REF!</v>
      </c>
      <c r="J1317" s="180" t="e">
        <f>#REF!*#REF!</f>
        <v>#REF!</v>
      </c>
      <c r="K1317" s="178" t="e">
        <f>#REF!*mo</f>
        <v>#REF!</v>
      </c>
      <c r="L1317" s="178" t="e">
        <f t="shared" si="164"/>
        <v>#REF!</v>
      </c>
      <c r="M1317" s="178" t="e">
        <f>#REF!*#REF!</f>
        <v>#REF!</v>
      </c>
      <c r="N1317" s="178" t="e">
        <f>#REF!+K1317+#REF!</f>
        <v>#REF!</v>
      </c>
      <c r="O1317" s="181" t="e">
        <f t="shared" si="165"/>
        <v>#REF!</v>
      </c>
    </row>
    <row r="1318" spans="1:15" s="193" customFormat="1" outlineLevel="2">
      <c r="A1318" s="155"/>
      <c r="B1318" s="234" t="s">
        <v>984</v>
      </c>
      <c r="C1318" s="190" t="s">
        <v>795</v>
      </c>
      <c r="D1318" s="191"/>
      <c r="E1318" s="176"/>
      <c r="F1318" s="177"/>
      <c r="G1318" s="192"/>
      <c r="H1318" s="179"/>
      <c r="I1318" s="283" t="e">
        <f>IF(#REF!="",#REF!*#REF!,IF(#REF!=0,#REF!*#REF!,#REF!*#REF!*#REF!))</f>
        <v>#REF!</v>
      </c>
      <c r="J1318" s="180" t="e">
        <f>#REF!*#REF!</f>
        <v>#REF!</v>
      </c>
      <c r="K1318" s="178" t="e">
        <f>#REF!*mo</f>
        <v>#REF!</v>
      </c>
      <c r="L1318" s="178" t="e">
        <f t="shared" si="164"/>
        <v>#REF!</v>
      </c>
      <c r="M1318" s="178" t="e">
        <f>#REF!*#REF!</f>
        <v>#REF!</v>
      </c>
      <c r="N1318" s="178" t="e">
        <f>#REF!+K1318+#REF!</f>
        <v>#REF!</v>
      </c>
      <c r="O1318" s="181" t="e">
        <f t="shared" si="165"/>
        <v>#REF!</v>
      </c>
    </row>
    <row r="1319" spans="1:15" s="193" customFormat="1" outlineLevel="2">
      <c r="A1319" s="155"/>
      <c r="B1319" s="234" t="s">
        <v>985</v>
      </c>
      <c r="C1319" s="190" t="s">
        <v>93</v>
      </c>
      <c r="D1319" s="191"/>
      <c r="E1319" s="176"/>
      <c r="F1319" s="177"/>
      <c r="G1319" s="192"/>
      <c r="H1319" s="179"/>
      <c r="I1319" s="283" t="e">
        <f>IF(#REF!="",#REF!*#REF!,IF(#REF!=0,#REF!*#REF!,#REF!*#REF!*#REF!))</f>
        <v>#REF!</v>
      </c>
      <c r="J1319" s="180" t="e">
        <f>#REF!*#REF!</f>
        <v>#REF!</v>
      </c>
      <c r="K1319" s="178" t="e">
        <f>#REF!*mo</f>
        <v>#REF!</v>
      </c>
      <c r="L1319" s="178" t="e">
        <f t="shared" si="164"/>
        <v>#REF!</v>
      </c>
      <c r="M1319" s="178" t="e">
        <f>#REF!*#REF!</f>
        <v>#REF!</v>
      </c>
      <c r="N1319" s="178" t="e">
        <f>#REF!+K1319+#REF!</f>
        <v>#REF!</v>
      </c>
      <c r="O1319" s="181" t="e">
        <f t="shared" si="165"/>
        <v>#REF!</v>
      </c>
    </row>
    <row r="1320" spans="1:15" s="193" customFormat="1" outlineLevel="2">
      <c r="A1320" s="155"/>
      <c r="B1320" s="234" t="s">
        <v>989</v>
      </c>
      <c r="C1320" s="190" t="s">
        <v>93</v>
      </c>
      <c r="D1320" s="191"/>
      <c r="E1320" s="176"/>
      <c r="F1320" s="177"/>
      <c r="G1320" s="192"/>
      <c r="H1320" s="179"/>
      <c r="I1320" s="283" t="e">
        <f>IF(#REF!="",#REF!*#REF!,IF(#REF!=0,#REF!*#REF!,#REF!*#REF!*#REF!))</f>
        <v>#REF!</v>
      </c>
      <c r="J1320" s="180" t="e">
        <f>#REF!*#REF!</f>
        <v>#REF!</v>
      </c>
      <c r="K1320" s="178" t="e">
        <f>#REF!*mo</f>
        <v>#REF!</v>
      </c>
      <c r="L1320" s="178" t="e">
        <f t="shared" ref="L1320" si="166">J1320*mo</f>
        <v>#REF!</v>
      </c>
      <c r="M1320" s="178" t="e">
        <f>#REF!*#REF!</f>
        <v>#REF!</v>
      </c>
      <c r="N1320" s="178" t="e">
        <f>#REF!+K1320+#REF!</f>
        <v>#REF!</v>
      </c>
      <c r="O1320" s="181" t="e">
        <f t="shared" si="165"/>
        <v>#REF!</v>
      </c>
    </row>
    <row r="1321" spans="1:15" s="193" customFormat="1" outlineLevel="2">
      <c r="A1321" s="155"/>
      <c r="B1321" s="234" t="s">
        <v>905</v>
      </c>
      <c r="C1321" s="190" t="s">
        <v>93</v>
      </c>
      <c r="D1321" s="191"/>
      <c r="E1321" s="176"/>
      <c r="F1321" s="177"/>
      <c r="G1321" s="192"/>
      <c r="H1321" s="179"/>
      <c r="I1321" s="283" t="e">
        <f>IF(#REF!="",#REF!*#REF!,IF(#REF!=0,#REF!*#REF!,#REF!*#REF!*#REF!))</f>
        <v>#REF!</v>
      </c>
      <c r="J1321" s="180" t="e">
        <f>#REF!*#REF!</f>
        <v>#REF!</v>
      </c>
      <c r="K1321" s="178" t="e">
        <f>#REF!*mo</f>
        <v>#REF!</v>
      </c>
      <c r="L1321" s="178" t="e">
        <f t="shared" si="164"/>
        <v>#REF!</v>
      </c>
      <c r="M1321" s="178" t="e">
        <f>#REF!*#REF!</f>
        <v>#REF!</v>
      </c>
      <c r="N1321" s="178" t="e">
        <f>#REF!+K1321+#REF!</f>
        <v>#REF!</v>
      </c>
      <c r="O1321" s="181" t="e">
        <f t="shared" si="165"/>
        <v>#REF!</v>
      </c>
    </row>
    <row r="1322" spans="1:15" s="193" customFormat="1" outlineLevel="2">
      <c r="A1322" s="155"/>
      <c r="B1322" s="234"/>
      <c r="C1322" s="190"/>
      <c r="D1322" s="191"/>
      <c r="E1322" s="176"/>
      <c r="F1322" s="177"/>
      <c r="G1322" s="192"/>
      <c r="H1322" s="179"/>
      <c r="I1322" s="283" t="e">
        <f>IF(#REF!="",#REF!*#REF!,IF(#REF!=0,#REF!*#REF!,#REF!*#REF!*#REF!))</f>
        <v>#REF!</v>
      </c>
      <c r="J1322" s="180" t="e">
        <f>#REF!*#REF!</f>
        <v>#REF!</v>
      </c>
      <c r="K1322" s="178" t="e">
        <f>#REF!*mo</f>
        <v>#REF!</v>
      </c>
      <c r="L1322" s="178" t="e">
        <f t="shared" si="164"/>
        <v>#REF!</v>
      </c>
      <c r="M1322" s="178" t="e">
        <f>#REF!*#REF!</f>
        <v>#REF!</v>
      </c>
      <c r="N1322" s="178" t="e">
        <f>#REF!+K1322+#REF!</f>
        <v>#REF!</v>
      </c>
      <c r="O1322" s="181" t="e">
        <f t="shared" si="165"/>
        <v>#REF!</v>
      </c>
    </row>
    <row r="1323" spans="1:15" s="193" customFormat="1" outlineLevel="2">
      <c r="A1323" s="155"/>
      <c r="B1323" s="234" t="s">
        <v>990</v>
      </c>
      <c r="C1323" s="190" t="s">
        <v>795</v>
      </c>
      <c r="D1323" s="191"/>
      <c r="E1323" s="176"/>
      <c r="F1323" s="177"/>
      <c r="G1323" s="192"/>
      <c r="H1323" s="179"/>
      <c r="I1323" s="283" t="e">
        <f>IF(#REF!="",#REF!*#REF!,IF(#REF!=0,#REF!*#REF!,#REF!*#REF!*#REF!))</f>
        <v>#REF!</v>
      </c>
      <c r="J1323" s="180" t="e">
        <f>#REF!*#REF!</f>
        <v>#REF!</v>
      </c>
      <c r="K1323" s="178" t="e">
        <f>#REF!*mo</f>
        <v>#REF!</v>
      </c>
      <c r="L1323" s="178" t="e">
        <f t="shared" si="164"/>
        <v>#REF!</v>
      </c>
      <c r="M1323" s="178" t="e">
        <f>#REF!*#REF!</f>
        <v>#REF!</v>
      </c>
      <c r="N1323" s="178" t="e">
        <f>#REF!+K1323+#REF!</f>
        <v>#REF!</v>
      </c>
      <c r="O1323" s="181" t="e">
        <f t="shared" si="165"/>
        <v>#REF!</v>
      </c>
    </row>
    <row r="1324" spans="1:15" s="193" customFormat="1" outlineLevel="2">
      <c r="A1324" s="155"/>
      <c r="B1324" s="234" t="s">
        <v>991</v>
      </c>
      <c r="C1324" s="190" t="s">
        <v>795</v>
      </c>
      <c r="D1324" s="191"/>
      <c r="E1324" s="176"/>
      <c r="F1324" s="177"/>
      <c r="G1324" s="192"/>
      <c r="H1324" s="179"/>
      <c r="I1324" s="283" t="e">
        <f>IF(#REF!="",#REF!*#REF!,IF(#REF!=0,#REF!*#REF!,#REF!*#REF!*#REF!))</f>
        <v>#REF!</v>
      </c>
      <c r="J1324" s="180" t="e">
        <f>#REF!*#REF!</f>
        <v>#REF!</v>
      </c>
      <c r="K1324" s="178" t="e">
        <f>#REF!*mo</f>
        <v>#REF!</v>
      </c>
      <c r="L1324" s="178" t="e">
        <f t="shared" ref="L1324" si="167">J1324*mo</f>
        <v>#REF!</v>
      </c>
      <c r="M1324" s="178" t="e">
        <f>#REF!*#REF!</f>
        <v>#REF!</v>
      </c>
      <c r="N1324" s="178" t="e">
        <f>#REF!+K1324+#REF!</f>
        <v>#REF!</v>
      </c>
      <c r="O1324" s="181" t="e">
        <f t="shared" si="165"/>
        <v>#REF!</v>
      </c>
    </row>
    <row r="1325" spans="1:15" s="193" customFormat="1" outlineLevel="1">
      <c r="A1325" s="155"/>
      <c r="B1325" s="198" t="str">
        <f>"Total "&amp;B1300</f>
        <v>Total ARRIVEE GENERALE</v>
      </c>
      <c r="C1325" s="190"/>
      <c r="D1325" s="191"/>
      <c r="E1325" s="176"/>
      <c r="F1325" s="177"/>
      <c r="G1325" s="192"/>
      <c r="H1325" s="179">
        <f>G1300</f>
        <v>0</v>
      </c>
      <c r="I1325" s="283" t="e">
        <f>IF(#REF!="",#REF!*#REF!,IF(#REF!=0,#REF!*#REF!,#REF!*#REF!*#REF!))</f>
        <v>#REF!</v>
      </c>
      <c r="J1325" s="180" t="e">
        <f>#REF!*#REF!</f>
        <v>#REF!</v>
      </c>
      <c r="K1325" s="178" t="e">
        <f>#REF!*mo</f>
        <v>#REF!</v>
      </c>
      <c r="L1325" s="178" t="e">
        <f t="shared" si="164"/>
        <v>#REF!</v>
      </c>
      <c r="M1325" s="178" t="e">
        <f>#REF!*#REF!</f>
        <v>#REF!</v>
      </c>
      <c r="N1325" s="178" t="e">
        <f>#REF!+K1325+#REF!</f>
        <v>#REF!</v>
      </c>
      <c r="O1325" s="181" t="e">
        <f t="shared" si="165"/>
        <v>#REF!</v>
      </c>
    </row>
    <row r="1326" spans="1:15" s="193" customFormat="1" outlineLevel="1">
      <c r="A1326" s="155"/>
      <c r="B1326" s="198"/>
      <c r="C1326" s="190"/>
      <c r="D1326" s="191"/>
      <c r="E1326" s="176"/>
      <c r="F1326" s="177"/>
      <c r="G1326" s="192"/>
      <c r="H1326" s="235"/>
      <c r="I1326" s="283"/>
      <c r="J1326" s="180"/>
      <c r="K1326" s="178"/>
      <c r="L1326" s="178"/>
      <c r="M1326" s="178"/>
      <c r="N1326" s="178"/>
      <c r="O1326" s="181"/>
    </row>
    <row r="1327" spans="1:15" s="209" customFormat="1" outlineLevel="1">
      <c r="A1327" s="157" t="str">
        <f>$A$412&amp;".2"</f>
        <v>.2</v>
      </c>
      <c r="B1327" s="158" t="s">
        <v>992</v>
      </c>
      <c r="C1327" s="195"/>
      <c r="D1327" s="170"/>
      <c r="E1327" s="176"/>
      <c r="F1327" s="177"/>
      <c r="G1327" s="192"/>
      <c r="H1327" s="196"/>
      <c r="I1327" s="283" t="e">
        <f>IF(#REF!="",#REF!*#REF!,IF(#REF!=0,#REF!*#REF!,#REF!*#REF!*#REF!))</f>
        <v>#REF!</v>
      </c>
      <c r="J1327" s="180" t="e">
        <f>#REF!*#REF!</f>
        <v>#REF!</v>
      </c>
      <c r="K1327" s="178" t="e">
        <f>#REF!*mo</f>
        <v>#REF!</v>
      </c>
      <c r="L1327" s="178" t="e">
        <f t="shared" si="164"/>
        <v>#REF!</v>
      </c>
      <c r="M1327" s="178" t="e">
        <f>#REF!*#REF!</f>
        <v>#REF!</v>
      </c>
      <c r="N1327" s="178" t="e">
        <f>#REF!+K1327+#REF!</f>
        <v>#REF!</v>
      </c>
      <c r="O1327" s="181" t="e">
        <f t="shared" si="165"/>
        <v>#REF!</v>
      </c>
    </row>
    <row r="1328" spans="1:15" s="209" customFormat="1" outlineLevel="1">
      <c r="A1328" s="157" t="str">
        <f>$A$441&amp;".1"</f>
        <v>.1</v>
      </c>
      <c r="B1328" s="158" t="s">
        <v>993</v>
      </c>
      <c r="C1328" s="195"/>
      <c r="D1328" s="170"/>
      <c r="E1328" s="176"/>
      <c r="F1328" s="177"/>
      <c r="G1328" s="192">
        <f>SUM(F1329:F1390)</f>
        <v>0</v>
      </c>
      <c r="H1328" s="179"/>
      <c r="I1328" s="283" t="e">
        <f>IF(#REF!="",#REF!*#REF!,IF(#REF!=0,#REF!*#REF!,#REF!*#REF!*#REF!))</f>
        <v>#REF!</v>
      </c>
      <c r="J1328" s="180" t="e">
        <f>#REF!*#REF!</f>
        <v>#REF!</v>
      </c>
      <c r="K1328" s="178" t="e">
        <f>#REF!*mo</f>
        <v>#REF!</v>
      </c>
      <c r="L1328" s="178" t="e">
        <f t="shared" si="164"/>
        <v>#REF!</v>
      </c>
      <c r="M1328" s="178" t="e">
        <f>#REF!*#REF!</f>
        <v>#REF!</v>
      </c>
      <c r="N1328" s="178" t="e">
        <f>#REF!+K1328+#REF!</f>
        <v>#REF!</v>
      </c>
      <c r="O1328" s="181" t="e">
        <f t="shared" si="165"/>
        <v>#REF!</v>
      </c>
    </row>
    <row r="1329" spans="1:15" s="193" customFormat="1" outlineLevel="2">
      <c r="A1329" s="155"/>
      <c r="B1329" s="156"/>
      <c r="C1329" s="190"/>
      <c r="D1329" s="191"/>
      <c r="E1329" s="176"/>
      <c r="F1329" s="177"/>
      <c r="G1329" s="192"/>
      <c r="H1329" s="179"/>
      <c r="I1329" s="283" t="e">
        <f>IF(#REF!="",#REF!*#REF!,IF(#REF!=0,#REF!*#REF!,#REF!*#REF!*#REF!))</f>
        <v>#REF!</v>
      </c>
      <c r="J1329" s="180" t="e">
        <f>#REF!*#REF!</f>
        <v>#REF!</v>
      </c>
      <c r="K1329" s="178" t="e">
        <f>#REF!*mo</f>
        <v>#REF!</v>
      </c>
      <c r="L1329" s="178" t="e">
        <f t="shared" si="164"/>
        <v>#REF!</v>
      </c>
      <c r="M1329" s="178" t="e">
        <f>#REF!*#REF!</f>
        <v>#REF!</v>
      </c>
      <c r="N1329" s="178" t="e">
        <f>#REF!+K1329+#REF!</f>
        <v>#REF!</v>
      </c>
      <c r="O1329" s="181" t="e">
        <f t="shared" si="165"/>
        <v>#REF!</v>
      </c>
    </row>
    <row r="1330" spans="1:15" s="193" customFormat="1" outlineLevel="2">
      <c r="A1330" s="155"/>
      <c r="B1330" s="236" t="s">
        <v>994</v>
      </c>
      <c r="C1330" s="190"/>
      <c r="D1330" s="191"/>
      <c r="E1330" s="176"/>
      <c r="F1330" s="177"/>
      <c r="G1330" s="192"/>
      <c r="H1330" s="179"/>
      <c r="I1330" s="283" t="e">
        <f>IF(#REF!="",#REF!*#REF!,IF(#REF!=0,#REF!*#REF!,#REF!*#REF!*#REF!))</f>
        <v>#REF!</v>
      </c>
      <c r="J1330" s="180" t="e">
        <f>#REF!*#REF!</f>
        <v>#REF!</v>
      </c>
      <c r="K1330" s="178" t="e">
        <f>#REF!*mo</f>
        <v>#REF!</v>
      </c>
      <c r="L1330" s="178" t="e">
        <f t="shared" ref="L1330:L1348" si="168">J1330*mo</f>
        <v>#REF!</v>
      </c>
      <c r="M1330" s="178" t="e">
        <f>#REF!*#REF!</f>
        <v>#REF!</v>
      </c>
      <c r="N1330" s="178" t="e">
        <f>#REF!+K1330+#REF!</f>
        <v>#REF!</v>
      </c>
      <c r="O1330" s="181" t="e">
        <f t="shared" si="165"/>
        <v>#REF!</v>
      </c>
    </row>
    <row r="1331" spans="1:15" s="193" customFormat="1" outlineLevel="2">
      <c r="A1331" s="155"/>
      <c r="B1331" s="212" t="s">
        <v>995</v>
      </c>
      <c r="C1331" s="190" t="s">
        <v>123</v>
      </c>
      <c r="D1331" s="191"/>
      <c r="E1331" s="176"/>
      <c r="F1331" s="177"/>
      <c r="G1331" s="192"/>
      <c r="H1331" s="179"/>
      <c r="I1331" s="283" t="e">
        <f>IF(#REF!="",#REF!*#REF!,IF(#REF!=0,#REF!*#REF!,#REF!*#REF!*#REF!))</f>
        <v>#REF!</v>
      </c>
      <c r="J1331" s="180" t="e">
        <f>#REF!*#REF!</f>
        <v>#REF!</v>
      </c>
      <c r="K1331" s="178" t="e">
        <f>#REF!*mo</f>
        <v>#REF!</v>
      </c>
      <c r="L1331" s="178" t="e">
        <f t="shared" si="168"/>
        <v>#REF!</v>
      </c>
      <c r="M1331" s="178" t="e">
        <f>#REF!*#REF!</f>
        <v>#REF!</v>
      </c>
      <c r="N1331" s="178" t="e">
        <f>#REF!+K1331+#REF!</f>
        <v>#REF!</v>
      </c>
      <c r="O1331" s="181" t="e">
        <f t="shared" si="165"/>
        <v>#REF!</v>
      </c>
    </row>
    <row r="1332" spans="1:15" s="193" customFormat="1" outlineLevel="2">
      <c r="A1332" s="155"/>
      <c r="B1332" s="212" t="s">
        <v>996</v>
      </c>
      <c r="C1332" s="190" t="s">
        <v>123</v>
      </c>
      <c r="D1332" s="191"/>
      <c r="E1332" s="176"/>
      <c r="F1332" s="177"/>
      <c r="G1332" s="192"/>
      <c r="H1332" s="179"/>
      <c r="I1332" s="283" t="e">
        <f>IF(#REF!="",#REF!*#REF!,IF(#REF!=0,#REF!*#REF!,#REF!*#REF!*#REF!))</f>
        <v>#REF!</v>
      </c>
      <c r="J1332" s="180" t="e">
        <f>#REF!*#REF!</f>
        <v>#REF!</v>
      </c>
      <c r="K1332" s="178" t="e">
        <f>#REF!*mo</f>
        <v>#REF!</v>
      </c>
      <c r="L1332" s="178" t="e">
        <f t="shared" si="168"/>
        <v>#REF!</v>
      </c>
      <c r="M1332" s="178" t="e">
        <f>#REF!*#REF!</f>
        <v>#REF!</v>
      </c>
      <c r="N1332" s="178" t="e">
        <f>#REF!+K1332+#REF!</f>
        <v>#REF!</v>
      </c>
      <c r="O1332" s="181" t="e">
        <f t="shared" si="165"/>
        <v>#REF!</v>
      </c>
    </row>
    <row r="1333" spans="1:15" s="193" customFormat="1" outlineLevel="2">
      <c r="A1333" s="155"/>
      <c r="B1333" s="212" t="s">
        <v>997</v>
      </c>
      <c r="C1333" s="190" t="s">
        <v>123</v>
      </c>
      <c r="D1333" s="191"/>
      <c r="E1333" s="176"/>
      <c r="F1333" s="177"/>
      <c r="G1333" s="192"/>
      <c r="H1333" s="179"/>
      <c r="I1333" s="283" t="e">
        <f>IF(#REF!="",#REF!*#REF!,IF(#REF!=0,#REF!*#REF!,#REF!*#REF!*#REF!))</f>
        <v>#REF!</v>
      </c>
      <c r="J1333" s="180" t="e">
        <f>#REF!*#REF!</f>
        <v>#REF!</v>
      </c>
      <c r="K1333" s="178" t="e">
        <f>#REF!*mo</f>
        <v>#REF!</v>
      </c>
      <c r="L1333" s="178" t="e">
        <f t="shared" si="168"/>
        <v>#REF!</v>
      </c>
      <c r="M1333" s="178" t="e">
        <f>#REF!*#REF!</f>
        <v>#REF!</v>
      </c>
      <c r="N1333" s="178" t="e">
        <f>#REF!+K1333+#REF!</f>
        <v>#REF!</v>
      </c>
      <c r="O1333" s="181" t="e">
        <f t="shared" si="165"/>
        <v>#REF!</v>
      </c>
    </row>
    <row r="1334" spans="1:15" s="193" customFormat="1" outlineLevel="2">
      <c r="A1334" s="155"/>
      <c r="B1334" s="212" t="s">
        <v>998</v>
      </c>
      <c r="C1334" s="190" t="s">
        <v>123</v>
      </c>
      <c r="D1334" s="191"/>
      <c r="E1334" s="176"/>
      <c r="F1334" s="177"/>
      <c r="G1334" s="192"/>
      <c r="H1334" s="179"/>
      <c r="I1334" s="283" t="e">
        <f>IF(#REF!="",#REF!*#REF!,IF(#REF!=0,#REF!*#REF!,#REF!*#REF!*#REF!))</f>
        <v>#REF!</v>
      </c>
      <c r="J1334" s="180" t="e">
        <f>#REF!*#REF!</f>
        <v>#REF!</v>
      </c>
      <c r="K1334" s="178" t="e">
        <f>#REF!*mo</f>
        <v>#REF!</v>
      </c>
      <c r="L1334" s="178" t="e">
        <f t="shared" si="168"/>
        <v>#REF!</v>
      </c>
      <c r="M1334" s="178" t="e">
        <f>#REF!*#REF!</f>
        <v>#REF!</v>
      </c>
      <c r="N1334" s="178" t="e">
        <f>#REF!+K1334+#REF!</f>
        <v>#REF!</v>
      </c>
      <c r="O1334" s="181" t="e">
        <f t="shared" si="165"/>
        <v>#REF!</v>
      </c>
    </row>
    <row r="1335" spans="1:15" s="193" customFormat="1" outlineLevel="2">
      <c r="A1335" s="155"/>
      <c r="B1335" s="212" t="s">
        <v>999</v>
      </c>
      <c r="C1335" s="190" t="s">
        <v>123</v>
      </c>
      <c r="D1335" s="191"/>
      <c r="E1335" s="176"/>
      <c r="F1335" s="177"/>
      <c r="G1335" s="192"/>
      <c r="H1335" s="179"/>
      <c r="I1335" s="283" t="e">
        <f>IF(#REF!="",#REF!*#REF!,IF(#REF!=0,#REF!*#REF!,#REF!*#REF!*#REF!))</f>
        <v>#REF!</v>
      </c>
      <c r="J1335" s="180" t="e">
        <f>#REF!*#REF!</f>
        <v>#REF!</v>
      </c>
      <c r="K1335" s="178" t="e">
        <f>#REF!*mo</f>
        <v>#REF!</v>
      </c>
      <c r="L1335" s="178" t="e">
        <f t="shared" si="168"/>
        <v>#REF!</v>
      </c>
      <c r="M1335" s="178" t="e">
        <f>#REF!*#REF!</f>
        <v>#REF!</v>
      </c>
      <c r="N1335" s="178" t="e">
        <f>#REF!+K1335+#REF!</f>
        <v>#REF!</v>
      </c>
      <c r="O1335" s="181" t="e">
        <f t="shared" si="165"/>
        <v>#REF!</v>
      </c>
    </row>
    <row r="1336" spans="1:15" s="193" customFormat="1" outlineLevel="2">
      <c r="A1336" s="155"/>
      <c r="B1336" s="212" t="s">
        <v>894</v>
      </c>
      <c r="C1336" s="190" t="s">
        <v>123</v>
      </c>
      <c r="D1336" s="191"/>
      <c r="E1336" s="176"/>
      <c r="F1336" s="177"/>
      <c r="G1336" s="192"/>
      <c r="H1336" s="179"/>
      <c r="I1336" s="283" t="e">
        <f>IF(#REF!="",#REF!*#REF!,IF(#REF!=0,#REF!*#REF!,#REF!*#REF!*#REF!))</f>
        <v>#REF!</v>
      </c>
      <c r="J1336" s="180" t="e">
        <f>#REF!*#REF!</f>
        <v>#REF!</v>
      </c>
      <c r="K1336" s="178" t="e">
        <f>#REF!*mo</f>
        <v>#REF!</v>
      </c>
      <c r="L1336" s="178" t="e">
        <f t="shared" si="168"/>
        <v>#REF!</v>
      </c>
      <c r="M1336" s="178" t="e">
        <f>#REF!*#REF!</f>
        <v>#REF!</v>
      </c>
      <c r="N1336" s="178" t="e">
        <f>#REF!+K1336+#REF!</f>
        <v>#REF!</v>
      </c>
      <c r="O1336" s="181" t="e">
        <f t="shared" si="165"/>
        <v>#REF!</v>
      </c>
    </row>
    <row r="1337" spans="1:15" s="193" customFormat="1" outlineLevel="2">
      <c r="A1337" s="155"/>
      <c r="B1337" s="212" t="s">
        <v>1000</v>
      </c>
      <c r="C1337" s="190" t="s">
        <v>123</v>
      </c>
      <c r="D1337" s="191"/>
      <c r="E1337" s="176"/>
      <c r="F1337" s="177"/>
      <c r="G1337" s="192"/>
      <c r="H1337" s="179"/>
      <c r="I1337" s="283" t="e">
        <f>IF(#REF!="",#REF!*#REF!,IF(#REF!=0,#REF!*#REF!,#REF!*#REF!*#REF!))</f>
        <v>#REF!</v>
      </c>
      <c r="J1337" s="180" t="e">
        <f>#REF!*#REF!</f>
        <v>#REF!</v>
      </c>
      <c r="K1337" s="178" t="e">
        <f>#REF!*mo</f>
        <v>#REF!</v>
      </c>
      <c r="L1337" s="178" t="e">
        <f t="shared" ref="L1337" si="169">J1337*mo</f>
        <v>#REF!</v>
      </c>
      <c r="M1337" s="178" t="e">
        <f>#REF!*#REF!</f>
        <v>#REF!</v>
      </c>
      <c r="N1337" s="178" t="e">
        <f>#REF!+K1337+#REF!</f>
        <v>#REF!</v>
      </c>
      <c r="O1337" s="181" t="e">
        <f t="shared" si="165"/>
        <v>#REF!</v>
      </c>
    </row>
    <row r="1338" spans="1:15" s="193" customFormat="1" outlineLevel="2">
      <c r="A1338" s="155"/>
      <c r="B1338" s="212"/>
      <c r="C1338" s="190"/>
      <c r="D1338" s="191"/>
      <c r="E1338" s="176"/>
      <c r="F1338" s="177"/>
      <c r="G1338" s="192"/>
      <c r="H1338" s="179"/>
      <c r="I1338" s="283" t="e">
        <f>IF(#REF!="",#REF!*#REF!,IF(#REF!=0,#REF!*#REF!,#REF!*#REF!*#REF!))</f>
        <v>#REF!</v>
      </c>
      <c r="J1338" s="180" t="e">
        <f>#REF!*#REF!</f>
        <v>#REF!</v>
      </c>
      <c r="K1338" s="178" t="e">
        <f>#REF!*mo</f>
        <v>#REF!</v>
      </c>
      <c r="L1338" s="178" t="e">
        <f t="shared" si="168"/>
        <v>#REF!</v>
      </c>
      <c r="M1338" s="178" t="e">
        <f>#REF!*#REF!</f>
        <v>#REF!</v>
      </c>
      <c r="N1338" s="178" t="e">
        <f>#REF!+K1338+#REF!</f>
        <v>#REF!</v>
      </c>
      <c r="O1338" s="181" t="e">
        <f t="shared" si="165"/>
        <v>#REF!</v>
      </c>
    </row>
    <row r="1339" spans="1:15" s="193" customFormat="1" outlineLevel="2">
      <c r="A1339" s="155"/>
      <c r="B1339" s="236" t="s">
        <v>1001</v>
      </c>
      <c r="C1339" s="190"/>
      <c r="D1339" s="191"/>
      <c r="E1339" s="176"/>
      <c r="F1339" s="177"/>
      <c r="G1339" s="192"/>
      <c r="H1339" s="179"/>
      <c r="I1339" s="283" t="e">
        <f>IF(#REF!="",#REF!*#REF!,IF(#REF!=0,#REF!*#REF!,#REF!*#REF!*#REF!))</f>
        <v>#REF!</v>
      </c>
      <c r="J1339" s="180" t="e">
        <f>#REF!*#REF!</f>
        <v>#REF!</v>
      </c>
      <c r="K1339" s="178" t="e">
        <f>#REF!*mo</f>
        <v>#REF!</v>
      </c>
      <c r="L1339" s="178" t="e">
        <f t="shared" si="168"/>
        <v>#REF!</v>
      </c>
      <c r="M1339" s="178" t="e">
        <f>#REF!*#REF!</f>
        <v>#REF!</v>
      </c>
      <c r="N1339" s="178" t="e">
        <f>#REF!+K1339+#REF!</f>
        <v>#REF!</v>
      </c>
      <c r="O1339" s="181" t="e">
        <f t="shared" si="165"/>
        <v>#REF!</v>
      </c>
    </row>
    <row r="1340" spans="1:15" s="193" customFormat="1" outlineLevel="2">
      <c r="A1340" s="155"/>
      <c r="B1340" s="212" t="s">
        <v>995</v>
      </c>
      <c r="C1340" s="190" t="s">
        <v>123</v>
      </c>
      <c r="D1340" s="191"/>
      <c r="E1340" s="176"/>
      <c r="F1340" s="177"/>
      <c r="G1340" s="192"/>
      <c r="H1340" s="179"/>
      <c r="I1340" s="283" t="e">
        <f>IF(#REF!="",#REF!*#REF!,IF(#REF!=0,#REF!*#REF!,#REF!*#REF!*#REF!))</f>
        <v>#REF!</v>
      </c>
      <c r="J1340" s="180" t="e">
        <f>#REF!*#REF!</f>
        <v>#REF!</v>
      </c>
      <c r="K1340" s="178" t="e">
        <f>#REF!*mo</f>
        <v>#REF!</v>
      </c>
      <c r="L1340" s="178" t="e">
        <f t="shared" si="168"/>
        <v>#REF!</v>
      </c>
      <c r="M1340" s="178" t="e">
        <f>#REF!*#REF!</f>
        <v>#REF!</v>
      </c>
      <c r="N1340" s="178" t="e">
        <f>#REF!+K1340+#REF!</f>
        <v>#REF!</v>
      </c>
      <c r="O1340" s="181" t="e">
        <f t="shared" si="165"/>
        <v>#REF!</v>
      </c>
    </row>
    <row r="1341" spans="1:15" s="193" customFormat="1" outlineLevel="2">
      <c r="A1341" s="155"/>
      <c r="B1341" s="212" t="s">
        <v>996</v>
      </c>
      <c r="C1341" s="190" t="s">
        <v>123</v>
      </c>
      <c r="D1341" s="191"/>
      <c r="E1341" s="176"/>
      <c r="F1341" s="177"/>
      <c r="G1341" s="192"/>
      <c r="H1341" s="179"/>
      <c r="I1341" s="283" t="e">
        <f>IF(#REF!="",#REF!*#REF!,IF(#REF!=0,#REF!*#REF!,#REF!*#REF!*#REF!))</f>
        <v>#REF!</v>
      </c>
      <c r="J1341" s="180" t="e">
        <f>#REF!*#REF!</f>
        <v>#REF!</v>
      </c>
      <c r="K1341" s="178" t="e">
        <f>#REF!*mo</f>
        <v>#REF!</v>
      </c>
      <c r="L1341" s="178" t="e">
        <f t="shared" si="168"/>
        <v>#REF!</v>
      </c>
      <c r="M1341" s="178" t="e">
        <f>#REF!*#REF!</f>
        <v>#REF!</v>
      </c>
      <c r="N1341" s="178" t="e">
        <f>#REF!+K1341+#REF!</f>
        <v>#REF!</v>
      </c>
      <c r="O1341" s="181" t="e">
        <f t="shared" si="165"/>
        <v>#REF!</v>
      </c>
    </row>
    <row r="1342" spans="1:15" s="193" customFormat="1" outlineLevel="2">
      <c r="A1342" s="155"/>
      <c r="B1342" s="212" t="s">
        <v>997</v>
      </c>
      <c r="C1342" s="190" t="s">
        <v>123</v>
      </c>
      <c r="D1342" s="191"/>
      <c r="E1342" s="176"/>
      <c r="F1342" s="177"/>
      <c r="G1342" s="192"/>
      <c r="H1342" s="179"/>
      <c r="I1342" s="283" t="e">
        <f>IF(#REF!="",#REF!*#REF!,IF(#REF!=0,#REF!*#REF!,#REF!*#REF!*#REF!))</f>
        <v>#REF!</v>
      </c>
      <c r="J1342" s="180" t="e">
        <f>#REF!*#REF!</f>
        <v>#REF!</v>
      </c>
      <c r="K1342" s="178" t="e">
        <f>#REF!*mo</f>
        <v>#REF!</v>
      </c>
      <c r="L1342" s="178" t="e">
        <f t="shared" si="168"/>
        <v>#REF!</v>
      </c>
      <c r="M1342" s="178" t="e">
        <f>#REF!*#REF!</f>
        <v>#REF!</v>
      </c>
      <c r="N1342" s="178" t="e">
        <f>#REF!+K1342+#REF!</f>
        <v>#REF!</v>
      </c>
      <c r="O1342" s="181" t="e">
        <f t="shared" si="165"/>
        <v>#REF!</v>
      </c>
    </row>
    <row r="1343" spans="1:15" s="193" customFormat="1" outlineLevel="2">
      <c r="A1343" s="155"/>
      <c r="B1343" s="212" t="s">
        <v>998</v>
      </c>
      <c r="C1343" s="190" t="s">
        <v>123</v>
      </c>
      <c r="D1343" s="191"/>
      <c r="E1343" s="176"/>
      <c r="F1343" s="177"/>
      <c r="G1343" s="192"/>
      <c r="H1343" s="179"/>
      <c r="I1343" s="283" t="e">
        <f>IF(#REF!="",#REF!*#REF!,IF(#REF!=0,#REF!*#REF!,#REF!*#REF!*#REF!))</f>
        <v>#REF!</v>
      </c>
      <c r="J1343" s="180" t="e">
        <f>#REF!*#REF!</f>
        <v>#REF!</v>
      </c>
      <c r="K1343" s="178" t="e">
        <f>#REF!*mo</f>
        <v>#REF!</v>
      </c>
      <c r="L1343" s="178" t="e">
        <f t="shared" si="168"/>
        <v>#REF!</v>
      </c>
      <c r="M1343" s="178" t="e">
        <f>#REF!*#REF!</f>
        <v>#REF!</v>
      </c>
      <c r="N1343" s="178" t="e">
        <f>#REF!+K1343+#REF!</f>
        <v>#REF!</v>
      </c>
      <c r="O1343" s="181" t="e">
        <f t="shared" si="165"/>
        <v>#REF!</v>
      </c>
    </row>
    <row r="1344" spans="1:15" s="193" customFormat="1" outlineLevel="2">
      <c r="A1344" s="155"/>
      <c r="B1344" s="212" t="s">
        <v>999</v>
      </c>
      <c r="C1344" s="190" t="s">
        <v>123</v>
      </c>
      <c r="D1344" s="191"/>
      <c r="E1344" s="176"/>
      <c r="F1344" s="177"/>
      <c r="G1344" s="192"/>
      <c r="H1344" s="179"/>
      <c r="I1344" s="283" t="e">
        <f>IF(#REF!="",#REF!*#REF!,IF(#REF!=0,#REF!*#REF!,#REF!*#REF!*#REF!))</f>
        <v>#REF!</v>
      </c>
      <c r="J1344" s="180" t="e">
        <f>#REF!*#REF!</f>
        <v>#REF!</v>
      </c>
      <c r="K1344" s="178" t="e">
        <f>#REF!*mo</f>
        <v>#REF!</v>
      </c>
      <c r="L1344" s="178" t="e">
        <f t="shared" si="168"/>
        <v>#REF!</v>
      </c>
      <c r="M1344" s="178" t="e">
        <f>#REF!*#REF!</f>
        <v>#REF!</v>
      </c>
      <c r="N1344" s="178" t="e">
        <f>#REF!+K1344+#REF!</f>
        <v>#REF!</v>
      </c>
      <c r="O1344" s="181" t="e">
        <f t="shared" si="165"/>
        <v>#REF!</v>
      </c>
    </row>
    <row r="1345" spans="1:15" s="193" customFormat="1" outlineLevel="2">
      <c r="A1345" s="155"/>
      <c r="B1345" s="212" t="s">
        <v>894</v>
      </c>
      <c r="C1345" s="190" t="s">
        <v>123</v>
      </c>
      <c r="D1345" s="191"/>
      <c r="E1345" s="176"/>
      <c r="F1345" s="177"/>
      <c r="G1345" s="192"/>
      <c r="H1345" s="179"/>
      <c r="I1345" s="283" t="e">
        <f>IF(#REF!="",#REF!*#REF!,IF(#REF!=0,#REF!*#REF!,#REF!*#REF!*#REF!))</f>
        <v>#REF!</v>
      </c>
      <c r="J1345" s="180" t="e">
        <f>#REF!*#REF!</f>
        <v>#REF!</v>
      </c>
      <c r="K1345" s="178" t="e">
        <f>#REF!*mo</f>
        <v>#REF!</v>
      </c>
      <c r="L1345" s="178" t="e">
        <f t="shared" si="168"/>
        <v>#REF!</v>
      </c>
      <c r="M1345" s="178" t="e">
        <f>#REF!*#REF!</f>
        <v>#REF!</v>
      </c>
      <c r="N1345" s="178" t="e">
        <f>#REF!+K1345+#REF!</f>
        <v>#REF!</v>
      </c>
      <c r="O1345" s="181" t="e">
        <f t="shared" si="165"/>
        <v>#REF!</v>
      </c>
    </row>
    <row r="1346" spans="1:15" s="193" customFormat="1" outlineLevel="2">
      <c r="A1346" s="155"/>
      <c r="B1346" s="212" t="s">
        <v>1000</v>
      </c>
      <c r="C1346" s="190" t="s">
        <v>123</v>
      </c>
      <c r="D1346" s="191"/>
      <c r="E1346" s="176"/>
      <c r="F1346" s="177"/>
      <c r="G1346" s="192"/>
      <c r="H1346" s="179"/>
      <c r="I1346" s="283" t="e">
        <f>IF(#REF!="",#REF!*#REF!,IF(#REF!=0,#REF!*#REF!,#REF!*#REF!*#REF!))</f>
        <v>#REF!</v>
      </c>
      <c r="J1346" s="180" t="e">
        <f>#REF!*#REF!</f>
        <v>#REF!</v>
      </c>
      <c r="K1346" s="178" t="e">
        <f>#REF!*mo</f>
        <v>#REF!</v>
      </c>
      <c r="L1346" s="178" t="e">
        <f t="shared" ref="L1346" si="170">J1346*mo</f>
        <v>#REF!</v>
      </c>
      <c r="M1346" s="178" t="e">
        <f>#REF!*#REF!</f>
        <v>#REF!</v>
      </c>
      <c r="N1346" s="178" t="e">
        <f>#REF!+K1346+#REF!</f>
        <v>#REF!</v>
      </c>
      <c r="O1346" s="181" t="e">
        <f t="shared" si="165"/>
        <v>#REF!</v>
      </c>
    </row>
    <row r="1347" spans="1:15" s="193" customFormat="1" ht="10.5" customHeight="1" outlineLevel="2">
      <c r="A1347" s="155"/>
      <c r="B1347" s="212"/>
      <c r="C1347" s="190"/>
      <c r="D1347" s="191"/>
      <c r="E1347" s="176"/>
      <c r="F1347" s="177"/>
      <c r="G1347" s="192"/>
      <c r="H1347" s="179"/>
      <c r="I1347" s="283" t="e">
        <f>IF(#REF!="",#REF!*#REF!,IF(#REF!=0,#REF!*#REF!,#REF!*#REF!*#REF!))</f>
        <v>#REF!</v>
      </c>
      <c r="J1347" s="180" t="e">
        <f>#REF!*#REF!</f>
        <v>#REF!</v>
      </c>
      <c r="K1347" s="178" t="e">
        <f>#REF!*mo</f>
        <v>#REF!</v>
      </c>
      <c r="L1347" s="178" t="e">
        <f t="shared" si="168"/>
        <v>#REF!</v>
      </c>
      <c r="M1347" s="178" t="e">
        <f>#REF!*#REF!</f>
        <v>#REF!</v>
      </c>
      <c r="N1347" s="178" t="e">
        <f>#REF!+K1347+#REF!</f>
        <v>#REF!</v>
      </c>
      <c r="O1347" s="181" t="e">
        <f t="shared" si="165"/>
        <v>#REF!</v>
      </c>
    </row>
    <row r="1348" spans="1:15" s="193" customFormat="1" outlineLevel="2">
      <c r="A1348" s="155"/>
      <c r="B1348" s="236" t="s">
        <v>1002</v>
      </c>
      <c r="C1348" s="190"/>
      <c r="D1348" s="191"/>
      <c r="E1348" s="176"/>
      <c r="F1348" s="177"/>
      <c r="G1348" s="192"/>
      <c r="H1348" s="179"/>
      <c r="I1348" s="283" t="e">
        <f>IF(#REF!="",#REF!*#REF!,IF(#REF!=0,#REF!*#REF!,#REF!*#REF!*#REF!))</f>
        <v>#REF!</v>
      </c>
      <c r="J1348" s="180" t="e">
        <f>#REF!*#REF!</f>
        <v>#REF!</v>
      </c>
      <c r="K1348" s="178" t="e">
        <f>#REF!*mo</f>
        <v>#REF!</v>
      </c>
      <c r="L1348" s="178" t="e">
        <f t="shared" si="168"/>
        <v>#REF!</v>
      </c>
      <c r="M1348" s="178" t="e">
        <f>#REF!*#REF!</f>
        <v>#REF!</v>
      </c>
      <c r="N1348" s="178" t="e">
        <f>#REF!+K1348+#REF!</f>
        <v>#REF!</v>
      </c>
      <c r="O1348" s="181" t="e">
        <f t="shared" si="165"/>
        <v>#REF!</v>
      </c>
    </row>
    <row r="1349" spans="1:15" s="193" customFormat="1" outlineLevel="2">
      <c r="A1349" s="155"/>
      <c r="B1349" s="212" t="s">
        <v>995</v>
      </c>
      <c r="C1349" s="190" t="s">
        <v>123</v>
      </c>
      <c r="D1349" s="191"/>
      <c r="E1349" s="176"/>
      <c r="F1349" s="177"/>
      <c r="G1349" s="192"/>
      <c r="H1349" s="179"/>
      <c r="I1349" s="283" t="e">
        <f>IF(#REF!="",#REF!*#REF!,IF(#REF!=0,#REF!*#REF!,#REF!*#REF!*#REF!))</f>
        <v>#REF!</v>
      </c>
      <c r="J1349" s="180" t="e">
        <f>#REF!*#REF!</f>
        <v>#REF!</v>
      </c>
      <c r="K1349" s="178" t="e">
        <f>#REF!*mo</f>
        <v>#REF!</v>
      </c>
      <c r="L1349" s="178" t="e">
        <f t="shared" si="164"/>
        <v>#REF!</v>
      </c>
      <c r="M1349" s="178" t="e">
        <f>#REF!*#REF!</f>
        <v>#REF!</v>
      </c>
      <c r="N1349" s="178" t="e">
        <f>#REF!+K1349+#REF!</f>
        <v>#REF!</v>
      </c>
      <c r="O1349" s="181" t="e">
        <f t="shared" si="165"/>
        <v>#REF!</v>
      </c>
    </row>
    <row r="1350" spans="1:15" s="193" customFormat="1" outlineLevel="2">
      <c r="A1350" s="155"/>
      <c r="B1350" s="212" t="s">
        <v>996</v>
      </c>
      <c r="C1350" s="190" t="s">
        <v>123</v>
      </c>
      <c r="D1350" s="191"/>
      <c r="E1350" s="176"/>
      <c r="F1350" s="177"/>
      <c r="G1350" s="192"/>
      <c r="H1350" s="179"/>
      <c r="I1350" s="283" t="e">
        <f>IF(#REF!="",#REF!*#REF!,IF(#REF!=0,#REF!*#REF!,#REF!*#REF!*#REF!))</f>
        <v>#REF!</v>
      </c>
      <c r="J1350" s="180" t="e">
        <f>#REF!*#REF!</f>
        <v>#REF!</v>
      </c>
      <c r="K1350" s="178" t="e">
        <f>#REF!*mo</f>
        <v>#REF!</v>
      </c>
      <c r="L1350" s="178" t="e">
        <f t="shared" ref="L1350:L1355" si="171">J1350*mo</f>
        <v>#REF!</v>
      </c>
      <c r="M1350" s="178" t="e">
        <f>#REF!*#REF!</f>
        <v>#REF!</v>
      </c>
      <c r="N1350" s="178" t="e">
        <f>#REF!+K1350+#REF!</f>
        <v>#REF!</v>
      </c>
      <c r="O1350" s="181" t="e">
        <f t="shared" si="165"/>
        <v>#REF!</v>
      </c>
    </row>
    <row r="1351" spans="1:15" s="193" customFormat="1" outlineLevel="2">
      <c r="A1351" s="155"/>
      <c r="B1351" s="212" t="s">
        <v>997</v>
      </c>
      <c r="C1351" s="190" t="s">
        <v>123</v>
      </c>
      <c r="D1351" s="191"/>
      <c r="E1351" s="176"/>
      <c r="F1351" s="177"/>
      <c r="G1351" s="192"/>
      <c r="H1351" s="179"/>
      <c r="I1351" s="283" t="e">
        <f>IF(#REF!="",#REF!*#REF!,IF(#REF!=0,#REF!*#REF!,#REF!*#REF!*#REF!))</f>
        <v>#REF!</v>
      </c>
      <c r="J1351" s="180" t="e">
        <f>#REF!*#REF!</f>
        <v>#REF!</v>
      </c>
      <c r="K1351" s="178" t="e">
        <f>#REF!*mo</f>
        <v>#REF!</v>
      </c>
      <c r="L1351" s="178" t="e">
        <f t="shared" si="171"/>
        <v>#REF!</v>
      </c>
      <c r="M1351" s="178" t="e">
        <f>#REF!*#REF!</f>
        <v>#REF!</v>
      </c>
      <c r="N1351" s="178" t="e">
        <f>#REF!+K1351+#REF!</f>
        <v>#REF!</v>
      </c>
      <c r="O1351" s="181" t="e">
        <f t="shared" si="165"/>
        <v>#REF!</v>
      </c>
    </row>
    <row r="1352" spans="1:15" s="193" customFormat="1" outlineLevel="2">
      <c r="A1352" s="155"/>
      <c r="B1352" s="212" t="s">
        <v>998</v>
      </c>
      <c r="C1352" s="190" t="s">
        <v>123</v>
      </c>
      <c r="D1352" s="191"/>
      <c r="E1352" s="176"/>
      <c r="F1352" s="177"/>
      <c r="G1352" s="192"/>
      <c r="H1352" s="179"/>
      <c r="I1352" s="283" t="e">
        <f>IF(#REF!="",#REF!*#REF!,IF(#REF!=0,#REF!*#REF!,#REF!*#REF!*#REF!))</f>
        <v>#REF!</v>
      </c>
      <c r="J1352" s="180" t="e">
        <f>#REF!*#REF!</f>
        <v>#REF!</v>
      </c>
      <c r="K1352" s="178" t="e">
        <f>#REF!*mo</f>
        <v>#REF!</v>
      </c>
      <c r="L1352" s="178" t="e">
        <f t="shared" si="171"/>
        <v>#REF!</v>
      </c>
      <c r="M1352" s="178" t="e">
        <f>#REF!*#REF!</f>
        <v>#REF!</v>
      </c>
      <c r="N1352" s="178" t="e">
        <f>#REF!+K1352+#REF!</f>
        <v>#REF!</v>
      </c>
      <c r="O1352" s="181" t="e">
        <f t="shared" si="165"/>
        <v>#REF!</v>
      </c>
    </row>
    <row r="1353" spans="1:15" s="193" customFormat="1" outlineLevel="2">
      <c r="A1353" s="155"/>
      <c r="B1353" s="212" t="s">
        <v>999</v>
      </c>
      <c r="C1353" s="190" t="s">
        <v>123</v>
      </c>
      <c r="D1353" s="191"/>
      <c r="E1353" s="176"/>
      <c r="F1353" s="177"/>
      <c r="G1353" s="192"/>
      <c r="H1353" s="179"/>
      <c r="I1353" s="283" t="e">
        <f>IF(#REF!="",#REF!*#REF!,IF(#REF!=0,#REF!*#REF!,#REF!*#REF!*#REF!))</f>
        <v>#REF!</v>
      </c>
      <c r="J1353" s="180" t="e">
        <f>#REF!*#REF!</f>
        <v>#REF!</v>
      </c>
      <c r="K1353" s="178" t="e">
        <f>#REF!*mo</f>
        <v>#REF!</v>
      </c>
      <c r="L1353" s="178" t="e">
        <f t="shared" si="171"/>
        <v>#REF!</v>
      </c>
      <c r="M1353" s="178" t="e">
        <f>#REF!*#REF!</f>
        <v>#REF!</v>
      </c>
      <c r="N1353" s="178" t="e">
        <f>#REF!+K1353+#REF!</f>
        <v>#REF!</v>
      </c>
      <c r="O1353" s="181" t="e">
        <f t="shared" si="165"/>
        <v>#REF!</v>
      </c>
    </row>
    <row r="1354" spans="1:15" s="193" customFormat="1" outlineLevel="2">
      <c r="A1354" s="155"/>
      <c r="B1354" s="212" t="s">
        <v>894</v>
      </c>
      <c r="C1354" s="190" t="s">
        <v>123</v>
      </c>
      <c r="D1354" s="191"/>
      <c r="E1354" s="176"/>
      <c r="F1354" s="177"/>
      <c r="G1354" s="192"/>
      <c r="H1354" s="179"/>
      <c r="I1354" s="283" t="e">
        <f>IF(#REF!="",#REF!*#REF!,IF(#REF!=0,#REF!*#REF!,#REF!*#REF!*#REF!))</f>
        <v>#REF!</v>
      </c>
      <c r="J1354" s="180" t="e">
        <f>#REF!*#REF!</f>
        <v>#REF!</v>
      </c>
      <c r="K1354" s="178" t="e">
        <f>#REF!*mo</f>
        <v>#REF!</v>
      </c>
      <c r="L1354" s="178" t="e">
        <f t="shared" si="171"/>
        <v>#REF!</v>
      </c>
      <c r="M1354" s="178" t="e">
        <f>#REF!*#REF!</f>
        <v>#REF!</v>
      </c>
      <c r="N1354" s="178" t="e">
        <f>#REF!+K1354+#REF!</f>
        <v>#REF!</v>
      </c>
      <c r="O1354" s="181" t="e">
        <f t="shared" si="165"/>
        <v>#REF!</v>
      </c>
    </row>
    <row r="1355" spans="1:15" s="193" customFormat="1" outlineLevel="2">
      <c r="A1355" s="155"/>
      <c r="B1355" s="212"/>
      <c r="C1355" s="190"/>
      <c r="D1355" s="191"/>
      <c r="E1355" s="176"/>
      <c r="F1355" s="177"/>
      <c r="G1355" s="192"/>
      <c r="H1355" s="179"/>
      <c r="I1355" s="283"/>
      <c r="J1355" s="180"/>
      <c r="K1355" s="178" t="e">
        <f>#REF!*mo</f>
        <v>#REF!</v>
      </c>
      <c r="L1355" s="178" t="e">
        <f t="shared" si="171"/>
        <v>#REF!</v>
      </c>
      <c r="M1355" s="178" t="e">
        <f>#REF!*#REF!</f>
        <v>#REF!</v>
      </c>
      <c r="N1355" s="178" t="e">
        <f>#REF!+K1355+#REF!</f>
        <v>#REF!</v>
      </c>
      <c r="O1355" s="181" t="e">
        <f t="shared" si="165"/>
        <v>#REF!</v>
      </c>
    </row>
    <row r="1356" spans="1:15" s="193" customFormat="1" outlineLevel="2">
      <c r="A1356" s="155"/>
      <c r="B1356" s="212" t="s">
        <v>1003</v>
      </c>
      <c r="C1356" s="190"/>
      <c r="D1356" s="191"/>
      <c r="E1356" s="176"/>
      <c r="F1356" s="177"/>
      <c r="G1356" s="192"/>
      <c r="H1356" s="179"/>
      <c r="I1356" s="283"/>
      <c r="J1356" s="180"/>
      <c r="K1356" s="178"/>
      <c r="L1356" s="178"/>
      <c r="M1356" s="178"/>
      <c r="N1356" s="178"/>
      <c r="O1356" s="181"/>
    </row>
    <row r="1357" spans="1:15" s="193" customFormat="1" outlineLevel="2">
      <c r="A1357" s="155"/>
      <c r="B1357" s="212" t="s">
        <v>995</v>
      </c>
      <c r="C1357" s="190" t="s">
        <v>123</v>
      </c>
      <c r="D1357" s="191"/>
      <c r="E1357" s="176"/>
      <c r="F1357" s="177"/>
      <c r="G1357" s="192"/>
      <c r="H1357" s="179"/>
      <c r="I1357" s="283"/>
      <c r="J1357" s="180"/>
      <c r="K1357" s="178"/>
      <c r="L1357" s="178"/>
      <c r="M1357" s="178"/>
      <c r="N1357" s="178"/>
      <c r="O1357" s="181"/>
    </row>
    <row r="1358" spans="1:15" s="193" customFormat="1" outlineLevel="2">
      <c r="A1358" s="155"/>
      <c r="B1358" s="212" t="s">
        <v>996</v>
      </c>
      <c r="C1358" s="190" t="s">
        <v>123</v>
      </c>
      <c r="D1358" s="191"/>
      <c r="E1358" s="176"/>
      <c r="F1358" s="177"/>
      <c r="G1358" s="192"/>
      <c r="H1358" s="179"/>
      <c r="I1358" s="283"/>
      <c r="J1358" s="180"/>
      <c r="K1358" s="178"/>
      <c r="L1358" s="178"/>
      <c r="M1358" s="178"/>
      <c r="N1358" s="178"/>
      <c r="O1358" s="181"/>
    </row>
    <row r="1359" spans="1:15" s="193" customFormat="1" outlineLevel="2">
      <c r="A1359" s="155"/>
      <c r="B1359" s="212" t="s">
        <v>997</v>
      </c>
      <c r="C1359" s="190" t="s">
        <v>123</v>
      </c>
      <c r="D1359" s="191"/>
      <c r="E1359" s="176"/>
      <c r="F1359" s="177"/>
      <c r="G1359" s="192"/>
      <c r="H1359" s="179"/>
      <c r="I1359" s="283" t="e">
        <f>IF(#REF!="",#REF!*#REF!,IF(#REF!=0,#REF!*#REF!,#REF!*#REF!*#REF!))</f>
        <v>#REF!</v>
      </c>
      <c r="J1359" s="180" t="e">
        <f>#REF!*#REF!</f>
        <v>#REF!</v>
      </c>
      <c r="K1359" s="178" t="e">
        <f>#REF!*mo</f>
        <v>#REF!</v>
      </c>
      <c r="L1359" s="178" t="e">
        <f t="shared" si="164"/>
        <v>#REF!</v>
      </c>
      <c r="M1359" s="178" t="e">
        <f>#REF!*#REF!</f>
        <v>#REF!</v>
      </c>
      <c r="N1359" s="178" t="e">
        <f>#REF!+K1359+#REF!</f>
        <v>#REF!</v>
      </c>
      <c r="O1359" s="181" t="e">
        <f t="shared" si="165"/>
        <v>#REF!</v>
      </c>
    </row>
    <row r="1360" spans="1:15" s="193" customFormat="1" outlineLevel="2">
      <c r="A1360" s="155"/>
      <c r="B1360" s="212" t="s">
        <v>998</v>
      </c>
      <c r="C1360" s="190" t="s">
        <v>123</v>
      </c>
      <c r="D1360" s="191"/>
      <c r="E1360" s="176"/>
      <c r="F1360" s="177"/>
      <c r="G1360" s="192"/>
      <c r="H1360" s="179"/>
      <c r="I1360" s="283" t="e">
        <f>IF(#REF!="",#REF!*#REF!,IF(#REF!=0,#REF!*#REF!,#REF!*#REF!*#REF!))</f>
        <v>#REF!</v>
      </c>
      <c r="J1360" s="180" t="e">
        <f>#REF!*#REF!</f>
        <v>#REF!</v>
      </c>
      <c r="K1360" s="178" t="e">
        <f>#REF!*mo</f>
        <v>#REF!</v>
      </c>
      <c r="L1360" s="178" t="e">
        <f t="shared" si="164"/>
        <v>#REF!</v>
      </c>
      <c r="M1360" s="178" t="e">
        <f>#REF!*#REF!</f>
        <v>#REF!</v>
      </c>
      <c r="N1360" s="178" t="e">
        <f>#REF!+K1360+#REF!</f>
        <v>#REF!</v>
      </c>
      <c r="O1360" s="181" t="e">
        <f t="shared" si="165"/>
        <v>#REF!</v>
      </c>
    </row>
    <row r="1361" spans="1:15" s="193" customFormat="1" outlineLevel="2">
      <c r="A1361" s="155"/>
      <c r="B1361" s="212" t="s">
        <v>999</v>
      </c>
      <c r="C1361" s="190" t="s">
        <v>123</v>
      </c>
      <c r="D1361" s="191"/>
      <c r="E1361" s="176"/>
      <c r="F1361" s="177"/>
      <c r="G1361" s="192"/>
      <c r="H1361" s="179"/>
      <c r="I1361" s="283" t="e">
        <f>IF(#REF!="",#REF!*#REF!,IF(#REF!=0,#REF!*#REF!,#REF!*#REF!*#REF!))</f>
        <v>#REF!</v>
      </c>
      <c r="J1361" s="180" t="e">
        <f>#REF!*#REF!</f>
        <v>#REF!</v>
      </c>
      <c r="K1361" s="178" t="e">
        <f>#REF!*mo</f>
        <v>#REF!</v>
      </c>
      <c r="L1361" s="178" t="e">
        <f t="shared" si="164"/>
        <v>#REF!</v>
      </c>
      <c r="M1361" s="178" t="e">
        <f>#REF!*#REF!</f>
        <v>#REF!</v>
      </c>
      <c r="N1361" s="178" t="e">
        <f>#REF!+K1361+#REF!</f>
        <v>#REF!</v>
      </c>
      <c r="O1361" s="181" t="e">
        <f t="shared" si="165"/>
        <v>#REF!</v>
      </c>
    </row>
    <row r="1362" spans="1:15" s="193" customFormat="1" outlineLevel="2">
      <c r="A1362" s="155"/>
      <c r="B1362" s="212" t="s">
        <v>894</v>
      </c>
      <c r="C1362" s="190" t="s">
        <v>123</v>
      </c>
      <c r="D1362" s="191"/>
      <c r="E1362" s="176"/>
      <c r="F1362" s="177"/>
      <c r="G1362" s="192"/>
      <c r="H1362" s="179"/>
      <c r="I1362" s="283" t="e">
        <f>IF(#REF!="",#REF!*#REF!,IF(#REF!=0,#REF!*#REF!,#REF!*#REF!*#REF!))</f>
        <v>#REF!</v>
      </c>
      <c r="J1362" s="180" t="e">
        <f>#REF!*#REF!</f>
        <v>#REF!</v>
      </c>
      <c r="K1362" s="178" t="e">
        <f>#REF!*mo</f>
        <v>#REF!</v>
      </c>
      <c r="L1362" s="178" t="e">
        <f t="shared" si="164"/>
        <v>#REF!</v>
      </c>
      <c r="M1362" s="178" t="e">
        <f>#REF!*#REF!</f>
        <v>#REF!</v>
      </c>
      <c r="N1362" s="178" t="e">
        <f>#REF!+K1362+#REF!</f>
        <v>#REF!</v>
      </c>
      <c r="O1362" s="181" t="e">
        <f t="shared" si="165"/>
        <v>#REF!</v>
      </c>
    </row>
    <row r="1363" spans="1:15" s="193" customFormat="1" outlineLevel="2">
      <c r="A1363" s="155"/>
      <c r="B1363" s="212" t="s">
        <v>1000</v>
      </c>
      <c r="C1363" s="190" t="s">
        <v>123</v>
      </c>
      <c r="D1363" s="191"/>
      <c r="E1363" s="176"/>
      <c r="F1363" s="177"/>
      <c r="G1363" s="192"/>
      <c r="H1363" s="179"/>
      <c r="I1363" s="283" t="e">
        <f>IF(#REF!="",#REF!*#REF!,IF(#REF!=0,#REF!*#REF!,#REF!*#REF!*#REF!))</f>
        <v>#REF!</v>
      </c>
      <c r="J1363" s="180" t="e">
        <f>#REF!*#REF!</f>
        <v>#REF!</v>
      </c>
      <c r="K1363" s="178" t="e">
        <f>#REF!*mo</f>
        <v>#REF!</v>
      </c>
      <c r="L1363" s="178" t="e">
        <f t="shared" si="164"/>
        <v>#REF!</v>
      </c>
      <c r="M1363" s="178" t="e">
        <f>#REF!*#REF!</f>
        <v>#REF!</v>
      </c>
      <c r="N1363" s="178" t="e">
        <f>#REF!+K1363+#REF!</f>
        <v>#REF!</v>
      </c>
      <c r="O1363" s="181" t="e">
        <f t="shared" si="165"/>
        <v>#REF!</v>
      </c>
    </row>
    <row r="1364" spans="1:15" s="193" customFormat="1" outlineLevel="2">
      <c r="A1364" s="155"/>
      <c r="B1364" s="212"/>
      <c r="C1364" s="190"/>
      <c r="D1364" s="191"/>
      <c r="E1364" s="176"/>
      <c r="F1364" s="177"/>
      <c r="G1364" s="192"/>
      <c r="H1364" s="179"/>
      <c r="I1364" s="283" t="e">
        <f>IF(#REF!="",#REF!*#REF!,IF(#REF!=0,#REF!*#REF!,#REF!*#REF!*#REF!))</f>
        <v>#REF!</v>
      </c>
      <c r="J1364" s="180" t="e">
        <f>#REF!*#REF!</f>
        <v>#REF!</v>
      </c>
      <c r="K1364" s="178" t="e">
        <f>#REF!*mo</f>
        <v>#REF!</v>
      </c>
      <c r="L1364" s="178" t="e">
        <f t="shared" si="164"/>
        <v>#REF!</v>
      </c>
      <c r="M1364" s="178" t="e">
        <f>#REF!*#REF!</f>
        <v>#REF!</v>
      </c>
      <c r="N1364" s="178" t="e">
        <f>#REF!+K1364+#REF!</f>
        <v>#REF!</v>
      </c>
      <c r="O1364" s="181" t="e">
        <f t="shared" si="165"/>
        <v>#REF!</v>
      </c>
    </row>
    <row r="1365" spans="1:15" s="193" customFormat="1" outlineLevel="2">
      <c r="A1365" s="155"/>
      <c r="B1365" s="236" t="s">
        <v>946</v>
      </c>
      <c r="C1365" s="190" t="s">
        <v>795</v>
      </c>
      <c r="D1365" s="191"/>
      <c r="E1365" s="176"/>
      <c r="F1365" s="177"/>
      <c r="G1365" s="192"/>
      <c r="H1365" s="179"/>
      <c r="I1365" s="283" t="e">
        <f>IF(#REF!="",#REF!*#REF!,IF(#REF!=0,#REF!*#REF!,#REF!*#REF!*#REF!))</f>
        <v>#REF!</v>
      </c>
      <c r="J1365" s="180" t="e">
        <f>#REF!*#REF!</f>
        <v>#REF!</v>
      </c>
      <c r="K1365" s="178" t="e">
        <f>#REF!*mo</f>
        <v>#REF!</v>
      </c>
      <c r="L1365" s="178" t="e">
        <f t="shared" si="164"/>
        <v>#REF!</v>
      </c>
      <c r="M1365" s="178" t="e">
        <f>#REF!*#REF!</f>
        <v>#REF!</v>
      </c>
      <c r="N1365" s="178" t="e">
        <f>#REF!+K1365+#REF!</f>
        <v>#REF!</v>
      </c>
      <c r="O1365" s="181" t="e">
        <f t="shared" si="165"/>
        <v>#REF!</v>
      </c>
    </row>
    <row r="1366" spans="1:15" s="193" customFormat="1" outlineLevel="2">
      <c r="A1366" s="155"/>
      <c r="B1366" s="233"/>
      <c r="C1366" s="190"/>
      <c r="D1366" s="191"/>
      <c r="E1366" s="176"/>
      <c r="F1366" s="177"/>
      <c r="G1366" s="192"/>
      <c r="H1366" s="179"/>
      <c r="I1366" s="283" t="e">
        <f>IF(#REF!="",#REF!*#REF!,IF(#REF!=0,#REF!*#REF!,#REF!*#REF!*#REF!))</f>
        <v>#REF!</v>
      </c>
      <c r="J1366" s="180" t="e">
        <f>#REF!*#REF!</f>
        <v>#REF!</v>
      </c>
      <c r="K1366" s="178" t="e">
        <f>#REF!*mo</f>
        <v>#REF!</v>
      </c>
      <c r="L1366" s="178" t="e">
        <f t="shared" si="164"/>
        <v>#REF!</v>
      </c>
      <c r="M1366" s="178" t="e">
        <f>#REF!*#REF!</f>
        <v>#REF!</v>
      </c>
      <c r="N1366" s="178" t="e">
        <f>#REF!+K1366+#REF!</f>
        <v>#REF!</v>
      </c>
      <c r="O1366" s="181" t="e">
        <f t="shared" si="165"/>
        <v>#REF!</v>
      </c>
    </row>
    <row r="1367" spans="1:15" s="193" customFormat="1" outlineLevel="2">
      <c r="A1367" s="155"/>
      <c r="B1367" s="233" t="s">
        <v>892</v>
      </c>
      <c r="C1367" s="190"/>
      <c r="D1367" s="191"/>
      <c r="E1367" s="176"/>
      <c r="F1367" s="177"/>
      <c r="G1367" s="192"/>
      <c r="H1367" s="179"/>
      <c r="I1367" s="283" t="e">
        <f>IF(#REF!="",#REF!*#REF!,IF(#REF!=0,#REF!*#REF!,#REF!*#REF!*#REF!))</f>
        <v>#REF!</v>
      </c>
      <c r="J1367" s="180" t="e">
        <f>#REF!*#REF!</f>
        <v>#REF!</v>
      </c>
      <c r="K1367" s="178" t="e">
        <f>#REF!*mo</f>
        <v>#REF!</v>
      </c>
      <c r="L1367" s="178" t="e">
        <f t="shared" si="164"/>
        <v>#REF!</v>
      </c>
      <c r="M1367" s="178" t="e">
        <f>#REF!*#REF!</f>
        <v>#REF!</v>
      </c>
      <c r="N1367" s="178" t="e">
        <f>#REF!+K1367+#REF!</f>
        <v>#REF!</v>
      </c>
      <c r="O1367" s="181" t="e">
        <f t="shared" si="165"/>
        <v>#REF!</v>
      </c>
    </row>
    <row r="1368" spans="1:15" s="193" customFormat="1" outlineLevel="2">
      <c r="A1368" s="155"/>
      <c r="B1368" s="212" t="s">
        <v>995</v>
      </c>
      <c r="C1368" s="190" t="s">
        <v>93</v>
      </c>
      <c r="D1368" s="191"/>
      <c r="E1368" s="176"/>
      <c r="F1368" s="177"/>
      <c r="G1368" s="192"/>
      <c r="H1368" s="179"/>
      <c r="I1368" s="283" t="e">
        <f>IF(#REF!="",#REF!*#REF!,IF(#REF!=0,#REF!*#REF!,#REF!*#REF!*#REF!))</f>
        <v>#REF!</v>
      </c>
      <c r="J1368" s="180" t="e">
        <f>#REF!*#REF!</f>
        <v>#REF!</v>
      </c>
      <c r="K1368" s="178" t="e">
        <f>#REF!*mo</f>
        <v>#REF!</v>
      </c>
      <c r="L1368" s="178" t="e">
        <f t="shared" si="164"/>
        <v>#REF!</v>
      </c>
      <c r="M1368" s="178" t="e">
        <f>#REF!*#REF!</f>
        <v>#REF!</v>
      </c>
      <c r="N1368" s="178" t="e">
        <f>#REF!+K1368+#REF!</f>
        <v>#REF!</v>
      </c>
      <c r="O1368" s="181" t="e">
        <f t="shared" si="165"/>
        <v>#REF!</v>
      </c>
    </row>
    <row r="1369" spans="1:15" s="193" customFormat="1" outlineLevel="2">
      <c r="A1369" s="155"/>
      <c r="B1369" s="212" t="s">
        <v>996</v>
      </c>
      <c r="C1369" s="190" t="s">
        <v>93</v>
      </c>
      <c r="D1369" s="191"/>
      <c r="E1369" s="176"/>
      <c r="F1369" s="177"/>
      <c r="G1369" s="192"/>
      <c r="H1369" s="179"/>
      <c r="I1369" s="283" t="e">
        <f>IF(#REF!="",#REF!*#REF!,IF(#REF!=0,#REF!*#REF!,#REF!*#REF!*#REF!))</f>
        <v>#REF!</v>
      </c>
      <c r="J1369" s="180" t="e">
        <f>#REF!*#REF!</f>
        <v>#REF!</v>
      </c>
      <c r="K1369" s="178" t="e">
        <f>#REF!*mo</f>
        <v>#REF!</v>
      </c>
      <c r="L1369" s="178" t="e">
        <f t="shared" si="164"/>
        <v>#REF!</v>
      </c>
      <c r="M1369" s="178" t="e">
        <f>#REF!*#REF!</f>
        <v>#REF!</v>
      </c>
      <c r="N1369" s="178" t="e">
        <f>#REF!+K1369+#REF!</f>
        <v>#REF!</v>
      </c>
      <c r="O1369" s="181" t="e">
        <f t="shared" si="165"/>
        <v>#REF!</v>
      </c>
    </row>
    <row r="1370" spans="1:15" s="193" customFormat="1" outlineLevel="2">
      <c r="A1370" s="155"/>
      <c r="B1370" s="212" t="s">
        <v>997</v>
      </c>
      <c r="C1370" s="190" t="s">
        <v>93</v>
      </c>
      <c r="D1370" s="191"/>
      <c r="E1370" s="176"/>
      <c r="F1370" s="177"/>
      <c r="G1370" s="192"/>
      <c r="H1370" s="179"/>
      <c r="I1370" s="283" t="e">
        <f>IF(#REF!="",#REF!*#REF!,IF(#REF!=0,#REF!*#REF!,#REF!*#REF!*#REF!))</f>
        <v>#REF!</v>
      </c>
      <c r="J1370" s="180" t="e">
        <f>#REF!*#REF!</f>
        <v>#REF!</v>
      </c>
      <c r="K1370" s="178" t="e">
        <f>#REF!*mo</f>
        <v>#REF!</v>
      </c>
      <c r="L1370" s="178" t="e">
        <f t="shared" si="164"/>
        <v>#REF!</v>
      </c>
      <c r="M1370" s="178" t="e">
        <f>#REF!*#REF!</f>
        <v>#REF!</v>
      </c>
      <c r="N1370" s="178" t="e">
        <f>#REF!+K1370+#REF!</f>
        <v>#REF!</v>
      </c>
      <c r="O1370" s="181" t="e">
        <f t="shared" si="165"/>
        <v>#REF!</v>
      </c>
    </row>
    <row r="1371" spans="1:15" s="193" customFormat="1" outlineLevel="2">
      <c r="A1371" s="155"/>
      <c r="B1371" s="212" t="s">
        <v>998</v>
      </c>
      <c r="C1371" s="190" t="s">
        <v>93</v>
      </c>
      <c r="D1371" s="191"/>
      <c r="E1371" s="176"/>
      <c r="F1371" s="177"/>
      <c r="G1371" s="192"/>
      <c r="H1371" s="179"/>
      <c r="I1371" s="283" t="e">
        <f>IF(#REF!="",#REF!*#REF!,IF(#REF!=0,#REF!*#REF!,#REF!*#REF!*#REF!))</f>
        <v>#REF!</v>
      </c>
      <c r="J1371" s="180" t="e">
        <f>#REF!*#REF!</f>
        <v>#REF!</v>
      </c>
      <c r="K1371" s="178" t="e">
        <f>#REF!*mo</f>
        <v>#REF!</v>
      </c>
      <c r="L1371" s="178" t="e">
        <f t="shared" si="164"/>
        <v>#REF!</v>
      </c>
      <c r="M1371" s="178" t="e">
        <f>#REF!*#REF!</f>
        <v>#REF!</v>
      </c>
      <c r="N1371" s="178" t="e">
        <f>#REF!+K1371+#REF!</f>
        <v>#REF!</v>
      </c>
      <c r="O1371" s="181" t="e">
        <f t="shared" si="165"/>
        <v>#REF!</v>
      </c>
    </row>
    <row r="1372" spans="1:15" s="193" customFormat="1" outlineLevel="2">
      <c r="A1372" s="155"/>
      <c r="B1372" s="212" t="s">
        <v>999</v>
      </c>
      <c r="C1372" s="190" t="s">
        <v>93</v>
      </c>
      <c r="D1372" s="191"/>
      <c r="E1372" s="176"/>
      <c r="F1372" s="177"/>
      <c r="G1372" s="192"/>
      <c r="H1372" s="179"/>
      <c r="I1372" s="283" t="e">
        <f>IF(#REF!="",#REF!*#REF!,IF(#REF!=0,#REF!*#REF!,#REF!*#REF!*#REF!))</f>
        <v>#REF!</v>
      </c>
      <c r="J1372" s="180" t="e">
        <f>#REF!*#REF!</f>
        <v>#REF!</v>
      </c>
      <c r="K1372" s="178" t="e">
        <f>#REF!*mo</f>
        <v>#REF!</v>
      </c>
      <c r="L1372" s="178" t="e">
        <f t="shared" si="164"/>
        <v>#REF!</v>
      </c>
      <c r="M1372" s="178" t="e">
        <f>#REF!*#REF!</f>
        <v>#REF!</v>
      </c>
      <c r="N1372" s="178" t="e">
        <f>#REF!+K1372+#REF!</f>
        <v>#REF!</v>
      </c>
      <c r="O1372" s="181" t="e">
        <f t="shared" si="165"/>
        <v>#REF!</v>
      </c>
    </row>
    <row r="1373" spans="1:15" s="193" customFormat="1" outlineLevel="2">
      <c r="A1373" s="155"/>
      <c r="B1373" s="212" t="s">
        <v>894</v>
      </c>
      <c r="C1373" s="190" t="s">
        <v>93</v>
      </c>
      <c r="D1373" s="191"/>
      <c r="E1373" s="176"/>
      <c r="F1373" s="177"/>
      <c r="G1373" s="192"/>
      <c r="H1373" s="179"/>
      <c r="I1373" s="283" t="e">
        <f>IF(#REF!="",#REF!*#REF!,IF(#REF!=0,#REF!*#REF!,#REF!*#REF!*#REF!))</f>
        <v>#REF!</v>
      </c>
      <c r="J1373" s="180" t="e">
        <f>#REF!*#REF!</f>
        <v>#REF!</v>
      </c>
      <c r="K1373" s="178" t="e">
        <f>#REF!*mo</f>
        <v>#REF!</v>
      </c>
      <c r="L1373" s="178" t="e">
        <f t="shared" si="164"/>
        <v>#REF!</v>
      </c>
      <c r="M1373" s="178" t="e">
        <f>#REF!*#REF!</f>
        <v>#REF!</v>
      </c>
      <c r="N1373" s="178" t="e">
        <f>#REF!+K1373+#REF!</f>
        <v>#REF!</v>
      </c>
      <c r="O1373" s="181" t="e">
        <f t="shared" si="165"/>
        <v>#REF!</v>
      </c>
    </row>
    <row r="1374" spans="1:15" s="193" customFormat="1" outlineLevel="2">
      <c r="A1374" s="155"/>
      <c r="B1374" s="212" t="s">
        <v>1000</v>
      </c>
      <c r="C1374" s="190" t="s">
        <v>123</v>
      </c>
      <c r="D1374" s="191"/>
      <c r="E1374" s="176"/>
      <c r="F1374" s="177"/>
      <c r="G1374" s="192"/>
      <c r="H1374" s="179"/>
      <c r="I1374" s="283" t="e">
        <f>IF(#REF!="",#REF!*#REF!,IF(#REF!=0,#REF!*#REF!,#REF!*#REF!*#REF!))</f>
        <v>#REF!</v>
      </c>
      <c r="J1374" s="180" t="e">
        <f>#REF!*#REF!</f>
        <v>#REF!</v>
      </c>
      <c r="K1374" s="178" t="e">
        <f>#REF!*mo</f>
        <v>#REF!</v>
      </c>
      <c r="L1374" s="178" t="e">
        <f t="shared" ref="L1374" si="172">J1374*mo</f>
        <v>#REF!</v>
      </c>
      <c r="M1374" s="178" t="e">
        <f>#REF!*#REF!</f>
        <v>#REF!</v>
      </c>
      <c r="N1374" s="178" t="e">
        <f>#REF!+K1374+#REF!</f>
        <v>#REF!</v>
      </c>
      <c r="O1374" s="181" t="e">
        <f t="shared" si="165"/>
        <v>#REF!</v>
      </c>
    </row>
    <row r="1375" spans="1:15" s="193" customFormat="1" outlineLevel="2">
      <c r="A1375" s="155"/>
      <c r="B1375" s="237"/>
      <c r="C1375" s="190"/>
      <c r="D1375" s="191"/>
      <c r="E1375" s="176"/>
      <c r="F1375" s="177"/>
      <c r="G1375" s="192"/>
      <c r="H1375" s="179"/>
      <c r="I1375" s="283" t="e">
        <f>IF(#REF!="",#REF!*#REF!,IF(#REF!=0,#REF!*#REF!,#REF!*#REF!*#REF!))</f>
        <v>#REF!</v>
      </c>
      <c r="J1375" s="180" t="e">
        <f>#REF!*#REF!</f>
        <v>#REF!</v>
      </c>
      <c r="K1375" s="178" t="e">
        <f>#REF!*mo</f>
        <v>#REF!</v>
      </c>
      <c r="L1375" s="178" t="e">
        <f t="shared" si="164"/>
        <v>#REF!</v>
      </c>
      <c r="M1375" s="178" t="e">
        <f>#REF!*#REF!</f>
        <v>#REF!</v>
      </c>
      <c r="N1375" s="178" t="e">
        <f>#REF!+K1375+#REF!</f>
        <v>#REF!</v>
      </c>
      <c r="O1375" s="181" t="e">
        <f t="shared" si="165"/>
        <v>#REF!</v>
      </c>
    </row>
    <row r="1376" spans="1:15" s="193" customFormat="1" outlineLevel="2">
      <c r="A1376" s="155"/>
      <c r="B1376" s="233" t="s">
        <v>1004</v>
      </c>
      <c r="C1376" s="190"/>
      <c r="D1376" s="191"/>
      <c r="E1376" s="176"/>
      <c r="F1376" s="177"/>
      <c r="G1376" s="192"/>
      <c r="H1376" s="179"/>
      <c r="I1376" s="283" t="e">
        <f>IF(#REF!="",#REF!*#REF!,IF(#REF!=0,#REF!*#REF!,#REF!*#REF!*#REF!))</f>
        <v>#REF!</v>
      </c>
      <c r="J1376" s="180" t="e">
        <f>#REF!*#REF!</f>
        <v>#REF!</v>
      </c>
      <c r="K1376" s="178" t="e">
        <f>#REF!*mo</f>
        <v>#REF!</v>
      </c>
      <c r="L1376" s="178" t="e">
        <f t="shared" si="164"/>
        <v>#REF!</v>
      </c>
      <c r="M1376" s="178" t="e">
        <f>#REF!*#REF!</f>
        <v>#REF!</v>
      </c>
      <c r="N1376" s="178" t="e">
        <f>#REF!+K1376+#REF!</f>
        <v>#REF!</v>
      </c>
      <c r="O1376" s="181" t="e">
        <f t="shared" si="165"/>
        <v>#REF!</v>
      </c>
    </row>
    <row r="1377" spans="1:15" s="193" customFormat="1" outlineLevel="2">
      <c r="A1377" s="155"/>
      <c r="B1377" s="212" t="s">
        <v>995</v>
      </c>
      <c r="C1377" s="190" t="s">
        <v>93</v>
      </c>
      <c r="D1377" s="191"/>
      <c r="E1377" s="176"/>
      <c r="F1377" s="177"/>
      <c r="G1377" s="192"/>
      <c r="H1377" s="179"/>
      <c r="I1377" s="283" t="e">
        <f>IF(#REF!="",#REF!*#REF!,IF(#REF!=0,#REF!*#REF!,#REF!*#REF!*#REF!))</f>
        <v>#REF!</v>
      </c>
      <c r="J1377" s="180" t="e">
        <f>#REF!*#REF!</f>
        <v>#REF!</v>
      </c>
      <c r="K1377" s="178" t="e">
        <f>#REF!*mo</f>
        <v>#REF!</v>
      </c>
      <c r="L1377" s="178" t="e">
        <f t="shared" si="164"/>
        <v>#REF!</v>
      </c>
      <c r="M1377" s="178" t="e">
        <f>#REF!*#REF!</f>
        <v>#REF!</v>
      </c>
      <c r="N1377" s="178" t="e">
        <f>#REF!+K1377+#REF!</f>
        <v>#REF!</v>
      </c>
      <c r="O1377" s="181" t="e">
        <f t="shared" si="165"/>
        <v>#REF!</v>
      </c>
    </row>
    <row r="1378" spans="1:15" s="193" customFormat="1" outlineLevel="2">
      <c r="A1378" s="155"/>
      <c r="B1378" s="212" t="s">
        <v>996</v>
      </c>
      <c r="C1378" s="190" t="s">
        <v>93</v>
      </c>
      <c r="D1378" s="191"/>
      <c r="E1378" s="176"/>
      <c r="F1378" s="177"/>
      <c r="G1378" s="192"/>
      <c r="H1378" s="179"/>
      <c r="I1378" s="283" t="e">
        <f>IF(#REF!="",#REF!*#REF!,IF(#REF!=0,#REF!*#REF!,#REF!*#REF!*#REF!))</f>
        <v>#REF!</v>
      </c>
      <c r="J1378" s="180" t="e">
        <f>#REF!*#REF!</f>
        <v>#REF!</v>
      </c>
      <c r="K1378" s="178" t="e">
        <f>#REF!*mo</f>
        <v>#REF!</v>
      </c>
      <c r="L1378" s="178" t="e">
        <f t="shared" si="164"/>
        <v>#REF!</v>
      </c>
      <c r="M1378" s="178" t="e">
        <f>#REF!*#REF!</f>
        <v>#REF!</v>
      </c>
      <c r="N1378" s="178" t="e">
        <f>#REF!+K1378+#REF!</f>
        <v>#REF!</v>
      </c>
      <c r="O1378" s="181" t="e">
        <f t="shared" si="165"/>
        <v>#REF!</v>
      </c>
    </row>
    <row r="1379" spans="1:15" s="193" customFormat="1" outlineLevel="2">
      <c r="A1379" s="155"/>
      <c r="B1379" s="212" t="s">
        <v>997</v>
      </c>
      <c r="C1379" s="190" t="s">
        <v>93</v>
      </c>
      <c r="D1379" s="191"/>
      <c r="E1379" s="176"/>
      <c r="F1379" s="177"/>
      <c r="G1379" s="192"/>
      <c r="H1379" s="179"/>
      <c r="I1379" s="283" t="e">
        <f>IF(#REF!="",#REF!*#REF!,IF(#REF!=0,#REF!*#REF!,#REF!*#REF!*#REF!))</f>
        <v>#REF!</v>
      </c>
      <c r="J1379" s="180" t="e">
        <f>#REF!*#REF!</f>
        <v>#REF!</v>
      </c>
      <c r="K1379" s="178" t="e">
        <f>#REF!*mo</f>
        <v>#REF!</v>
      </c>
      <c r="L1379" s="178" t="e">
        <f t="shared" si="164"/>
        <v>#REF!</v>
      </c>
      <c r="M1379" s="178" t="e">
        <f>#REF!*#REF!</f>
        <v>#REF!</v>
      </c>
      <c r="N1379" s="178" t="e">
        <f>#REF!+K1379+#REF!</f>
        <v>#REF!</v>
      </c>
      <c r="O1379" s="181" t="e">
        <f t="shared" si="165"/>
        <v>#REF!</v>
      </c>
    </row>
    <row r="1380" spans="1:15" s="193" customFormat="1" outlineLevel="2">
      <c r="A1380" s="155"/>
      <c r="B1380" s="212" t="s">
        <v>998</v>
      </c>
      <c r="C1380" s="190" t="s">
        <v>93</v>
      </c>
      <c r="D1380" s="191"/>
      <c r="E1380" s="176"/>
      <c r="F1380" s="177"/>
      <c r="G1380" s="192"/>
      <c r="H1380" s="179"/>
      <c r="I1380" s="283" t="e">
        <f>IF(#REF!="",#REF!*#REF!,IF(#REF!=0,#REF!*#REF!,#REF!*#REF!*#REF!))</f>
        <v>#REF!</v>
      </c>
      <c r="J1380" s="180" t="e">
        <f>#REF!*#REF!</f>
        <v>#REF!</v>
      </c>
      <c r="K1380" s="178" t="e">
        <f>#REF!*mo</f>
        <v>#REF!</v>
      </c>
      <c r="L1380" s="178" t="e">
        <f t="shared" si="164"/>
        <v>#REF!</v>
      </c>
      <c r="M1380" s="178" t="e">
        <f>#REF!*#REF!</f>
        <v>#REF!</v>
      </c>
      <c r="N1380" s="178" t="e">
        <f>#REF!+K1380+#REF!</f>
        <v>#REF!</v>
      </c>
      <c r="O1380" s="181" t="e">
        <f t="shared" si="165"/>
        <v>#REF!</v>
      </c>
    </row>
    <row r="1381" spans="1:15" s="193" customFormat="1" outlineLevel="2">
      <c r="A1381" s="155"/>
      <c r="B1381" s="212" t="s">
        <v>999</v>
      </c>
      <c r="C1381" s="190" t="s">
        <v>93</v>
      </c>
      <c r="D1381" s="191"/>
      <c r="E1381" s="176"/>
      <c r="F1381" s="177"/>
      <c r="G1381" s="192"/>
      <c r="H1381" s="179"/>
      <c r="I1381" s="283" t="e">
        <f>IF(#REF!="",#REF!*#REF!,IF(#REF!=0,#REF!*#REF!,#REF!*#REF!*#REF!))</f>
        <v>#REF!</v>
      </c>
      <c r="J1381" s="180" t="e">
        <f>#REF!*#REF!</f>
        <v>#REF!</v>
      </c>
      <c r="K1381" s="178" t="e">
        <f>#REF!*mo</f>
        <v>#REF!</v>
      </c>
      <c r="L1381" s="178" t="e">
        <f t="shared" si="164"/>
        <v>#REF!</v>
      </c>
      <c r="M1381" s="178" t="e">
        <f>#REF!*#REF!</f>
        <v>#REF!</v>
      </c>
      <c r="N1381" s="178" t="e">
        <f>#REF!+K1381+#REF!</f>
        <v>#REF!</v>
      </c>
      <c r="O1381" s="181" t="e">
        <f t="shared" si="165"/>
        <v>#REF!</v>
      </c>
    </row>
    <row r="1382" spans="1:15" s="193" customFormat="1" outlineLevel="2">
      <c r="A1382" s="155"/>
      <c r="B1382" s="212" t="s">
        <v>894</v>
      </c>
      <c r="C1382" s="190" t="s">
        <v>93</v>
      </c>
      <c r="D1382" s="191"/>
      <c r="E1382" s="176"/>
      <c r="F1382" s="177"/>
      <c r="G1382" s="192"/>
      <c r="H1382" s="179"/>
      <c r="I1382" s="283" t="e">
        <f>IF(#REF!="",#REF!*#REF!,IF(#REF!=0,#REF!*#REF!,#REF!*#REF!*#REF!))</f>
        <v>#REF!</v>
      </c>
      <c r="J1382" s="180" t="e">
        <f>#REF!*#REF!</f>
        <v>#REF!</v>
      </c>
      <c r="K1382" s="178" t="e">
        <f>#REF!*mo</f>
        <v>#REF!</v>
      </c>
      <c r="L1382" s="178" t="e">
        <f t="shared" si="164"/>
        <v>#REF!</v>
      </c>
      <c r="M1382" s="178" t="e">
        <f>#REF!*#REF!</f>
        <v>#REF!</v>
      </c>
      <c r="N1382" s="178" t="e">
        <f>#REF!+K1382+#REF!</f>
        <v>#REF!</v>
      </c>
      <c r="O1382" s="181" t="e">
        <f t="shared" si="165"/>
        <v>#REF!</v>
      </c>
    </row>
    <row r="1383" spans="1:15" s="193" customFormat="1" outlineLevel="2">
      <c r="A1383" s="155"/>
      <c r="B1383" s="212" t="s">
        <v>1000</v>
      </c>
      <c r="C1383" s="190" t="s">
        <v>123</v>
      </c>
      <c r="D1383" s="191"/>
      <c r="E1383" s="176"/>
      <c r="F1383" s="177"/>
      <c r="G1383" s="192"/>
      <c r="H1383" s="179"/>
      <c r="I1383" s="283" t="e">
        <f>IF(#REF!="",#REF!*#REF!,IF(#REF!=0,#REF!*#REF!,#REF!*#REF!*#REF!))</f>
        <v>#REF!</v>
      </c>
      <c r="J1383" s="180" t="e">
        <f>#REF!*#REF!</f>
        <v>#REF!</v>
      </c>
      <c r="K1383" s="178" t="e">
        <f>#REF!*mo</f>
        <v>#REF!</v>
      </c>
      <c r="L1383" s="178" t="e">
        <f t="shared" si="164"/>
        <v>#REF!</v>
      </c>
      <c r="M1383" s="178" t="e">
        <f>#REF!*#REF!</f>
        <v>#REF!</v>
      </c>
      <c r="N1383" s="178" t="e">
        <f>#REF!+K1383+#REF!</f>
        <v>#REF!</v>
      </c>
      <c r="O1383" s="181" t="e">
        <f t="shared" si="165"/>
        <v>#REF!</v>
      </c>
    </row>
    <row r="1384" spans="1:15" s="193" customFormat="1" outlineLevel="2">
      <c r="A1384" s="155"/>
      <c r="B1384" s="156"/>
      <c r="C1384" s="190"/>
      <c r="D1384" s="191"/>
      <c r="E1384" s="176"/>
      <c r="F1384" s="177"/>
      <c r="G1384" s="192"/>
      <c r="H1384" s="179"/>
      <c r="I1384" s="283" t="e">
        <f>IF(#REF!="",#REF!*#REF!,IF(#REF!=0,#REF!*#REF!,#REF!*#REF!*#REF!))</f>
        <v>#REF!</v>
      </c>
      <c r="J1384" s="180" t="e">
        <f>#REF!*#REF!</f>
        <v>#REF!</v>
      </c>
      <c r="K1384" s="178" t="e">
        <f>#REF!*mo</f>
        <v>#REF!</v>
      </c>
      <c r="L1384" s="178" t="e">
        <f t="shared" si="164"/>
        <v>#REF!</v>
      </c>
      <c r="M1384" s="178" t="e">
        <f>#REF!*#REF!</f>
        <v>#REF!</v>
      </c>
      <c r="N1384" s="178" t="e">
        <f>#REF!+K1384+#REF!</f>
        <v>#REF!</v>
      </c>
      <c r="O1384" s="181" t="e">
        <f t="shared" si="165"/>
        <v>#REF!</v>
      </c>
    </row>
    <row r="1385" spans="1:15" s="193" customFormat="1" outlineLevel="2">
      <c r="A1385" s="155"/>
      <c r="B1385" s="156" t="s">
        <v>1005</v>
      </c>
      <c r="C1385" s="190" t="s">
        <v>795</v>
      </c>
      <c r="D1385" s="191"/>
      <c r="E1385" s="176"/>
      <c r="F1385" s="177"/>
      <c r="G1385" s="192"/>
      <c r="H1385" s="179"/>
      <c r="I1385" s="283" t="e">
        <f>IF(#REF!="",#REF!*#REF!,IF(#REF!=0,#REF!*#REF!,#REF!*#REF!*#REF!))</f>
        <v>#REF!</v>
      </c>
      <c r="J1385" s="180" t="e">
        <f>#REF!*#REF!</f>
        <v>#REF!</v>
      </c>
      <c r="K1385" s="178" t="e">
        <f>#REF!*mo</f>
        <v>#REF!</v>
      </c>
      <c r="L1385" s="178" t="e">
        <f>J1385*mo</f>
        <v>#REF!</v>
      </c>
      <c r="M1385" s="178" t="e">
        <f>#REF!*#REF!</f>
        <v>#REF!</v>
      </c>
      <c r="N1385" s="178" t="e">
        <f>#REF!+K1385+#REF!</f>
        <v>#REF!</v>
      </c>
      <c r="O1385" s="181" t="e">
        <f>M1385+L1385+I1385</f>
        <v>#REF!</v>
      </c>
    </row>
    <row r="1386" spans="1:15" s="193" customFormat="1" outlineLevel="2">
      <c r="A1386" s="155"/>
      <c r="B1386" s="197" t="s">
        <v>905</v>
      </c>
      <c r="C1386" s="190"/>
      <c r="D1386" s="191"/>
      <c r="E1386" s="176"/>
      <c r="F1386" s="177"/>
      <c r="G1386" s="192"/>
      <c r="H1386" s="179"/>
      <c r="I1386" s="283"/>
      <c r="J1386" s="180"/>
      <c r="K1386" s="178"/>
      <c r="L1386" s="178"/>
      <c r="M1386" s="178"/>
      <c r="N1386" s="178"/>
      <c r="O1386" s="181"/>
    </row>
    <row r="1387" spans="1:15" s="193" customFormat="1" outlineLevel="2">
      <c r="A1387" s="155"/>
      <c r="B1387" s="197" t="s">
        <v>906</v>
      </c>
      <c r="C1387" s="190"/>
      <c r="D1387" s="191"/>
      <c r="E1387" s="176"/>
      <c r="F1387" s="177"/>
      <c r="G1387" s="192"/>
      <c r="H1387" s="179"/>
      <c r="I1387" s="283"/>
      <c r="J1387" s="180"/>
      <c r="K1387" s="178"/>
      <c r="L1387" s="178"/>
      <c r="M1387" s="178"/>
      <c r="N1387" s="178"/>
      <c r="O1387" s="181"/>
    </row>
    <row r="1388" spans="1:15" s="193" customFormat="1" outlineLevel="2">
      <c r="A1388" s="155"/>
      <c r="B1388" s="197" t="s">
        <v>1006</v>
      </c>
      <c r="C1388" s="190"/>
      <c r="D1388" s="191"/>
      <c r="E1388" s="176"/>
      <c r="F1388" s="177"/>
      <c r="G1388" s="192"/>
      <c r="H1388" s="179"/>
      <c r="I1388" s="283"/>
      <c r="J1388" s="180"/>
      <c r="K1388" s="178"/>
      <c r="L1388" s="178"/>
      <c r="M1388" s="178"/>
      <c r="N1388" s="178"/>
      <c r="O1388" s="181"/>
    </row>
    <row r="1389" spans="1:15" s="193" customFormat="1" outlineLevel="2">
      <c r="A1389" s="155"/>
      <c r="B1389" s="197" t="s">
        <v>907</v>
      </c>
      <c r="C1389" s="190"/>
      <c r="D1389" s="191"/>
      <c r="E1389" s="176"/>
      <c r="F1389" s="177"/>
      <c r="G1389" s="192"/>
      <c r="H1389" s="179"/>
      <c r="I1389" s="283"/>
      <c r="J1389" s="180"/>
      <c r="K1389" s="178"/>
      <c r="L1389" s="178"/>
      <c r="M1389" s="178"/>
      <c r="N1389" s="178"/>
      <c r="O1389" s="181"/>
    </row>
    <row r="1390" spans="1:15" s="193" customFormat="1" outlineLevel="2">
      <c r="A1390" s="155"/>
      <c r="B1390" s="237"/>
      <c r="C1390" s="190"/>
      <c r="D1390" s="191"/>
      <c r="E1390" s="176"/>
      <c r="F1390" s="177"/>
      <c r="G1390" s="192"/>
      <c r="H1390" s="179"/>
      <c r="I1390" s="283"/>
      <c r="J1390" s="180"/>
      <c r="K1390" s="178"/>
      <c r="L1390" s="178"/>
      <c r="M1390" s="178"/>
      <c r="N1390" s="178"/>
      <c r="O1390" s="181"/>
    </row>
    <row r="1391" spans="1:15" s="193" customFormat="1" outlineLevel="1">
      <c r="A1391" s="157" t="str">
        <f>$A$441&amp;".2"</f>
        <v>.2</v>
      </c>
      <c r="B1391" s="210" t="s">
        <v>1007</v>
      </c>
      <c r="C1391" s="190"/>
      <c r="D1391" s="191"/>
      <c r="E1391" s="176"/>
      <c r="F1391" s="177"/>
      <c r="G1391" s="192">
        <f>SUM(F1392:F1400)</f>
        <v>0</v>
      </c>
      <c r="H1391" s="179"/>
      <c r="I1391" s="283" t="e">
        <f>IF(#REF!="",#REF!*#REF!,IF(#REF!=0,#REF!*#REF!,#REF!*#REF!*#REF!))</f>
        <v>#REF!</v>
      </c>
      <c r="J1391" s="180" t="e">
        <f>#REF!*#REF!</f>
        <v>#REF!</v>
      </c>
      <c r="K1391" s="178" t="e">
        <f>#REF!*mo</f>
        <v>#REF!</v>
      </c>
      <c r="L1391" s="178" t="e">
        <f t="shared" ref="L1391:L1398" si="173">J1391*mo</f>
        <v>#REF!</v>
      </c>
      <c r="M1391" s="178" t="e">
        <f>#REF!*#REF!</f>
        <v>#REF!</v>
      </c>
      <c r="N1391" s="178" t="e">
        <f>#REF!+K1391+#REF!</f>
        <v>#REF!</v>
      </c>
      <c r="O1391" s="181" t="e">
        <f t="shared" ref="O1391:O1398" si="174">M1391+L1391+I1391</f>
        <v>#REF!</v>
      </c>
    </row>
    <row r="1392" spans="1:15" s="193" customFormat="1" outlineLevel="2">
      <c r="A1392" s="211"/>
      <c r="B1392" s="210"/>
      <c r="C1392" s="190"/>
      <c r="D1392" s="191"/>
      <c r="E1392" s="176"/>
      <c r="F1392" s="177"/>
      <c r="G1392" s="192"/>
      <c r="H1392" s="179"/>
      <c r="I1392" s="283" t="e">
        <f>IF(#REF!="",#REF!*#REF!,IF(#REF!=0,#REF!*#REF!,#REF!*#REF!*#REF!))</f>
        <v>#REF!</v>
      </c>
      <c r="J1392" s="180" t="e">
        <f>#REF!*#REF!</f>
        <v>#REF!</v>
      </c>
      <c r="K1392" s="178" t="e">
        <f>#REF!*mo</f>
        <v>#REF!</v>
      </c>
      <c r="L1392" s="178" t="e">
        <f t="shared" si="173"/>
        <v>#REF!</v>
      </c>
      <c r="M1392" s="178" t="e">
        <f>#REF!*#REF!</f>
        <v>#REF!</v>
      </c>
      <c r="N1392" s="178" t="e">
        <f>#REF!+K1392+#REF!</f>
        <v>#REF!</v>
      </c>
      <c r="O1392" s="181" t="e">
        <f t="shared" si="174"/>
        <v>#REF!</v>
      </c>
    </row>
    <row r="1393" spans="1:15" s="193" customFormat="1" outlineLevel="2">
      <c r="A1393" s="211"/>
      <c r="B1393" s="212" t="s">
        <v>1008</v>
      </c>
      <c r="C1393" s="190" t="s">
        <v>795</v>
      </c>
      <c r="D1393" s="191"/>
      <c r="E1393" s="176"/>
      <c r="F1393" s="177"/>
      <c r="G1393" s="192"/>
      <c r="H1393" s="179"/>
      <c r="I1393" s="283" t="e">
        <f>IF(#REF!="",#REF!*#REF!,IF(#REF!=0,#REF!*#REF!,#REF!*#REF!*#REF!))</f>
        <v>#REF!</v>
      </c>
      <c r="J1393" s="180" t="e">
        <f>#REF!*#REF!</f>
        <v>#REF!</v>
      </c>
      <c r="K1393" s="178" t="e">
        <f>#REF!*mo</f>
        <v>#REF!</v>
      </c>
      <c r="L1393" s="178" t="e">
        <f t="shared" si="173"/>
        <v>#REF!</v>
      </c>
      <c r="M1393" s="178" t="e">
        <f>#REF!*#REF!</f>
        <v>#REF!</v>
      </c>
      <c r="N1393" s="178" t="e">
        <f>#REF!+K1393+#REF!</f>
        <v>#REF!</v>
      </c>
      <c r="O1393" s="181" t="e">
        <f t="shared" si="174"/>
        <v>#REF!</v>
      </c>
    </row>
    <row r="1394" spans="1:15" s="193" customFormat="1" outlineLevel="2">
      <c r="A1394" s="211"/>
      <c r="B1394" s="212" t="s">
        <v>1009</v>
      </c>
      <c r="C1394" s="190" t="s">
        <v>795</v>
      </c>
      <c r="D1394" s="191"/>
      <c r="E1394" s="176"/>
      <c r="F1394" s="177"/>
      <c r="G1394" s="192"/>
      <c r="H1394" s="179"/>
      <c r="I1394" s="283" t="e">
        <f>IF(#REF!="",#REF!*#REF!,IF(#REF!=0,#REF!*#REF!,#REF!*#REF!*#REF!))</f>
        <v>#REF!</v>
      </c>
      <c r="J1394" s="180" t="e">
        <f>#REF!*#REF!</f>
        <v>#REF!</v>
      </c>
      <c r="K1394" s="178" t="e">
        <f>#REF!*mo</f>
        <v>#REF!</v>
      </c>
      <c r="L1394" s="178" t="e">
        <f t="shared" si="173"/>
        <v>#REF!</v>
      </c>
      <c r="M1394" s="178" t="e">
        <f>#REF!*#REF!</f>
        <v>#REF!</v>
      </c>
      <c r="N1394" s="178" t="e">
        <f>#REF!+K1394+#REF!</f>
        <v>#REF!</v>
      </c>
      <c r="O1394" s="181" t="e">
        <f t="shared" si="174"/>
        <v>#REF!</v>
      </c>
    </row>
    <row r="1395" spans="1:15" s="193" customFormat="1" outlineLevel="2">
      <c r="A1395" s="211"/>
      <c r="B1395" s="212" t="s">
        <v>1010</v>
      </c>
      <c r="C1395" s="190" t="s">
        <v>795</v>
      </c>
      <c r="D1395" s="191"/>
      <c r="E1395" s="176"/>
      <c r="F1395" s="177"/>
      <c r="G1395" s="192"/>
      <c r="H1395" s="179"/>
      <c r="I1395" s="283" t="e">
        <f>IF(#REF!="",#REF!*#REF!,IF(#REF!=0,#REF!*#REF!,#REF!*#REF!*#REF!))</f>
        <v>#REF!</v>
      </c>
      <c r="J1395" s="180" t="e">
        <f>#REF!*#REF!</f>
        <v>#REF!</v>
      </c>
      <c r="K1395" s="178" t="e">
        <f>#REF!*mo</f>
        <v>#REF!</v>
      </c>
      <c r="L1395" s="178" t="e">
        <f t="shared" si="173"/>
        <v>#REF!</v>
      </c>
      <c r="M1395" s="178" t="e">
        <f>#REF!*#REF!</f>
        <v>#REF!</v>
      </c>
      <c r="N1395" s="178" t="e">
        <f>#REF!+K1395+#REF!</f>
        <v>#REF!</v>
      </c>
      <c r="O1395" s="181" t="e">
        <f t="shared" si="174"/>
        <v>#REF!</v>
      </c>
    </row>
    <row r="1396" spans="1:15" s="193" customFormat="1" outlineLevel="2">
      <c r="A1396" s="211"/>
      <c r="B1396" s="212" t="s">
        <v>1011</v>
      </c>
      <c r="C1396" s="190" t="s">
        <v>795</v>
      </c>
      <c r="D1396" s="191"/>
      <c r="E1396" s="176"/>
      <c r="F1396" s="177"/>
      <c r="G1396" s="192"/>
      <c r="H1396" s="179"/>
      <c r="I1396" s="283" t="e">
        <f>IF(#REF!="",#REF!*#REF!,IF(#REF!=0,#REF!*#REF!,#REF!*#REF!*#REF!))</f>
        <v>#REF!</v>
      </c>
      <c r="J1396" s="180" t="e">
        <f>#REF!*#REF!</f>
        <v>#REF!</v>
      </c>
      <c r="K1396" s="178" t="e">
        <f>#REF!*mo</f>
        <v>#REF!</v>
      </c>
      <c r="L1396" s="178" t="e">
        <f t="shared" si="173"/>
        <v>#REF!</v>
      </c>
      <c r="M1396" s="178" t="e">
        <f>#REF!*#REF!</f>
        <v>#REF!</v>
      </c>
      <c r="N1396" s="178" t="e">
        <f>#REF!+K1396+#REF!</f>
        <v>#REF!</v>
      </c>
      <c r="O1396" s="181" t="e">
        <f t="shared" si="174"/>
        <v>#REF!</v>
      </c>
    </row>
    <row r="1397" spans="1:15" s="193" customFormat="1" outlineLevel="2">
      <c r="A1397" s="211"/>
      <c r="B1397" s="212" t="s">
        <v>912</v>
      </c>
      <c r="C1397" s="190" t="s">
        <v>795</v>
      </c>
      <c r="D1397" s="191"/>
      <c r="E1397" s="176"/>
      <c r="F1397" s="177"/>
      <c r="G1397" s="192"/>
      <c r="H1397" s="179"/>
      <c r="I1397" s="283" t="e">
        <f>IF(#REF!="",#REF!*#REF!,IF(#REF!=0,#REF!*#REF!,#REF!*#REF!*#REF!))</f>
        <v>#REF!</v>
      </c>
      <c r="J1397" s="180" t="e">
        <f>#REF!*#REF!</f>
        <v>#REF!</v>
      </c>
      <c r="K1397" s="178" t="e">
        <f>#REF!*mo</f>
        <v>#REF!</v>
      </c>
      <c r="L1397" s="178" t="e">
        <f t="shared" si="173"/>
        <v>#REF!</v>
      </c>
      <c r="M1397" s="178" t="e">
        <f>#REF!*#REF!</f>
        <v>#REF!</v>
      </c>
      <c r="N1397" s="178" t="e">
        <f>#REF!+K1397+#REF!</f>
        <v>#REF!</v>
      </c>
      <c r="O1397" s="181" t="e">
        <f t="shared" si="174"/>
        <v>#REF!</v>
      </c>
    </row>
    <row r="1398" spans="1:15" s="193" customFormat="1" outlineLevel="2">
      <c r="A1398" s="211"/>
      <c r="B1398" s="212"/>
      <c r="C1398" s="190"/>
      <c r="D1398" s="191"/>
      <c r="E1398" s="176"/>
      <c r="F1398" s="177"/>
      <c r="G1398" s="192"/>
      <c r="H1398" s="179"/>
      <c r="I1398" s="283" t="e">
        <f>IF(#REF!="",#REF!*#REF!,IF(#REF!=0,#REF!*#REF!,#REF!*#REF!*#REF!))</f>
        <v>#REF!</v>
      </c>
      <c r="J1398" s="180" t="e">
        <f>#REF!*#REF!</f>
        <v>#REF!</v>
      </c>
      <c r="K1398" s="178" t="e">
        <f>#REF!*mo</f>
        <v>#REF!</v>
      </c>
      <c r="L1398" s="178" t="e">
        <f t="shared" si="173"/>
        <v>#REF!</v>
      </c>
      <c r="M1398" s="178" t="e">
        <f>#REF!*#REF!</f>
        <v>#REF!</v>
      </c>
      <c r="N1398" s="178" t="e">
        <f>#REF!+K1398+#REF!</f>
        <v>#REF!</v>
      </c>
      <c r="O1398" s="181" t="e">
        <f t="shared" si="174"/>
        <v>#REF!</v>
      </c>
    </row>
    <row r="1399" spans="1:15" s="193" customFormat="1" outlineLevel="1">
      <c r="A1399" s="155"/>
      <c r="B1399" s="198" t="str">
        <f>"Total "&amp;B1327</f>
        <v>Total DISTRIBUTION EF</v>
      </c>
      <c r="C1399" s="190"/>
      <c r="D1399" s="191"/>
      <c r="E1399" s="176"/>
      <c r="F1399" s="177"/>
      <c r="G1399" s="192"/>
      <c r="H1399" s="179">
        <f>SUM(G1328:G1400)</f>
        <v>0</v>
      </c>
      <c r="I1399" s="283" t="e">
        <f>IF(#REF!="",#REF!*#REF!,IF(#REF!=0,#REF!*#REF!,#REF!*#REF!*#REF!))</f>
        <v>#REF!</v>
      </c>
      <c r="J1399" s="180" t="e">
        <f>#REF!*#REF!</f>
        <v>#REF!</v>
      </c>
      <c r="K1399" s="178" t="e">
        <f>#REF!*mo</f>
        <v>#REF!</v>
      </c>
      <c r="L1399" s="178" t="e">
        <f t="shared" si="164"/>
        <v>#REF!</v>
      </c>
      <c r="M1399" s="178" t="e">
        <f>#REF!*#REF!</f>
        <v>#REF!</v>
      </c>
      <c r="N1399" s="178" t="e">
        <f>#REF!+K1399+#REF!</f>
        <v>#REF!</v>
      </c>
      <c r="O1399" s="181" t="e">
        <f t="shared" si="165"/>
        <v>#REF!</v>
      </c>
    </row>
    <row r="1400" spans="1:15" s="193" customFormat="1" outlineLevel="1">
      <c r="A1400" s="155"/>
      <c r="B1400" s="198"/>
      <c r="C1400" s="190"/>
      <c r="D1400" s="191"/>
      <c r="E1400" s="176"/>
      <c r="F1400" s="177"/>
      <c r="G1400" s="192"/>
      <c r="H1400" s="235"/>
      <c r="I1400" s="283"/>
      <c r="J1400" s="180"/>
      <c r="K1400" s="178"/>
      <c r="L1400" s="178"/>
      <c r="M1400" s="178"/>
      <c r="N1400" s="178"/>
      <c r="O1400" s="181"/>
    </row>
    <row r="1401" spans="1:15" s="209" customFormat="1" outlineLevel="1">
      <c r="A1401" s="157" t="str">
        <f>$A$412&amp;".3"</f>
        <v>.3</v>
      </c>
      <c r="B1401" s="158" t="s">
        <v>1012</v>
      </c>
      <c r="C1401" s="195"/>
      <c r="D1401" s="170"/>
      <c r="E1401" s="176"/>
      <c r="F1401" s="177"/>
      <c r="G1401" s="192"/>
      <c r="H1401" s="196"/>
      <c r="I1401" s="283" t="e">
        <f>IF(#REF!="",#REF!*#REF!,IF(#REF!=0,#REF!*#REF!,#REF!*#REF!*#REF!))</f>
        <v>#REF!</v>
      </c>
      <c r="J1401" s="180" t="e">
        <f>#REF!*#REF!</f>
        <v>#REF!</v>
      </c>
      <c r="K1401" s="178" t="e">
        <f>#REF!*mo</f>
        <v>#REF!</v>
      </c>
      <c r="L1401" s="178" t="e">
        <f t="shared" si="164"/>
        <v>#REF!</v>
      </c>
      <c r="M1401" s="178" t="e">
        <f>#REF!*#REF!</f>
        <v>#REF!</v>
      </c>
      <c r="N1401" s="178" t="e">
        <f>#REF!+K1401+#REF!</f>
        <v>#REF!</v>
      </c>
      <c r="O1401" s="181" t="e">
        <f t="shared" si="165"/>
        <v>#REF!</v>
      </c>
    </row>
    <row r="1402" spans="1:15" s="209" customFormat="1" outlineLevel="1">
      <c r="A1402" s="157" t="str">
        <f>$A$515&amp;".1"</f>
        <v>.1</v>
      </c>
      <c r="B1402" s="158" t="s">
        <v>1013</v>
      </c>
      <c r="C1402" s="195"/>
      <c r="D1402" s="170"/>
      <c r="E1402" s="176"/>
      <c r="F1402" s="177"/>
      <c r="G1402" s="192">
        <f>SUM(F1403:F1411)</f>
        <v>0</v>
      </c>
      <c r="H1402" s="179"/>
      <c r="I1402" s="283" t="e">
        <f>IF(#REF!="",#REF!*#REF!,IF(#REF!=0,#REF!*#REF!,#REF!*#REF!*#REF!))</f>
        <v>#REF!</v>
      </c>
      <c r="J1402" s="180" t="e">
        <f>#REF!*#REF!</f>
        <v>#REF!</v>
      </c>
      <c r="K1402" s="178" t="e">
        <f>#REF!*mo</f>
        <v>#REF!</v>
      </c>
      <c r="L1402" s="178" t="e">
        <f t="shared" si="164"/>
        <v>#REF!</v>
      </c>
      <c r="M1402" s="178" t="e">
        <f>#REF!*#REF!</f>
        <v>#REF!</v>
      </c>
      <c r="N1402" s="178" t="e">
        <f>#REF!+K1402+#REF!</f>
        <v>#REF!</v>
      </c>
      <c r="O1402" s="181" t="e">
        <f t="shared" si="165"/>
        <v>#REF!</v>
      </c>
    </row>
    <row r="1403" spans="1:15" s="193" customFormat="1" outlineLevel="2">
      <c r="A1403" s="155"/>
      <c r="B1403" s="156"/>
      <c r="C1403" s="190"/>
      <c r="D1403" s="191"/>
      <c r="E1403" s="176"/>
      <c r="F1403" s="177"/>
      <c r="G1403" s="192"/>
      <c r="H1403" s="179"/>
      <c r="I1403" s="283" t="e">
        <f>IF(#REF!="",#REF!*#REF!,IF(#REF!=0,#REF!*#REF!,#REF!*#REF!*#REF!))</f>
        <v>#REF!</v>
      </c>
      <c r="J1403" s="180" t="e">
        <f>#REF!*#REF!</f>
        <v>#REF!</v>
      </c>
      <c r="K1403" s="178" t="e">
        <f>#REF!*mo</f>
        <v>#REF!</v>
      </c>
      <c r="L1403" s="178" t="e">
        <f t="shared" si="164"/>
        <v>#REF!</v>
      </c>
      <c r="M1403" s="178" t="e">
        <f>#REF!*#REF!</f>
        <v>#REF!</v>
      </c>
      <c r="N1403" s="178" t="e">
        <f>#REF!+K1403+#REF!</f>
        <v>#REF!</v>
      </c>
      <c r="O1403" s="181" t="e">
        <f t="shared" si="165"/>
        <v>#REF!</v>
      </c>
    </row>
    <row r="1404" spans="1:15" s="193" customFormat="1" outlineLevel="2">
      <c r="A1404" s="155"/>
      <c r="B1404" s="233" t="s">
        <v>1014</v>
      </c>
      <c r="C1404" s="190"/>
      <c r="D1404" s="191"/>
      <c r="E1404" s="176"/>
      <c r="F1404" s="177"/>
      <c r="G1404" s="192"/>
      <c r="H1404" s="179"/>
      <c r="I1404" s="283" t="e">
        <f>IF(#REF!="",#REF!*#REF!,IF(#REF!=0,#REF!*#REF!,#REF!*#REF!*#REF!))</f>
        <v>#REF!</v>
      </c>
      <c r="J1404" s="180" t="e">
        <f>#REF!*#REF!</f>
        <v>#REF!</v>
      </c>
      <c r="K1404" s="178" t="e">
        <f>#REF!*mo</f>
        <v>#REF!</v>
      </c>
      <c r="L1404" s="178" t="e">
        <f t="shared" si="164"/>
        <v>#REF!</v>
      </c>
      <c r="M1404" s="178" t="e">
        <f>#REF!*#REF!</f>
        <v>#REF!</v>
      </c>
      <c r="N1404" s="178" t="e">
        <f>#REF!+K1404+#REF!</f>
        <v>#REF!</v>
      </c>
      <c r="O1404" s="181" t="e">
        <f t="shared" si="165"/>
        <v>#REF!</v>
      </c>
    </row>
    <row r="1405" spans="1:15" s="193" customFormat="1" outlineLevel="2">
      <c r="A1405" s="155"/>
      <c r="B1405" s="212" t="s">
        <v>875</v>
      </c>
      <c r="C1405" s="190" t="s">
        <v>93</v>
      </c>
      <c r="D1405" s="191"/>
      <c r="E1405" s="176"/>
      <c r="F1405" s="177"/>
      <c r="G1405" s="192"/>
      <c r="H1405" s="179"/>
      <c r="I1405" s="283" t="e">
        <f>IF(#REF!="",#REF!*#REF!,IF(#REF!=0,#REF!*#REF!,#REF!*#REF!*#REF!))</f>
        <v>#REF!</v>
      </c>
      <c r="J1405" s="180" t="e">
        <f>#REF!*#REF!</f>
        <v>#REF!</v>
      </c>
      <c r="K1405" s="178" t="e">
        <f>#REF!*mo</f>
        <v>#REF!</v>
      </c>
      <c r="L1405" s="178" t="e">
        <f t="shared" si="164"/>
        <v>#REF!</v>
      </c>
      <c r="M1405" s="178" t="e">
        <f>#REF!*#REF!</f>
        <v>#REF!</v>
      </c>
      <c r="N1405" s="178" t="e">
        <f>#REF!+K1405+#REF!</f>
        <v>#REF!</v>
      </c>
      <c r="O1405" s="181" t="e">
        <f t="shared" si="165"/>
        <v>#REF!</v>
      </c>
    </row>
    <row r="1406" spans="1:15" s="193" customFormat="1" outlineLevel="2">
      <c r="A1406" s="155"/>
      <c r="B1406" s="212" t="s">
        <v>876</v>
      </c>
      <c r="C1406" s="190" t="s">
        <v>93</v>
      </c>
      <c r="D1406" s="191"/>
      <c r="E1406" s="176"/>
      <c r="F1406" s="177"/>
      <c r="G1406" s="192"/>
      <c r="H1406" s="179"/>
      <c r="I1406" s="283" t="e">
        <f>IF(#REF!="",#REF!*#REF!,IF(#REF!=0,#REF!*#REF!,#REF!*#REF!*#REF!))</f>
        <v>#REF!</v>
      </c>
      <c r="J1406" s="180" t="e">
        <f>#REF!*#REF!</f>
        <v>#REF!</v>
      </c>
      <c r="K1406" s="178" t="e">
        <f>#REF!*mo</f>
        <v>#REF!</v>
      </c>
      <c r="L1406" s="178" t="e">
        <f t="shared" si="164"/>
        <v>#REF!</v>
      </c>
      <c r="M1406" s="178" t="e">
        <f>#REF!*#REF!</f>
        <v>#REF!</v>
      </c>
      <c r="N1406" s="178" t="e">
        <f>#REF!+K1406+#REF!</f>
        <v>#REF!</v>
      </c>
      <c r="O1406" s="181" t="e">
        <f t="shared" si="165"/>
        <v>#REF!</v>
      </c>
    </row>
    <row r="1407" spans="1:15" s="193" customFormat="1" outlineLevel="2">
      <c r="A1407" s="155"/>
      <c r="B1407" s="212" t="s">
        <v>877</v>
      </c>
      <c r="C1407" s="190" t="s">
        <v>93</v>
      </c>
      <c r="D1407" s="191"/>
      <c r="E1407" s="176"/>
      <c r="F1407" s="177"/>
      <c r="G1407" s="192"/>
      <c r="H1407" s="179"/>
      <c r="I1407" s="283" t="e">
        <f>IF(#REF!="",#REF!*#REF!,IF(#REF!=0,#REF!*#REF!,#REF!*#REF!*#REF!))</f>
        <v>#REF!</v>
      </c>
      <c r="J1407" s="180" t="e">
        <f>#REF!*#REF!</f>
        <v>#REF!</v>
      </c>
      <c r="K1407" s="178" t="e">
        <f>#REF!*mo</f>
        <v>#REF!</v>
      </c>
      <c r="L1407" s="178" t="e">
        <f t="shared" ref="L1407:L1416" si="175">J1407*mo</f>
        <v>#REF!</v>
      </c>
      <c r="M1407" s="178" t="e">
        <f>#REF!*#REF!</f>
        <v>#REF!</v>
      </c>
      <c r="N1407" s="178" t="e">
        <f>#REF!+K1407+#REF!</f>
        <v>#REF!</v>
      </c>
      <c r="O1407" s="181" t="e">
        <f t="shared" ref="O1407:O1416" si="176">M1407+L1407+I1407</f>
        <v>#REF!</v>
      </c>
    </row>
    <row r="1408" spans="1:15" s="193" customFormat="1" outlineLevel="2">
      <c r="A1408" s="155"/>
      <c r="B1408" s="212" t="s">
        <v>878</v>
      </c>
      <c r="C1408" s="190" t="s">
        <v>93</v>
      </c>
      <c r="D1408" s="191"/>
      <c r="E1408" s="176"/>
      <c r="F1408" s="177"/>
      <c r="G1408" s="192"/>
      <c r="H1408" s="179"/>
      <c r="I1408" s="283" t="e">
        <f>IF(#REF!="",#REF!*#REF!,IF(#REF!=0,#REF!*#REF!,#REF!*#REF!*#REF!))</f>
        <v>#REF!</v>
      </c>
      <c r="J1408" s="180" t="e">
        <f>#REF!*#REF!</f>
        <v>#REF!</v>
      </c>
      <c r="K1408" s="178" t="e">
        <f>#REF!*mo</f>
        <v>#REF!</v>
      </c>
      <c r="L1408" s="178" t="e">
        <f t="shared" si="175"/>
        <v>#REF!</v>
      </c>
      <c r="M1408" s="178" t="e">
        <f>#REF!*#REF!</f>
        <v>#REF!</v>
      </c>
      <c r="N1408" s="178" t="e">
        <f>#REF!+K1408+#REF!</f>
        <v>#REF!</v>
      </c>
      <c r="O1408" s="181" t="e">
        <f t="shared" si="176"/>
        <v>#REF!</v>
      </c>
    </row>
    <row r="1409" spans="1:15" s="193" customFormat="1" outlineLevel="2">
      <c r="A1409" s="155"/>
      <c r="B1409" s="212" t="s">
        <v>879</v>
      </c>
      <c r="C1409" s="190" t="s">
        <v>93</v>
      </c>
      <c r="D1409" s="191"/>
      <c r="E1409" s="176"/>
      <c r="F1409" s="177"/>
      <c r="G1409" s="192"/>
      <c r="H1409" s="179"/>
      <c r="I1409" s="283" t="e">
        <f>IF(#REF!="",#REF!*#REF!,IF(#REF!=0,#REF!*#REF!,#REF!*#REF!*#REF!))</f>
        <v>#REF!</v>
      </c>
      <c r="J1409" s="180" t="e">
        <f>#REF!*#REF!</f>
        <v>#REF!</v>
      </c>
      <c r="K1409" s="178" t="e">
        <f>#REF!*mo</f>
        <v>#REF!</v>
      </c>
      <c r="L1409" s="178" t="e">
        <f t="shared" si="175"/>
        <v>#REF!</v>
      </c>
      <c r="M1409" s="178" t="e">
        <f>#REF!*#REF!</f>
        <v>#REF!</v>
      </c>
      <c r="N1409" s="178" t="e">
        <f>#REF!+K1409+#REF!</f>
        <v>#REF!</v>
      </c>
      <c r="O1409" s="181" t="e">
        <f t="shared" si="176"/>
        <v>#REF!</v>
      </c>
    </row>
    <row r="1410" spans="1:15" s="193" customFormat="1" outlineLevel="2">
      <c r="A1410" s="155"/>
      <c r="B1410" s="156"/>
      <c r="C1410" s="190"/>
      <c r="D1410" s="191"/>
      <c r="E1410" s="176"/>
      <c r="F1410" s="177"/>
      <c r="G1410" s="192"/>
      <c r="H1410" s="179"/>
      <c r="I1410" s="283" t="e">
        <f>IF(#REF!="",#REF!*#REF!,IF(#REF!=0,#REF!*#REF!,#REF!*#REF!*#REF!))</f>
        <v>#REF!</v>
      </c>
      <c r="J1410" s="180" t="e">
        <f>#REF!*#REF!</f>
        <v>#REF!</v>
      </c>
      <c r="K1410" s="178" t="e">
        <f>#REF!*mo</f>
        <v>#REF!</v>
      </c>
      <c r="L1410" s="178" t="e">
        <f t="shared" si="175"/>
        <v>#REF!</v>
      </c>
      <c r="M1410" s="178" t="e">
        <f>#REF!*#REF!</f>
        <v>#REF!</v>
      </c>
      <c r="N1410" s="178" t="e">
        <f>#REF!+K1410+#REF!</f>
        <v>#REF!</v>
      </c>
      <c r="O1410" s="181" t="e">
        <f t="shared" si="176"/>
        <v>#REF!</v>
      </c>
    </row>
    <row r="1411" spans="1:15" s="209" customFormat="1" outlineLevel="1">
      <c r="A1411" s="157" t="str">
        <f>$A$515&amp;".2"</f>
        <v>.2</v>
      </c>
      <c r="B1411" s="158" t="s">
        <v>1015</v>
      </c>
      <c r="C1411" s="195"/>
      <c r="D1411" s="170"/>
      <c r="E1411" s="176"/>
      <c r="F1411" s="177"/>
      <c r="G1411" s="192">
        <f>SUM(F1412:F1416)</f>
        <v>0</v>
      </c>
      <c r="H1411" s="179"/>
      <c r="I1411" s="283" t="e">
        <f>IF(#REF!="",#REF!*#REF!,IF(#REF!=0,#REF!*#REF!,#REF!*#REF!*#REF!))</f>
        <v>#REF!</v>
      </c>
      <c r="J1411" s="180" t="e">
        <f>#REF!*#REF!</f>
        <v>#REF!</v>
      </c>
      <c r="K1411" s="178" t="e">
        <f>#REF!*mo</f>
        <v>#REF!</v>
      </c>
      <c r="L1411" s="178" t="e">
        <f t="shared" si="175"/>
        <v>#REF!</v>
      </c>
      <c r="M1411" s="178" t="e">
        <f>#REF!*#REF!</f>
        <v>#REF!</v>
      </c>
      <c r="N1411" s="178" t="e">
        <f>#REF!+K1411+#REF!</f>
        <v>#REF!</v>
      </c>
      <c r="O1411" s="181" t="e">
        <f t="shared" si="176"/>
        <v>#REF!</v>
      </c>
    </row>
    <row r="1412" spans="1:15" s="193" customFormat="1" outlineLevel="2">
      <c r="A1412" s="155"/>
      <c r="B1412" s="156"/>
      <c r="C1412" s="190"/>
      <c r="D1412" s="191"/>
      <c r="E1412" s="176"/>
      <c r="F1412" s="177"/>
      <c r="G1412" s="192"/>
      <c r="H1412" s="179"/>
      <c r="I1412" s="283" t="e">
        <f>IF(#REF!="",#REF!*#REF!,IF(#REF!=0,#REF!*#REF!,#REF!*#REF!*#REF!))</f>
        <v>#REF!</v>
      </c>
      <c r="J1412" s="180" t="e">
        <f>#REF!*#REF!</f>
        <v>#REF!</v>
      </c>
      <c r="K1412" s="178" t="e">
        <f>#REF!*mo</f>
        <v>#REF!</v>
      </c>
      <c r="L1412" s="178" t="e">
        <f t="shared" si="175"/>
        <v>#REF!</v>
      </c>
      <c r="M1412" s="178" t="e">
        <f>#REF!*#REF!</f>
        <v>#REF!</v>
      </c>
      <c r="N1412" s="178" t="e">
        <f>#REF!+K1412+#REF!</f>
        <v>#REF!</v>
      </c>
      <c r="O1412" s="181" t="e">
        <f t="shared" si="176"/>
        <v>#REF!</v>
      </c>
    </row>
    <row r="1413" spans="1:15" s="193" customFormat="1" outlineLevel="2">
      <c r="A1413" s="155"/>
      <c r="B1413" s="236" t="s">
        <v>1016</v>
      </c>
      <c r="C1413" s="190" t="s">
        <v>93</v>
      </c>
      <c r="D1413" s="191"/>
      <c r="E1413" s="176"/>
      <c r="F1413" s="177"/>
      <c r="G1413" s="192"/>
      <c r="H1413" s="179"/>
      <c r="I1413" s="283" t="e">
        <f>IF(#REF!="",#REF!*#REF!,IF(#REF!=0,#REF!*#REF!,#REF!*#REF!*#REF!))</f>
        <v>#REF!</v>
      </c>
      <c r="J1413" s="180" t="e">
        <f>#REF!*#REF!</f>
        <v>#REF!</v>
      </c>
      <c r="K1413" s="178" t="e">
        <f>#REF!*mo</f>
        <v>#REF!</v>
      </c>
      <c r="L1413" s="178" t="e">
        <f t="shared" si="175"/>
        <v>#REF!</v>
      </c>
      <c r="M1413" s="178" t="e">
        <f>#REF!*#REF!</f>
        <v>#REF!</v>
      </c>
      <c r="N1413" s="178" t="e">
        <f>#REF!+K1413+#REF!</f>
        <v>#REF!</v>
      </c>
      <c r="O1413" s="181" t="e">
        <f t="shared" si="176"/>
        <v>#REF!</v>
      </c>
    </row>
    <row r="1414" spans="1:15" s="193" customFormat="1" outlineLevel="2">
      <c r="A1414" s="155"/>
      <c r="B1414" s="236" t="s">
        <v>1017</v>
      </c>
      <c r="C1414" s="190" t="s">
        <v>93</v>
      </c>
      <c r="D1414" s="191"/>
      <c r="E1414" s="176"/>
      <c r="F1414" s="177"/>
      <c r="G1414" s="192"/>
      <c r="H1414" s="179"/>
      <c r="I1414" s="283" t="e">
        <f>IF(#REF!="",#REF!*#REF!,IF(#REF!=0,#REF!*#REF!,#REF!*#REF!*#REF!))</f>
        <v>#REF!</v>
      </c>
      <c r="J1414" s="180" t="e">
        <f>#REF!*#REF!</f>
        <v>#REF!</v>
      </c>
      <c r="K1414" s="178" t="e">
        <f>#REF!*mo</f>
        <v>#REF!</v>
      </c>
      <c r="L1414" s="178" t="e">
        <f t="shared" si="175"/>
        <v>#REF!</v>
      </c>
      <c r="M1414" s="178" t="e">
        <f>#REF!*#REF!</f>
        <v>#REF!</v>
      </c>
      <c r="N1414" s="178" t="e">
        <f>#REF!+K1414+#REF!</f>
        <v>#REF!</v>
      </c>
      <c r="O1414" s="181" t="e">
        <f t="shared" si="176"/>
        <v>#REF!</v>
      </c>
    </row>
    <row r="1415" spans="1:15" s="193" customFormat="1" outlineLevel="1">
      <c r="A1415" s="155"/>
      <c r="B1415" s="198" t="str">
        <f>"Total "&amp;B1401</f>
        <v>Total ATTENTES ET POINTS DE PUISAGE</v>
      </c>
      <c r="C1415" s="190"/>
      <c r="D1415" s="191"/>
      <c r="E1415" s="176"/>
      <c r="F1415" s="177"/>
      <c r="G1415" s="192"/>
      <c r="H1415" s="179">
        <f>SUM(G1402:G1416)</f>
        <v>0</v>
      </c>
      <c r="I1415" s="283" t="e">
        <f>IF(#REF!="",#REF!*#REF!,IF(#REF!=0,#REF!*#REF!,#REF!*#REF!*#REF!))</f>
        <v>#REF!</v>
      </c>
      <c r="J1415" s="180" t="e">
        <f>#REF!*#REF!</f>
        <v>#REF!</v>
      </c>
      <c r="K1415" s="178" t="e">
        <f>#REF!*mo</f>
        <v>#REF!</v>
      </c>
      <c r="L1415" s="178" t="e">
        <f t="shared" si="175"/>
        <v>#REF!</v>
      </c>
      <c r="M1415" s="178" t="e">
        <f>#REF!*#REF!</f>
        <v>#REF!</v>
      </c>
      <c r="N1415" s="178" t="e">
        <f>#REF!+K1415+#REF!</f>
        <v>#REF!</v>
      </c>
      <c r="O1415" s="181" t="e">
        <f t="shared" si="176"/>
        <v>#REF!</v>
      </c>
    </row>
    <row r="1416" spans="1:15" s="193" customFormat="1" outlineLevel="1">
      <c r="A1416" s="155"/>
      <c r="B1416" s="156"/>
      <c r="C1416" s="190"/>
      <c r="D1416" s="191"/>
      <c r="E1416" s="176"/>
      <c r="F1416" s="177"/>
      <c r="G1416" s="192"/>
      <c r="H1416" s="179"/>
      <c r="I1416" s="283" t="e">
        <f>IF(#REF!="",#REF!*#REF!,IF(#REF!=0,#REF!*#REF!,#REF!*#REF!*#REF!))</f>
        <v>#REF!</v>
      </c>
      <c r="J1416" s="180" t="e">
        <f>#REF!*#REF!</f>
        <v>#REF!</v>
      </c>
      <c r="K1416" s="178" t="e">
        <f>#REF!*mo</f>
        <v>#REF!</v>
      </c>
      <c r="L1416" s="178" t="e">
        <f t="shared" si="175"/>
        <v>#REF!</v>
      </c>
      <c r="M1416" s="178" t="e">
        <f>#REF!*#REF!</f>
        <v>#REF!</v>
      </c>
      <c r="N1416" s="178" t="e">
        <f>#REF!+K1416+#REF!</f>
        <v>#REF!</v>
      </c>
      <c r="O1416" s="181" t="e">
        <f t="shared" si="176"/>
        <v>#REF!</v>
      </c>
    </row>
    <row r="1417" spans="1:15" s="194" customFormat="1" ht="12.6">
      <c r="A1417" s="153">
        <v>6</v>
      </c>
      <c r="B1417" s="154" t="s">
        <v>1018</v>
      </c>
      <c r="C1417" s="182"/>
      <c r="D1417" s="183"/>
      <c r="E1417" s="184"/>
      <c r="F1417" s="185"/>
      <c r="G1417" s="186"/>
      <c r="H1417" s="187">
        <f>SUM(H1418:H1491)</f>
        <v>0</v>
      </c>
      <c r="I1417" s="282" t="e">
        <f>IF(#REF!="",#REF!*#REF!,IF(#REF!=0,#REF!*#REF!,#REF!*#REF!*#REF!))</f>
        <v>#REF!</v>
      </c>
      <c r="J1417" s="188"/>
      <c r="K1417" s="186"/>
      <c r="L1417" s="186"/>
      <c r="M1417" s="186"/>
      <c r="N1417" s="186"/>
      <c r="O1417" s="187"/>
    </row>
    <row r="1418" spans="1:15" s="193" customFormat="1" outlineLevel="1">
      <c r="A1418" s="155"/>
      <c r="B1418" s="156"/>
      <c r="C1418" s="190"/>
      <c r="D1418" s="191"/>
      <c r="E1418" s="176"/>
      <c r="F1418" s="177"/>
      <c r="G1418" s="192"/>
      <c r="H1418" s="179"/>
      <c r="I1418" s="283" t="e">
        <f>IF(#REF!="",#REF!*#REF!,IF(#REF!=0,#REF!*#REF!,#REF!*#REF!*#REF!))</f>
        <v>#REF!</v>
      </c>
      <c r="J1418" s="180" t="e">
        <f>#REF!*#REF!</f>
        <v>#REF!</v>
      </c>
      <c r="K1418" s="178" t="e">
        <f>#REF!*mo</f>
        <v>#REF!</v>
      </c>
      <c r="L1418" s="178" t="e">
        <f>J1418*mo</f>
        <v>#REF!</v>
      </c>
      <c r="M1418" s="178" t="e">
        <f>#REF!*#REF!</f>
        <v>#REF!</v>
      </c>
      <c r="N1418" s="178" t="e">
        <f>#REF!+K1418+#REF!</f>
        <v>#REF!</v>
      </c>
      <c r="O1418" s="181" t="e">
        <f>M1418+L1418+I1418</f>
        <v>#REF!</v>
      </c>
    </row>
    <row r="1419" spans="1:15" s="193" customFormat="1" outlineLevel="1">
      <c r="A1419" s="155"/>
      <c r="B1419" s="198"/>
      <c r="C1419" s="190"/>
      <c r="D1419" s="191"/>
      <c r="E1419" s="176"/>
      <c r="F1419" s="177"/>
      <c r="G1419" s="192"/>
      <c r="H1419" s="235"/>
      <c r="I1419" s="283" t="e">
        <f>IF(#REF!="",#REF!*#REF!,IF(#REF!=0,#REF!*#REF!,#REF!*#REF!*#REF!))</f>
        <v>#REF!</v>
      </c>
      <c r="J1419" s="180" t="e">
        <f>#REF!*#REF!</f>
        <v>#REF!</v>
      </c>
      <c r="K1419" s="178" t="e">
        <f>#REF!*mo</f>
        <v>#REF!</v>
      </c>
      <c r="L1419" s="178" t="e">
        <f t="shared" ref="L1419" si="177">J1419*mo</f>
        <v>#REF!</v>
      </c>
      <c r="M1419" s="178" t="e">
        <f>#REF!*#REF!</f>
        <v>#REF!</v>
      </c>
      <c r="N1419" s="178" t="e">
        <f>#REF!+K1419+#REF!</f>
        <v>#REF!</v>
      </c>
      <c r="O1419" s="181" t="e">
        <f t="shared" ref="O1419:O1466" si="178">M1419+L1419+I1419</f>
        <v>#REF!</v>
      </c>
    </row>
    <row r="1420" spans="1:15" s="209" customFormat="1" outlineLevel="1">
      <c r="A1420" s="157" t="str">
        <f>$A$531&amp;".1"</f>
        <v>.1</v>
      </c>
      <c r="B1420" s="158" t="s">
        <v>1019</v>
      </c>
      <c r="C1420" s="195"/>
      <c r="D1420" s="170"/>
      <c r="E1420" s="176"/>
      <c r="F1420" s="177"/>
      <c r="G1420" s="192"/>
      <c r="H1420" s="196"/>
      <c r="I1420" s="283" t="e">
        <f>IF(#REF!="",#REF!*#REF!,IF(#REF!=0,#REF!*#REF!,#REF!*#REF!*#REF!))</f>
        <v>#REF!</v>
      </c>
      <c r="J1420" s="180" t="e">
        <f>#REF!*#REF!</f>
        <v>#REF!</v>
      </c>
      <c r="K1420" s="178" t="e">
        <f>#REF!*mo</f>
        <v>#REF!</v>
      </c>
      <c r="L1420" s="178" t="e">
        <f t="shared" ref="L1420" si="179">J1420*mo</f>
        <v>#REF!</v>
      </c>
      <c r="M1420" s="178" t="e">
        <f>#REF!*#REF!</f>
        <v>#REF!</v>
      </c>
      <c r="N1420" s="178" t="e">
        <f>#REF!+K1420+#REF!</f>
        <v>#REF!</v>
      </c>
      <c r="O1420" s="181" t="e">
        <f t="shared" si="178"/>
        <v>#REF!</v>
      </c>
    </row>
    <row r="1421" spans="1:15" s="209" customFormat="1" outlineLevel="1">
      <c r="A1421" s="157" t="str">
        <f>$A$534&amp;".1"</f>
        <v>.1</v>
      </c>
      <c r="B1421" s="158" t="s">
        <v>1020</v>
      </c>
      <c r="C1421" s="195"/>
      <c r="D1421" s="170"/>
      <c r="E1421" s="176"/>
      <c r="F1421" s="177"/>
      <c r="G1421" s="192">
        <f>SUM(F1423:F1475)</f>
        <v>0</v>
      </c>
      <c r="H1421" s="179"/>
      <c r="I1421" s="283" t="e">
        <f>IF(#REF!="",#REF!*#REF!,IF(#REF!=0,#REF!*#REF!,#REF!*#REF!*#REF!))</f>
        <v>#REF!</v>
      </c>
      <c r="J1421" s="180" t="e">
        <f>#REF!*#REF!</f>
        <v>#REF!</v>
      </c>
      <c r="K1421" s="178" t="e">
        <f>#REF!*mo</f>
        <v>#REF!</v>
      </c>
      <c r="L1421" s="178" t="e">
        <f t="shared" ref="L1421:L1466" si="180">J1421*mo</f>
        <v>#REF!</v>
      </c>
      <c r="M1421" s="178" t="e">
        <f>#REF!*#REF!</f>
        <v>#REF!</v>
      </c>
      <c r="N1421" s="178" t="e">
        <f>#REF!+K1421+#REF!</f>
        <v>#REF!</v>
      </c>
      <c r="O1421" s="181" t="e">
        <f t="shared" si="178"/>
        <v>#REF!</v>
      </c>
    </row>
    <row r="1422" spans="1:15" s="209" customFormat="1" outlineLevel="2">
      <c r="A1422" s="157"/>
      <c r="B1422" s="158"/>
      <c r="C1422" s="195"/>
      <c r="D1422" s="170"/>
      <c r="E1422" s="176"/>
      <c r="F1422" s="177"/>
      <c r="G1422" s="192"/>
      <c r="H1422" s="179"/>
      <c r="I1422" s="283"/>
      <c r="J1422" s="180"/>
      <c r="K1422" s="178"/>
      <c r="L1422" s="178"/>
      <c r="M1422" s="178"/>
      <c r="N1422" s="178"/>
      <c r="O1422" s="181"/>
    </row>
    <row r="1423" spans="1:15" s="193" customFormat="1" outlineLevel="2">
      <c r="A1423" s="238"/>
      <c r="B1423" s="236" t="s">
        <v>1021</v>
      </c>
      <c r="C1423" s="190"/>
      <c r="D1423" s="191"/>
      <c r="E1423" s="176"/>
      <c r="F1423" s="177"/>
      <c r="G1423" s="192"/>
      <c r="H1423" s="179"/>
      <c r="I1423" s="283" t="e">
        <f>IF(#REF!="",#REF!*#REF!,IF(#REF!=0,#REF!*#REF!,#REF!*#REF!*#REF!))</f>
        <v>#REF!</v>
      </c>
      <c r="J1423" s="180" t="e">
        <f>#REF!*#REF!</f>
        <v>#REF!</v>
      </c>
      <c r="K1423" s="178" t="e">
        <f>#REF!*mo</f>
        <v>#REF!</v>
      </c>
      <c r="L1423" s="178" t="e">
        <f t="shared" ref="L1423:L1429" si="181">J1423*mo</f>
        <v>#REF!</v>
      </c>
      <c r="M1423" s="178" t="e">
        <f>#REF!*#REF!</f>
        <v>#REF!</v>
      </c>
      <c r="N1423" s="178" t="e">
        <f>#REF!+K1423+#REF!</f>
        <v>#REF!</v>
      </c>
      <c r="O1423" s="181" t="e">
        <f t="shared" ref="O1423:O1429" si="182">M1423+L1423+I1423</f>
        <v>#REF!</v>
      </c>
    </row>
    <row r="1424" spans="1:15" s="193" customFormat="1" outlineLevel="2">
      <c r="A1424" s="238"/>
      <c r="B1424" s="212" t="s">
        <v>996</v>
      </c>
      <c r="C1424" s="190" t="s">
        <v>123</v>
      </c>
      <c r="D1424" s="191"/>
      <c r="E1424" s="176"/>
      <c r="F1424" s="177"/>
      <c r="G1424" s="192"/>
      <c r="H1424" s="179"/>
      <c r="I1424" s="283" t="e">
        <f>IF(#REF!="",#REF!*#REF!,IF(#REF!=0,#REF!*#REF!,#REF!*#REF!*#REF!))</f>
        <v>#REF!</v>
      </c>
      <c r="J1424" s="180" t="e">
        <f>#REF!*#REF!</f>
        <v>#REF!</v>
      </c>
      <c r="K1424" s="178" t="e">
        <f>#REF!*mo</f>
        <v>#REF!</v>
      </c>
      <c r="L1424" s="178" t="e">
        <f t="shared" si="181"/>
        <v>#REF!</v>
      </c>
      <c r="M1424" s="178" t="e">
        <f>#REF!*#REF!</f>
        <v>#REF!</v>
      </c>
      <c r="N1424" s="178" t="e">
        <f>#REF!+K1424+#REF!</f>
        <v>#REF!</v>
      </c>
      <c r="O1424" s="181" t="e">
        <f t="shared" si="182"/>
        <v>#REF!</v>
      </c>
    </row>
    <row r="1425" spans="1:15" s="193" customFormat="1" outlineLevel="2">
      <c r="A1425" s="238"/>
      <c r="B1425" s="212" t="s">
        <v>997</v>
      </c>
      <c r="C1425" s="190" t="s">
        <v>123</v>
      </c>
      <c r="D1425" s="191"/>
      <c r="E1425" s="176"/>
      <c r="F1425" s="177"/>
      <c r="G1425" s="192"/>
      <c r="H1425" s="179"/>
      <c r="I1425" s="283" t="e">
        <f>IF(#REF!="",#REF!*#REF!,IF(#REF!=0,#REF!*#REF!,#REF!*#REF!*#REF!))</f>
        <v>#REF!</v>
      </c>
      <c r="J1425" s="180" t="e">
        <f>#REF!*#REF!</f>
        <v>#REF!</v>
      </c>
      <c r="K1425" s="178" t="e">
        <f>#REF!*mo</f>
        <v>#REF!</v>
      </c>
      <c r="L1425" s="178" t="e">
        <f t="shared" si="181"/>
        <v>#REF!</v>
      </c>
      <c r="M1425" s="178" t="e">
        <f>#REF!*#REF!</f>
        <v>#REF!</v>
      </c>
      <c r="N1425" s="178" t="e">
        <f>#REF!+K1425+#REF!</f>
        <v>#REF!</v>
      </c>
      <c r="O1425" s="181" t="e">
        <f t="shared" si="182"/>
        <v>#REF!</v>
      </c>
    </row>
    <row r="1426" spans="1:15" s="193" customFormat="1" outlineLevel="2">
      <c r="A1426" s="238"/>
      <c r="B1426" s="212" t="s">
        <v>998</v>
      </c>
      <c r="C1426" s="190" t="s">
        <v>123</v>
      </c>
      <c r="D1426" s="191"/>
      <c r="E1426" s="176"/>
      <c r="F1426" s="177"/>
      <c r="G1426" s="192"/>
      <c r="H1426" s="179"/>
      <c r="I1426" s="283" t="e">
        <f>IF(#REF!="",#REF!*#REF!,IF(#REF!=0,#REF!*#REF!,#REF!*#REF!*#REF!))</f>
        <v>#REF!</v>
      </c>
      <c r="J1426" s="180" t="e">
        <f>#REF!*#REF!</f>
        <v>#REF!</v>
      </c>
      <c r="K1426" s="178" t="e">
        <f>#REF!*mo</f>
        <v>#REF!</v>
      </c>
      <c r="L1426" s="178" t="e">
        <f t="shared" si="181"/>
        <v>#REF!</v>
      </c>
      <c r="M1426" s="178" t="e">
        <f>#REF!*#REF!</f>
        <v>#REF!</v>
      </c>
      <c r="N1426" s="178" t="e">
        <f>#REF!+K1426+#REF!</f>
        <v>#REF!</v>
      </c>
      <c r="O1426" s="181" t="e">
        <f t="shared" si="182"/>
        <v>#REF!</v>
      </c>
    </row>
    <row r="1427" spans="1:15" s="193" customFormat="1" outlineLevel="2">
      <c r="A1427" s="238"/>
      <c r="B1427" s="212" t="s">
        <v>999</v>
      </c>
      <c r="C1427" s="190" t="s">
        <v>123</v>
      </c>
      <c r="D1427" s="191"/>
      <c r="E1427" s="176"/>
      <c r="F1427" s="177"/>
      <c r="G1427" s="192"/>
      <c r="H1427" s="179"/>
      <c r="I1427" s="283" t="e">
        <f>IF(#REF!="",#REF!*#REF!,IF(#REF!=0,#REF!*#REF!,#REF!*#REF!*#REF!))</f>
        <v>#REF!</v>
      </c>
      <c r="J1427" s="180" t="e">
        <f>#REF!*#REF!</f>
        <v>#REF!</v>
      </c>
      <c r="K1427" s="178" t="e">
        <f>#REF!*mo</f>
        <v>#REF!</v>
      </c>
      <c r="L1427" s="178" t="e">
        <f t="shared" si="181"/>
        <v>#REF!</v>
      </c>
      <c r="M1427" s="178" t="e">
        <f>#REF!*#REF!</f>
        <v>#REF!</v>
      </c>
      <c r="N1427" s="178" t="e">
        <f>#REF!+K1427+#REF!</f>
        <v>#REF!</v>
      </c>
      <c r="O1427" s="181" t="e">
        <f t="shared" si="182"/>
        <v>#REF!</v>
      </c>
    </row>
    <row r="1428" spans="1:15" s="193" customFormat="1" outlineLevel="2">
      <c r="A1428" s="238"/>
      <c r="B1428" s="212" t="s">
        <v>894</v>
      </c>
      <c r="C1428" s="190" t="s">
        <v>123</v>
      </c>
      <c r="D1428" s="191"/>
      <c r="E1428" s="176"/>
      <c r="F1428" s="177"/>
      <c r="G1428" s="192"/>
      <c r="H1428" s="179"/>
      <c r="I1428" s="283" t="e">
        <f>IF(#REF!="",#REF!*#REF!,IF(#REF!=0,#REF!*#REF!,#REF!*#REF!*#REF!))</f>
        <v>#REF!</v>
      </c>
      <c r="J1428" s="180" t="e">
        <f>#REF!*#REF!</f>
        <v>#REF!</v>
      </c>
      <c r="K1428" s="178" t="e">
        <f>#REF!*mo</f>
        <v>#REF!</v>
      </c>
      <c r="L1428" s="178" t="e">
        <f t="shared" si="181"/>
        <v>#REF!</v>
      </c>
      <c r="M1428" s="178" t="e">
        <f>#REF!*#REF!</f>
        <v>#REF!</v>
      </c>
      <c r="N1428" s="178" t="e">
        <f>#REF!+K1428+#REF!</f>
        <v>#REF!</v>
      </c>
      <c r="O1428" s="181" t="e">
        <f t="shared" si="182"/>
        <v>#REF!</v>
      </c>
    </row>
    <row r="1429" spans="1:15" s="193" customFormat="1" outlineLevel="2">
      <c r="A1429" s="238"/>
      <c r="B1429" s="212" t="s">
        <v>1000</v>
      </c>
      <c r="C1429" s="190" t="s">
        <v>123</v>
      </c>
      <c r="D1429" s="191"/>
      <c r="E1429" s="176"/>
      <c r="F1429" s="177"/>
      <c r="G1429" s="192"/>
      <c r="H1429" s="179"/>
      <c r="I1429" s="283" t="e">
        <f>IF(#REF!="",#REF!*#REF!,IF(#REF!=0,#REF!*#REF!,#REF!*#REF!*#REF!))</f>
        <v>#REF!</v>
      </c>
      <c r="J1429" s="180" t="e">
        <f>#REF!*#REF!</f>
        <v>#REF!</v>
      </c>
      <c r="K1429" s="178" t="e">
        <f>#REF!*mo</f>
        <v>#REF!</v>
      </c>
      <c r="L1429" s="178" t="e">
        <f t="shared" si="181"/>
        <v>#REF!</v>
      </c>
      <c r="M1429" s="178" t="e">
        <f>#REF!*#REF!</f>
        <v>#REF!</v>
      </c>
      <c r="N1429" s="178" t="e">
        <f>#REF!+K1429+#REF!</f>
        <v>#REF!</v>
      </c>
      <c r="O1429" s="181" t="e">
        <f t="shared" si="182"/>
        <v>#REF!</v>
      </c>
    </row>
    <row r="1430" spans="1:15" s="193" customFormat="1" outlineLevel="2">
      <c r="A1430" s="155"/>
      <c r="B1430" s="156"/>
      <c r="C1430" s="190"/>
      <c r="D1430" s="191"/>
      <c r="E1430" s="176"/>
      <c r="F1430" s="177"/>
      <c r="G1430" s="192"/>
      <c r="H1430" s="179"/>
      <c r="I1430" s="283" t="e">
        <f>IF(#REF!="",#REF!*#REF!,IF(#REF!=0,#REF!*#REF!,#REF!*#REF!*#REF!))</f>
        <v>#REF!</v>
      </c>
      <c r="J1430" s="180" t="e">
        <f>#REF!*#REF!</f>
        <v>#REF!</v>
      </c>
      <c r="K1430" s="178" t="e">
        <f>#REF!*mo</f>
        <v>#REF!</v>
      </c>
      <c r="L1430" s="178" t="e">
        <f t="shared" si="180"/>
        <v>#REF!</v>
      </c>
      <c r="M1430" s="178" t="e">
        <f>#REF!*#REF!</f>
        <v>#REF!</v>
      </c>
      <c r="N1430" s="178" t="e">
        <f>#REF!+K1430+#REF!</f>
        <v>#REF!</v>
      </c>
      <c r="O1430" s="181" t="e">
        <f t="shared" si="178"/>
        <v>#REF!</v>
      </c>
    </row>
    <row r="1431" spans="1:15" s="193" customFormat="1" outlineLevel="2">
      <c r="A1431" s="238"/>
      <c r="B1431" s="236" t="s">
        <v>994</v>
      </c>
      <c r="C1431" s="190"/>
      <c r="D1431" s="191"/>
      <c r="E1431" s="176"/>
      <c r="F1431" s="177"/>
      <c r="G1431" s="192"/>
      <c r="H1431" s="179"/>
      <c r="I1431" s="283" t="e">
        <f>IF(#REF!="",#REF!*#REF!,IF(#REF!=0,#REF!*#REF!,#REF!*#REF!*#REF!))</f>
        <v>#REF!</v>
      </c>
      <c r="J1431" s="180" t="e">
        <f>#REF!*#REF!</f>
        <v>#REF!</v>
      </c>
      <c r="K1431" s="178" t="e">
        <f>#REF!*mo</f>
        <v>#REF!</v>
      </c>
      <c r="L1431" s="178" t="e">
        <f t="shared" ref="L1431" si="183">J1431*mo</f>
        <v>#REF!</v>
      </c>
      <c r="M1431" s="178" t="e">
        <f>#REF!*#REF!</f>
        <v>#REF!</v>
      </c>
      <c r="N1431" s="178" t="e">
        <f>#REF!+K1431+#REF!</f>
        <v>#REF!</v>
      </c>
      <c r="O1431" s="181" t="e">
        <f t="shared" si="178"/>
        <v>#REF!</v>
      </c>
    </row>
    <row r="1432" spans="1:15" s="193" customFormat="1" outlineLevel="2">
      <c r="A1432" s="238"/>
      <c r="B1432" s="212" t="s">
        <v>996</v>
      </c>
      <c r="C1432" s="190" t="s">
        <v>123</v>
      </c>
      <c r="D1432" s="191"/>
      <c r="E1432" s="176"/>
      <c r="F1432" s="177"/>
      <c r="G1432" s="192"/>
      <c r="H1432" s="179"/>
      <c r="I1432" s="283" t="e">
        <f>IF(#REF!="",#REF!*#REF!,IF(#REF!=0,#REF!*#REF!,#REF!*#REF!*#REF!))</f>
        <v>#REF!</v>
      </c>
      <c r="J1432" s="180" t="e">
        <f>#REF!*#REF!</f>
        <v>#REF!</v>
      </c>
      <c r="K1432" s="178" t="e">
        <f>#REF!*mo</f>
        <v>#REF!</v>
      </c>
      <c r="L1432" s="178" t="e">
        <f t="shared" ref="L1432:L1437" si="184">J1432*mo</f>
        <v>#REF!</v>
      </c>
      <c r="M1432" s="178" t="e">
        <f>#REF!*#REF!</f>
        <v>#REF!</v>
      </c>
      <c r="N1432" s="178" t="e">
        <f>#REF!+K1432+#REF!</f>
        <v>#REF!</v>
      </c>
      <c r="O1432" s="181" t="e">
        <f t="shared" si="178"/>
        <v>#REF!</v>
      </c>
    </row>
    <row r="1433" spans="1:15" s="193" customFormat="1" outlineLevel="2">
      <c r="A1433" s="238"/>
      <c r="B1433" s="212" t="s">
        <v>997</v>
      </c>
      <c r="C1433" s="190" t="s">
        <v>123</v>
      </c>
      <c r="D1433" s="191"/>
      <c r="E1433" s="176"/>
      <c r="F1433" s="177"/>
      <c r="G1433" s="192"/>
      <c r="H1433" s="179"/>
      <c r="I1433" s="283" t="e">
        <f>IF(#REF!="",#REF!*#REF!,IF(#REF!=0,#REF!*#REF!,#REF!*#REF!*#REF!))</f>
        <v>#REF!</v>
      </c>
      <c r="J1433" s="180" t="e">
        <f>#REF!*#REF!</f>
        <v>#REF!</v>
      </c>
      <c r="K1433" s="178" t="e">
        <f>#REF!*mo</f>
        <v>#REF!</v>
      </c>
      <c r="L1433" s="178" t="e">
        <f t="shared" si="184"/>
        <v>#REF!</v>
      </c>
      <c r="M1433" s="178" t="e">
        <f>#REF!*#REF!</f>
        <v>#REF!</v>
      </c>
      <c r="N1433" s="178" t="e">
        <f>#REF!+K1433+#REF!</f>
        <v>#REF!</v>
      </c>
      <c r="O1433" s="181" t="e">
        <f t="shared" si="178"/>
        <v>#REF!</v>
      </c>
    </row>
    <row r="1434" spans="1:15" s="193" customFormat="1" outlineLevel="2">
      <c r="A1434" s="238"/>
      <c r="B1434" s="212" t="s">
        <v>998</v>
      </c>
      <c r="C1434" s="190" t="s">
        <v>123</v>
      </c>
      <c r="D1434" s="191"/>
      <c r="E1434" s="176"/>
      <c r="F1434" s="177"/>
      <c r="G1434" s="192"/>
      <c r="H1434" s="179"/>
      <c r="I1434" s="283" t="e">
        <f>IF(#REF!="",#REF!*#REF!,IF(#REF!=0,#REF!*#REF!,#REF!*#REF!*#REF!))</f>
        <v>#REF!</v>
      </c>
      <c r="J1434" s="180" t="e">
        <f>#REF!*#REF!</f>
        <v>#REF!</v>
      </c>
      <c r="K1434" s="178" t="e">
        <f>#REF!*mo</f>
        <v>#REF!</v>
      </c>
      <c r="L1434" s="178" t="e">
        <f t="shared" si="184"/>
        <v>#REF!</v>
      </c>
      <c r="M1434" s="178" t="e">
        <f>#REF!*#REF!</f>
        <v>#REF!</v>
      </c>
      <c r="N1434" s="178" t="e">
        <f>#REF!+K1434+#REF!</f>
        <v>#REF!</v>
      </c>
      <c r="O1434" s="181" t="e">
        <f t="shared" si="178"/>
        <v>#REF!</v>
      </c>
    </row>
    <row r="1435" spans="1:15" s="193" customFormat="1" outlineLevel="2">
      <c r="A1435" s="238"/>
      <c r="B1435" s="212" t="s">
        <v>999</v>
      </c>
      <c r="C1435" s="190" t="s">
        <v>123</v>
      </c>
      <c r="D1435" s="191"/>
      <c r="E1435" s="176"/>
      <c r="F1435" s="177"/>
      <c r="G1435" s="192"/>
      <c r="H1435" s="179"/>
      <c r="I1435" s="283" t="e">
        <f>IF(#REF!="",#REF!*#REF!,IF(#REF!=0,#REF!*#REF!,#REF!*#REF!*#REF!))</f>
        <v>#REF!</v>
      </c>
      <c r="J1435" s="180" t="e">
        <f>#REF!*#REF!</f>
        <v>#REF!</v>
      </c>
      <c r="K1435" s="178" t="e">
        <f>#REF!*mo</f>
        <v>#REF!</v>
      </c>
      <c r="L1435" s="178" t="e">
        <f t="shared" si="184"/>
        <v>#REF!</v>
      </c>
      <c r="M1435" s="178" t="e">
        <f>#REF!*#REF!</f>
        <v>#REF!</v>
      </c>
      <c r="N1435" s="178" t="e">
        <f>#REF!+K1435+#REF!</f>
        <v>#REF!</v>
      </c>
      <c r="O1435" s="181" t="e">
        <f t="shared" si="178"/>
        <v>#REF!</v>
      </c>
    </row>
    <row r="1436" spans="1:15" s="193" customFormat="1" outlineLevel="2">
      <c r="A1436" s="238"/>
      <c r="B1436" s="212" t="s">
        <v>894</v>
      </c>
      <c r="C1436" s="190" t="s">
        <v>123</v>
      </c>
      <c r="D1436" s="191"/>
      <c r="E1436" s="176"/>
      <c r="F1436" s="177"/>
      <c r="G1436" s="192"/>
      <c r="H1436" s="179"/>
      <c r="I1436" s="283" t="e">
        <f>IF(#REF!="",#REF!*#REF!,IF(#REF!=0,#REF!*#REF!,#REF!*#REF!*#REF!))</f>
        <v>#REF!</v>
      </c>
      <c r="J1436" s="180" t="e">
        <f>#REF!*#REF!</f>
        <v>#REF!</v>
      </c>
      <c r="K1436" s="178" t="e">
        <f>#REF!*mo</f>
        <v>#REF!</v>
      </c>
      <c r="L1436" s="178" t="e">
        <f t="shared" si="184"/>
        <v>#REF!</v>
      </c>
      <c r="M1436" s="178" t="e">
        <f>#REF!*#REF!</f>
        <v>#REF!</v>
      </c>
      <c r="N1436" s="178" t="e">
        <f>#REF!+K1436+#REF!</f>
        <v>#REF!</v>
      </c>
      <c r="O1436" s="181" t="e">
        <f t="shared" si="178"/>
        <v>#REF!</v>
      </c>
    </row>
    <row r="1437" spans="1:15" s="193" customFormat="1" outlineLevel="2">
      <c r="A1437" s="238"/>
      <c r="B1437" s="212" t="s">
        <v>1000</v>
      </c>
      <c r="C1437" s="190" t="s">
        <v>123</v>
      </c>
      <c r="D1437" s="191"/>
      <c r="E1437" s="176"/>
      <c r="F1437" s="177"/>
      <c r="G1437" s="192"/>
      <c r="H1437" s="179"/>
      <c r="I1437" s="283" t="e">
        <f>IF(#REF!="",#REF!*#REF!,IF(#REF!=0,#REF!*#REF!,#REF!*#REF!*#REF!))</f>
        <v>#REF!</v>
      </c>
      <c r="J1437" s="180" t="e">
        <f>#REF!*#REF!</f>
        <v>#REF!</v>
      </c>
      <c r="K1437" s="178" t="e">
        <f>#REF!*mo</f>
        <v>#REF!</v>
      </c>
      <c r="L1437" s="178" t="e">
        <f t="shared" si="184"/>
        <v>#REF!</v>
      </c>
      <c r="M1437" s="178" t="e">
        <f>#REF!*#REF!</f>
        <v>#REF!</v>
      </c>
      <c r="N1437" s="178" t="e">
        <f>#REF!+K1437+#REF!</f>
        <v>#REF!</v>
      </c>
      <c r="O1437" s="181" t="e">
        <f t="shared" si="178"/>
        <v>#REF!</v>
      </c>
    </row>
    <row r="1438" spans="1:15" s="193" customFormat="1" outlineLevel="2">
      <c r="A1438" s="155"/>
      <c r="B1438" s="212" t="s">
        <v>1000</v>
      </c>
      <c r="C1438" s="190" t="s">
        <v>123</v>
      </c>
      <c r="D1438" s="191"/>
      <c r="E1438" s="176"/>
      <c r="F1438" s="177"/>
      <c r="G1438" s="192"/>
      <c r="H1438" s="179"/>
      <c r="I1438" s="283" t="e">
        <f>IF(#REF!="",#REF!*#REF!,IF(#REF!=0,#REF!*#REF!,#REF!*#REF!*#REF!))</f>
        <v>#REF!</v>
      </c>
      <c r="J1438" s="180" t="e">
        <f>#REF!*#REF!</f>
        <v>#REF!</v>
      </c>
      <c r="K1438" s="178" t="e">
        <f>#REF!*mo</f>
        <v>#REF!</v>
      </c>
      <c r="L1438" s="178" t="e">
        <f t="shared" si="180"/>
        <v>#REF!</v>
      </c>
      <c r="M1438" s="178" t="e">
        <f>#REF!*#REF!</f>
        <v>#REF!</v>
      </c>
      <c r="N1438" s="178" t="e">
        <f>#REF!+K1438+#REF!</f>
        <v>#REF!</v>
      </c>
      <c r="O1438" s="181" t="e">
        <f t="shared" si="178"/>
        <v>#REF!</v>
      </c>
    </row>
    <row r="1439" spans="1:15" s="193" customFormat="1" outlineLevel="2">
      <c r="A1439" s="155"/>
      <c r="B1439" s="212"/>
      <c r="C1439" s="190"/>
      <c r="D1439" s="191"/>
      <c r="E1439" s="176"/>
      <c r="F1439" s="177"/>
      <c r="G1439" s="192"/>
      <c r="H1439" s="179"/>
      <c r="I1439" s="283" t="e">
        <f>IF(#REF!="",#REF!*#REF!,IF(#REF!=0,#REF!*#REF!,#REF!*#REF!*#REF!))</f>
        <v>#REF!</v>
      </c>
      <c r="J1439" s="180" t="e">
        <f>#REF!*#REF!</f>
        <v>#REF!</v>
      </c>
      <c r="K1439" s="178" t="e">
        <f>#REF!*mo</f>
        <v>#REF!</v>
      </c>
      <c r="L1439" s="178" t="e">
        <f t="shared" si="180"/>
        <v>#REF!</v>
      </c>
      <c r="M1439" s="178" t="e">
        <f>#REF!*#REF!</f>
        <v>#REF!</v>
      </c>
      <c r="N1439" s="178" t="e">
        <f>#REF!+K1439+#REF!</f>
        <v>#REF!</v>
      </c>
      <c r="O1439" s="181" t="e">
        <f t="shared" si="178"/>
        <v>#REF!</v>
      </c>
    </row>
    <row r="1440" spans="1:15" s="193" customFormat="1" outlineLevel="2">
      <c r="A1440" s="155"/>
      <c r="B1440" s="236" t="s">
        <v>1022</v>
      </c>
      <c r="C1440" s="190"/>
      <c r="D1440" s="191"/>
      <c r="E1440" s="176"/>
      <c r="F1440" s="177"/>
      <c r="G1440" s="192"/>
      <c r="H1440" s="179"/>
      <c r="I1440" s="283" t="e">
        <f>IF(#REF!="",#REF!*#REF!,IF(#REF!=0,#REF!*#REF!,#REF!*#REF!*#REF!))</f>
        <v>#REF!</v>
      </c>
      <c r="J1440" s="180" t="e">
        <f>#REF!*#REF!</f>
        <v>#REF!</v>
      </c>
      <c r="K1440" s="178" t="e">
        <f>#REF!*mo</f>
        <v>#REF!</v>
      </c>
      <c r="L1440" s="178" t="e">
        <f t="shared" si="180"/>
        <v>#REF!</v>
      </c>
      <c r="M1440" s="178" t="e">
        <f>#REF!*#REF!</f>
        <v>#REF!</v>
      </c>
      <c r="N1440" s="178" t="e">
        <f>#REF!+K1440+#REF!</f>
        <v>#REF!</v>
      </c>
      <c r="O1440" s="181" t="e">
        <f t="shared" si="178"/>
        <v>#REF!</v>
      </c>
    </row>
    <row r="1441" spans="1:15" s="193" customFormat="1" outlineLevel="2">
      <c r="A1441" s="155"/>
      <c r="B1441" s="212" t="s">
        <v>999</v>
      </c>
      <c r="C1441" s="190" t="s">
        <v>123</v>
      </c>
      <c r="D1441" s="191"/>
      <c r="E1441" s="176"/>
      <c r="F1441" s="177"/>
      <c r="G1441" s="192"/>
      <c r="H1441" s="179"/>
      <c r="I1441" s="283" t="e">
        <f>IF(#REF!="",#REF!*#REF!,IF(#REF!=0,#REF!*#REF!,#REF!*#REF!*#REF!))</f>
        <v>#REF!</v>
      </c>
      <c r="J1441" s="180" t="e">
        <f>#REF!*#REF!</f>
        <v>#REF!</v>
      </c>
      <c r="K1441" s="178" t="e">
        <f>#REF!*mo</f>
        <v>#REF!</v>
      </c>
      <c r="L1441" s="178" t="e">
        <f t="shared" si="180"/>
        <v>#REF!</v>
      </c>
      <c r="M1441" s="178" t="e">
        <f>#REF!*#REF!</f>
        <v>#REF!</v>
      </c>
      <c r="N1441" s="178" t="e">
        <f>#REF!+K1441+#REF!</f>
        <v>#REF!</v>
      </c>
      <c r="O1441" s="181" t="e">
        <f t="shared" si="178"/>
        <v>#REF!</v>
      </c>
    </row>
    <row r="1442" spans="1:15" s="193" customFormat="1" outlineLevel="2">
      <c r="A1442" s="155"/>
      <c r="B1442" s="212" t="s">
        <v>894</v>
      </c>
      <c r="C1442" s="190" t="s">
        <v>123</v>
      </c>
      <c r="D1442" s="191"/>
      <c r="E1442" s="176"/>
      <c r="F1442" s="177"/>
      <c r="G1442" s="192"/>
      <c r="H1442" s="179"/>
      <c r="I1442" s="283" t="e">
        <f>IF(#REF!="",#REF!*#REF!,IF(#REF!=0,#REF!*#REF!,#REF!*#REF!*#REF!))</f>
        <v>#REF!</v>
      </c>
      <c r="J1442" s="180" t="e">
        <f>#REF!*#REF!</f>
        <v>#REF!</v>
      </c>
      <c r="K1442" s="178" t="e">
        <f>#REF!*mo</f>
        <v>#REF!</v>
      </c>
      <c r="L1442" s="178" t="e">
        <f t="shared" ref="L1442" si="185">J1442*mo</f>
        <v>#REF!</v>
      </c>
      <c r="M1442" s="178" t="e">
        <f>#REF!*#REF!</f>
        <v>#REF!</v>
      </c>
      <c r="N1442" s="178" t="e">
        <f>#REF!+K1442+#REF!</f>
        <v>#REF!</v>
      </c>
      <c r="O1442" s="181" t="e">
        <f t="shared" si="178"/>
        <v>#REF!</v>
      </c>
    </row>
    <row r="1443" spans="1:15" s="193" customFormat="1" outlineLevel="2">
      <c r="A1443" s="155"/>
      <c r="B1443" s="212"/>
      <c r="C1443" s="190"/>
      <c r="D1443" s="191"/>
      <c r="E1443" s="176"/>
      <c r="F1443" s="177"/>
      <c r="G1443" s="192"/>
      <c r="H1443" s="179"/>
      <c r="I1443" s="283" t="e">
        <f>IF(#REF!="",#REF!*#REF!,IF(#REF!=0,#REF!*#REF!,#REF!*#REF!*#REF!))</f>
        <v>#REF!</v>
      </c>
      <c r="J1443" s="180" t="e">
        <f>#REF!*#REF!</f>
        <v>#REF!</v>
      </c>
      <c r="K1443" s="178" t="e">
        <f>#REF!*mo</f>
        <v>#REF!</v>
      </c>
      <c r="L1443" s="178" t="e">
        <f t="shared" si="180"/>
        <v>#REF!</v>
      </c>
      <c r="M1443" s="178" t="e">
        <f>#REF!*#REF!</f>
        <v>#REF!</v>
      </c>
      <c r="N1443" s="178" t="e">
        <f>#REF!+K1443+#REF!</f>
        <v>#REF!</v>
      </c>
      <c r="O1443" s="181" t="e">
        <f t="shared" si="178"/>
        <v>#REF!</v>
      </c>
    </row>
    <row r="1444" spans="1:15" s="193" customFormat="1" outlineLevel="2">
      <c r="A1444" s="155"/>
      <c r="B1444" s="233" t="s">
        <v>892</v>
      </c>
      <c r="C1444" s="190"/>
      <c r="D1444" s="191"/>
      <c r="E1444" s="176"/>
      <c r="F1444" s="177"/>
      <c r="G1444" s="192"/>
      <c r="H1444" s="179"/>
      <c r="I1444" s="283" t="e">
        <f>IF(#REF!="",#REF!*#REF!,IF(#REF!=0,#REF!*#REF!,#REF!*#REF!*#REF!))</f>
        <v>#REF!</v>
      </c>
      <c r="J1444" s="180" t="e">
        <f>#REF!*#REF!</f>
        <v>#REF!</v>
      </c>
      <c r="K1444" s="178" t="e">
        <f>#REF!*mo</f>
        <v>#REF!</v>
      </c>
      <c r="L1444" s="178" t="e">
        <f t="shared" si="180"/>
        <v>#REF!</v>
      </c>
      <c r="M1444" s="178" t="e">
        <f>#REF!*#REF!</f>
        <v>#REF!</v>
      </c>
      <c r="N1444" s="178" t="e">
        <f>#REF!+K1444+#REF!</f>
        <v>#REF!</v>
      </c>
      <c r="O1444" s="181" t="e">
        <f t="shared" si="178"/>
        <v>#REF!</v>
      </c>
    </row>
    <row r="1445" spans="1:15" s="193" customFormat="1" outlineLevel="2">
      <c r="A1445" s="155"/>
      <c r="B1445" s="212" t="s">
        <v>995</v>
      </c>
      <c r="C1445" s="190" t="s">
        <v>93</v>
      </c>
      <c r="D1445" s="191"/>
      <c r="E1445" s="176"/>
      <c r="F1445" s="177"/>
      <c r="G1445" s="192"/>
      <c r="H1445" s="179"/>
      <c r="I1445" s="283" t="e">
        <f>IF(#REF!="",#REF!*#REF!,IF(#REF!=0,#REF!*#REF!,#REF!*#REF!*#REF!))</f>
        <v>#REF!</v>
      </c>
      <c r="J1445" s="180" t="e">
        <f>#REF!*#REF!</f>
        <v>#REF!</v>
      </c>
      <c r="K1445" s="178" t="e">
        <f>#REF!*mo</f>
        <v>#REF!</v>
      </c>
      <c r="L1445" s="178" t="e">
        <f t="shared" si="180"/>
        <v>#REF!</v>
      </c>
      <c r="M1445" s="178" t="e">
        <f>#REF!*#REF!</f>
        <v>#REF!</v>
      </c>
      <c r="N1445" s="178" t="e">
        <f>#REF!+K1445+#REF!</f>
        <v>#REF!</v>
      </c>
      <c r="O1445" s="181" t="e">
        <f t="shared" si="178"/>
        <v>#REF!</v>
      </c>
    </row>
    <row r="1446" spans="1:15" s="193" customFormat="1" outlineLevel="2">
      <c r="A1446" s="155"/>
      <c r="B1446" s="212" t="s">
        <v>996</v>
      </c>
      <c r="C1446" s="190" t="s">
        <v>93</v>
      </c>
      <c r="D1446" s="191"/>
      <c r="E1446" s="176"/>
      <c r="F1446" s="177"/>
      <c r="G1446" s="192"/>
      <c r="H1446" s="179"/>
      <c r="I1446" s="283" t="e">
        <f>IF(#REF!="",#REF!*#REF!,IF(#REF!=0,#REF!*#REF!,#REF!*#REF!*#REF!))</f>
        <v>#REF!</v>
      </c>
      <c r="J1446" s="180" t="e">
        <f>#REF!*#REF!</f>
        <v>#REF!</v>
      </c>
      <c r="K1446" s="178" t="e">
        <f>#REF!*mo</f>
        <v>#REF!</v>
      </c>
      <c r="L1446" s="178" t="e">
        <f t="shared" si="180"/>
        <v>#REF!</v>
      </c>
      <c r="M1446" s="178" t="e">
        <f>#REF!*#REF!</f>
        <v>#REF!</v>
      </c>
      <c r="N1446" s="178" t="e">
        <f>#REF!+K1446+#REF!</f>
        <v>#REF!</v>
      </c>
      <c r="O1446" s="181" t="e">
        <f t="shared" si="178"/>
        <v>#REF!</v>
      </c>
    </row>
    <row r="1447" spans="1:15" s="193" customFormat="1" outlineLevel="2">
      <c r="A1447" s="155"/>
      <c r="B1447" s="212" t="s">
        <v>997</v>
      </c>
      <c r="C1447" s="190" t="s">
        <v>93</v>
      </c>
      <c r="D1447" s="191"/>
      <c r="E1447" s="176"/>
      <c r="F1447" s="177"/>
      <c r="G1447" s="192"/>
      <c r="H1447" s="179"/>
      <c r="I1447" s="283" t="e">
        <f>IF(#REF!="",#REF!*#REF!,IF(#REF!=0,#REF!*#REF!,#REF!*#REF!*#REF!))</f>
        <v>#REF!</v>
      </c>
      <c r="J1447" s="180" t="e">
        <f>#REF!*#REF!</f>
        <v>#REF!</v>
      </c>
      <c r="K1447" s="178" t="e">
        <f>#REF!*mo</f>
        <v>#REF!</v>
      </c>
      <c r="L1447" s="178" t="e">
        <f t="shared" si="180"/>
        <v>#REF!</v>
      </c>
      <c r="M1447" s="178" t="e">
        <f>#REF!*#REF!</f>
        <v>#REF!</v>
      </c>
      <c r="N1447" s="178" t="e">
        <f>#REF!+K1447+#REF!</f>
        <v>#REF!</v>
      </c>
      <c r="O1447" s="181" t="e">
        <f t="shared" si="178"/>
        <v>#REF!</v>
      </c>
    </row>
    <row r="1448" spans="1:15" s="193" customFormat="1" outlineLevel="2">
      <c r="A1448" s="155"/>
      <c r="B1448" s="212" t="s">
        <v>998</v>
      </c>
      <c r="C1448" s="190" t="s">
        <v>93</v>
      </c>
      <c r="D1448" s="191"/>
      <c r="E1448" s="176"/>
      <c r="F1448" s="177"/>
      <c r="G1448" s="192"/>
      <c r="H1448" s="179"/>
      <c r="I1448" s="283" t="e">
        <f>IF(#REF!="",#REF!*#REF!,IF(#REF!=0,#REF!*#REF!,#REF!*#REF!*#REF!))</f>
        <v>#REF!</v>
      </c>
      <c r="J1448" s="180" t="e">
        <f>#REF!*#REF!</f>
        <v>#REF!</v>
      </c>
      <c r="K1448" s="178" t="e">
        <f>#REF!*mo</f>
        <v>#REF!</v>
      </c>
      <c r="L1448" s="178" t="e">
        <f t="shared" si="180"/>
        <v>#REF!</v>
      </c>
      <c r="M1448" s="178" t="e">
        <f>#REF!*#REF!</f>
        <v>#REF!</v>
      </c>
      <c r="N1448" s="178" t="e">
        <f>#REF!+K1448+#REF!</f>
        <v>#REF!</v>
      </c>
      <c r="O1448" s="181" t="e">
        <f t="shared" si="178"/>
        <v>#REF!</v>
      </c>
    </row>
    <row r="1449" spans="1:15" s="193" customFormat="1" outlineLevel="2">
      <c r="A1449" s="155"/>
      <c r="B1449" s="212" t="s">
        <v>999</v>
      </c>
      <c r="C1449" s="190" t="s">
        <v>93</v>
      </c>
      <c r="D1449" s="191"/>
      <c r="E1449" s="176"/>
      <c r="F1449" s="177"/>
      <c r="G1449" s="192"/>
      <c r="H1449" s="179"/>
      <c r="I1449" s="283" t="e">
        <f>IF(#REF!="",#REF!*#REF!,IF(#REF!=0,#REF!*#REF!,#REF!*#REF!*#REF!))</f>
        <v>#REF!</v>
      </c>
      <c r="J1449" s="180" t="e">
        <f>#REF!*#REF!</f>
        <v>#REF!</v>
      </c>
      <c r="K1449" s="178" t="e">
        <f>#REF!*mo</f>
        <v>#REF!</v>
      </c>
      <c r="L1449" s="178" t="e">
        <f t="shared" si="180"/>
        <v>#REF!</v>
      </c>
      <c r="M1449" s="178" t="e">
        <f>#REF!*#REF!</f>
        <v>#REF!</v>
      </c>
      <c r="N1449" s="178" t="e">
        <f>#REF!+K1449+#REF!</f>
        <v>#REF!</v>
      </c>
      <c r="O1449" s="181" t="e">
        <f t="shared" si="178"/>
        <v>#REF!</v>
      </c>
    </row>
    <row r="1450" spans="1:15" s="193" customFormat="1" outlineLevel="2">
      <c r="A1450" s="155"/>
      <c r="B1450" s="212" t="s">
        <v>894</v>
      </c>
      <c r="C1450" s="190" t="s">
        <v>93</v>
      </c>
      <c r="D1450" s="191"/>
      <c r="E1450" s="176"/>
      <c r="F1450" s="177"/>
      <c r="G1450" s="192"/>
      <c r="H1450" s="179"/>
      <c r="I1450" s="283" t="e">
        <f>IF(#REF!="",#REF!*#REF!,IF(#REF!=0,#REF!*#REF!,#REF!*#REF!*#REF!))</f>
        <v>#REF!</v>
      </c>
      <c r="J1450" s="180" t="e">
        <f>#REF!*#REF!</f>
        <v>#REF!</v>
      </c>
      <c r="K1450" s="178" t="e">
        <f>#REF!*mo</f>
        <v>#REF!</v>
      </c>
      <c r="L1450" s="178" t="e">
        <f t="shared" si="180"/>
        <v>#REF!</v>
      </c>
      <c r="M1450" s="178" t="e">
        <f>#REF!*#REF!</f>
        <v>#REF!</v>
      </c>
      <c r="N1450" s="178" t="e">
        <f>#REF!+K1450+#REF!</f>
        <v>#REF!</v>
      </c>
      <c r="O1450" s="181" t="e">
        <f t="shared" si="178"/>
        <v>#REF!</v>
      </c>
    </row>
    <row r="1451" spans="1:15" s="193" customFormat="1" outlineLevel="2">
      <c r="A1451" s="155"/>
      <c r="B1451" s="212"/>
      <c r="C1451" s="190"/>
      <c r="D1451" s="191"/>
      <c r="E1451" s="176"/>
      <c r="F1451" s="177"/>
      <c r="G1451" s="192"/>
      <c r="H1451" s="179"/>
      <c r="I1451" s="283" t="e">
        <f>IF(#REF!="",#REF!*#REF!,IF(#REF!=0,#REF!*#REF!,#REF!*#REF!*#REF!))</f>
        <v>#REF!</v>
      </c>
      <c r="J1451" s="180" t="e">
        <f>#REF!*#REF!</f>
        <v>#REF!</v>
      </c>
      <c r="K1451" s="178" t="e">
        <f>#REF!*mo</f>
        <v>#REF!</v>
      </c>
      <c r="L1451" s="178" t="e">
        <f t="shared" si="180"/>
        <v>#REF!</v>
      </c>
      <c r="M1451" s="178" t="e">
        <f>#REF!*#REF!</f>
        <v>#REF!</v>
      </c>
      <c r="N1451" s="178" t="e">
        <f>#REF!+K1451+#REF!</f>
        <v>#REF!</v>
      </c>
      <c r="O1451" s="181" t="e">
        <f t="shared" si="178"/>
        <v>#REF!</v>
      </c>
    </row>
    <row r="1452" spans="1:15" s="193" customFormat="1" outlineLevel="2">
      <c r="A1452" s="155"/>
      <c r="B1452" s="233" t="s">
        <v>893</v>
      </c>
      <c r="C1452" s="190"/>
      <c r="D1452" s="191"/>
      <c r="E1452" s="176"/>
      <c r="F1452" s="177"/>
      <c r="G1452" s="192"/>
      <c r="H1452" s="179"/>
      <c r="I1452" s="283" t="e">
        <f>IF(#REF!="",#REF!*#REF!,IF(#REF!=0,#REF!*#REF!,#REF!*#REF!*#REF!))</f>
        <v>#REF!</v>
      </c>
      <c r="J1452" s="180" t="e">
        <f>#REF!*#REF!</f>
        <v>#REF!</v>
      </c>
      <c r="K1452" s="178" t="e">
        <f>#REF!*mo</f>
        <v>#REF!</v>
      </c>
      <c r="L1452" s="178" t="e">
        <f t="shared" si="180"/>
        <v>#REF!</v>
      </c>
      <c r="M1452" s="178" t="e">
        <f>#REF!*#REF!</f>
        <v>#REF!</v>
      </c>
      <c r="N1452" s="178" t="e">
        <f>#REF!+K1452+#REF!</f>
        <v>#REF!</v>
      </c>
      <c r="O1452" s="181" t="e">
        <f t="shared" si="178"/>
        <v>#REF!</v>
      </c>
    </row>
    <row r="1453" spans="1:15" s="193" customFormat="1" outlineLevel="2">
      <c r="A1453" s="155"/>
      <c r="B1453" s="212" t="s">
        <v>995</v>
      </c>
      <c r="C1453" s="190" t="s">
        <v>93</v>
      </c>
      <c r="D1453" s="191"/>
      <c r="E1453" s="176"/>
      <c r="F1453" s="177"/>
      <c r="G1453" s="192"/>
      <c r="H1453" s="179"/>
      <c r="I1453" s="283" t="e">
        <f>IF(#REF!="",#REF!*#REF!,IF(#REF!=0,#REF!*#REF!,#REF!*#REF!*#REF!))</f>
        <v>#REF!</v>
      </c>
      <c r="J1453" s="180" t="e">
        <f>#REF!*#REF!</f>
        <v>#REF!</v>
      </c>
      <c r="K1453" s="178" t="e">
        <f>#REF!*mo</f>
        <v>#REF!</v>
      </c>
      <c r="L1453" s="178" t="e">
        <f t="shared" si="180"/>
        <v>#REF!</v>
      </c>
      <c r="M1453" s="178" t="e">
        <f>#REF!*#REF!</f>
        <v>#REF!</v>
      </c>
      <c r="N1453" s="178" t="e">
        <f>#REF!+K1453+#REF!</f>
        <v>#REF!</v>
      </c>
      <c r="O1453" s="181" t="e">
        <f t="shared" si="178"/>
        <v>#REF!</v>
      </c>
    </row>
    <row r="1454" spans="1:15" s="193" customFormat="1" outlineLevel="2">
      <c r="A1454" s="155"/>
      <c r="B1454" s="212" t="s">
        <v>996</v>
      </c>
      <c r="C1454" s="190" t="s">
        <v>93</v>
      </c>
      <c r="D1454" s="191"/>
      <c r="E1454" s="176"/>
      <c r="F1454" s="177"/>
      <c r="G1454" s="192"/>
      <c r="H1454" s="179"/>
      <c r="I1454" s="283" t="e">
        <f>IF(#REF!="",#REF!*#REF!,IF(#REF!=0,#REF!*#REF!,#REF!*#REF!*#REF!))</f>
        <v>#REF!</v>
      </c>
      <c r="J1454" s="180" t="e">
        <f>#REF!*#REF!</f>
        <v>#REF!</v>
      </c>
      <c r="K1454" s="178" t="e">
        <f>#REF!*mo</f>
        <v>#REF!</v>
      </c>
      <c r="L1454" s="178" t="e">
        <f t="shared" si="180"/>
        <v>#REF!</v>
      </c>
      <c r="M1454" s="178" t="e">
        <f>#REF!*#REF!</f>
        <v>#REF!</v>
      </c>
      <c r="N1454" s="178" t="e">
        <f>#REF!+K1454+#REF!</f>
        <v>#REF!</v>
      </c>
      <c r="O1454" s="181" t="e">
        <f t="shared" si="178"/>
        <v>#REF!</v>
      </c>
    </row>
    <row r="1455" spans="1:15" s="193" customFormat="1" outlineLevel="2">
      <c r="A1455" s="155"/>
      <c r="B1455" s="212" t="s">
        <v>997</v>
      </c>
      <c r="C1455" s="190" t="s">
        <v>93</v>
      </c>
      <c r="D1455" s="191"/>
      <c r="E1455" s="176"/>
      <c r="F1455" s="177"/>
      <c r="G1455" s="192"/>
      <c r="H1455" s="179"/>
      <c r="I1455" s="283" t="e">
        <f>IF(#REF!="",#REF!*#REF!,IF(#REF!=0,#REF!*#REF!,#REF!*#REF!*#REF!))</f>
        <v>#REF!</v>
      </c>
      <c r="J1455" s="180" t="e">
        <f>#REF!*#REF!</f>
        <v>#REF!</v>
      </c>
      <c r="K1455" s="178" t="e">
        <f>#REF!*mo</f>
        <v>#REF!</v>
      </c>
      <c r="L1455" s="178" t="e">
        <f t="shared" si="180"/>
        <v>#REF!</v>
      </c>
      <c r="M1455" s="178" t="e">
        <f>#REF!*#REF!</f>
        <v>#REF!</v>
      </c>
      <c r="N1455" s="178" t="e">
        <f>#REF!+K1455+#REF!</f>
        <v>#REF!</v>
      </c>
      <c r="O1455" s="181" t="e">
        <f t="shared" si="178"/>
        <v>#REF!</v>
      </c>
    </row>
    <row r="1456" spans="1:15" s="193" customFormat="1" outlineLevel="2">
      <c r="A1456" s="155"/>
      <c r="B1456" s="212" t="s">
        <v>998</v>
      </c>
      <c r="C1456" s="190" t="s">
        <v>93</v>
      </c>
      <c r="D1456" s="191"/>
      <c r="E1456" s="176"/>
      <c r="F1456" s="177"/>
      <c r="G1456" s="192"/>
      <c r="H1456" s="179"/>
      <c r="I1456" s="283" t="e">
        <f>IF(#REF!="",#REF!*#REF!,IF(#REF!=0,#REF!*#REF!,#REF!*#REF!*#REF!))</f>
        <v>#REF!</v>
      </c>
      <c r="J1456" s="180" t="e">
        <f>#REF!*#REF!</f>
        <v>#REF!</v>
      </c>
      <c r="K1456" s="178" t="e">
        <f>#REF!*mo</f>
        <v>#REF!</v>
      </c>
      <c r="L1456" s="178" t="e">
        <f t="shared" si="180"/>
        <v>#REF!</v>
      </c>
      <c r="M1456" s="178" t="e">
        <f>#REF!*#REF!</f>
        <v>#REF!</v>
      </c>
      <c r="N1456" s="178" t="e">
        <f>#REF!+K1456+#REF!</f>
        <v>#REF!</v>
      </c>
      <c r="O1456" s="181" t="e">
        <f t="shared" si="178"/>
        <v>#REF!</v>
      </c>
    </row>
    <row r="1457" spans="1:15" s="193" customFormat="1" outlineLevel="2">
      <c r="A1457" s="155"/>
      <c r="B1457" s="212" t="s">
        <v>999</v>
      </c>
      <c r="C1457" s="190" t="s">
        <v>93</v>
      </c>
      <c r="D1457" s="191"/>
      <c r="E1457" s="176"/>
      <c r="F1457" s="177"/>
      <c r="G1457" s="192"/>
      <c r="H1457" s="179"/>
      <c r="I1457" s="283" t="e">
        <f>IF(#REF!="",#REF!*#REF!,IF(#REF!=0,#REF!*#REF!,#REF!*#REF!*#REF!))</f>
        <v>#REF!</v>
      </c>
      <c r="J1457" s="180" t="e">
        <f>#REF!*#REF!</f>
        <v>#REF!</v>
      </c>
      <c r="K1457" s="178" t="e">
        <f>#REF!*mo</f>
        <v>#REF!</v>
      </c>
      <c r="L1457" s="178" t="e">
        <f t="shared" si="180"/>
        <v>#REF!</v>
      </c>
      <c r="M1457" s="178" t="e">
        <f>#REF!*#REF!</f>
        <v>#REF!</v>
      </c>
      <c r="N1457" s="178" t="e">
        <f>#REF!+K1457+#REF!</f>
        <v>#REF!</v>
      </c>
      <c r="O1457" s="181" t="e">
        <f t="shared" si="178"/>
        <v>#REF!</v>
      </c>
    </row>
    <row r="1458" spans="1:15" s="193" customFormat="1" outlineLevel="2">
      <c r="A1458" s="155"/>
      <c r="B1458" s="212" t="s">
        <v>894</v>
      </c>
      <c r="C1458" s="190" t="s">
        <v>93</v>
      </c>
      <c r="D1458" s="191"/>
      <c r="E1458" s="176"/>
      <c r="F1458" s="177"/>
      <c r="G1458" s="192"/>
      <c r="H1458" s="179"/>
      <c r="I1458" s="283" t="e">
        <f>IF(#REF!="",#REF!*#REF!,IF(#REF!=0,#REF!*#REF!,#REF!*#REF!*#REF!))</f>
        <v>#REF!</v>
      </c>
      <c r="J1458" s="180" t="e">
        <f>#REF!*#REF!</f>
        <v>#REF!</v>
      </c>
      <c r="K1458" s="178" t="e">
        <f>#REF!*mo</f>
        <v>#REF!</v>
      </c>
      <c r="L1458" s="178" t="e">
        <f t="shared" si="180"/>
        <v>#REF!</v>
      </c>
      <c r="M1458" s="178" t="e">
        <f>#REF!*#REF!</f>
        <v>#REF!</v>
      </c>
      <c r="N1458" s="178" t="e">
        <f>#REF!+K1458+#REF!</f>
        <v>#REF!</v>
      </c>
      <c r="O1458" s="181" t="e">
        <f t="shared" si="178"/>
        <v>#REF!</v>
      </c>
    </row>
    <row r="1459" spans="1:15" s="193" customFormat="1" outlineLevel="2">
      <c r="A1459" s="155"/>
      <c r="B1459" s="212" t="s">
        <v>1000</v>
      </c>
      <c r="C1459" s="190" t="s">
        <v>93</v>
      </c>
      <c r="D1459" s="191"/>
      <c r="E1459" s="176"/>
      <c r="F1459" s="177"/>
      <c r="G1459" s="192"/>
      <c r="H1459" s="179"/>
      <c r="I1459" s="283" t="e">
        <f>IF(#REF!="",#REF!*#REF!,IF(#REF!=0,#REF!*#REF!,#REF!*#REF!*#REF!))</f>
        <v>#REF!</v>
      </c>
      <c r="J1459" s="180" t="e">
        <f>#REF!*#REF!</f>
        <v>#REF!</v>
      </c>
      <c r="K1459" s="178" t="e">
        <f>#REF!*mo</f>
        <v>#REF!</v>
      </c>
      <c r="L1459" s="178" t="e">
        <f t="shared" si="180"/>
        <v>#REF!</v>
      </c>
      <c r="M1459" s="178" t="e">
        <f>#REF!*#REF!</f>
        <v>#REF!</v>
      </c>
      <c r="N1459" s="178" t="e">
        <f>#REF!+K1459+#REF!</f>
        <v>#REF!</v>
      </c>
      <c r="O1459" s="181" t="e">
        <f t="shared" si="178"/>
        <v>#REF!</v>
      </c>
    </row>
    <row r="1460" spans="1:15" s="193" customFormat="1" outlineLevel="2">
      <c r="A1460" s="155"/>
      <c r="B1460" s="233"/>
      <c r="C1460" s="190"/>
      <c r="D1460" s="191"/>
      <c r="E1460" s="176"/>
      <c r="F1460" s="177"/>
      <c r="G1460" s="192"/>
      <c r="H1460" s="179"/>
      <c r="I1460" s="283" t="e">
        <f>IF(#REF!="",#REF!*#REF!,IF(#REF!=0,#REF!*#REF!,#REF!*#REF!*#REF!))</f>
        <v>#REF!</v>
      </c>
      <c r="J1460" s="180" t="e">
        <f>#REF!*#REF!</f>
        <v>#REF!</v>
      </c>
      <c r="K1460" s="178" t="e">
        <f>#REF!*mo</f>
        <v>#REF!</v>
      </c>
      <c r="L1460" s="178" t="e">
        <f t="shared" si="180"/>
        <v>#REF!</v>
      </c>
      <c r="M1460" s="178" t="e">
        <f>#REF!*#REF!</f>
        <v>#REF!</v>
      </c>
      <c r="N1460" s="178" t="e">
        <f>#REF!+K1460+#REF!</f>
        <v>#REF!</v>
      </c>
      <c r="O1460" s="181" t="e">
        <f t="shared" si="178"/>
        <v>#REF!</v>
      </c>
    </row>
    <row r="1461" spans="1:15" s="193" customFormat="1" outlineLevel="2">
      <c r="A1461" s="155"/>
      <c r="B1461" s="233" t="s">
        <v>1023</v>
      </c>
      <c r="C1461" s="190" t="s">
        <v>123</v>
      </c>
      <c r="D1461" s="191"/>
      <c r="E1461" s="176"/>
      <c r="F1461" s="177"/>
      <c r="G1461" s="192"/>
      <c r="H1461" s="179"/>
      <c r="I1461" s="283" t="e">
        <f>IF(#REF!="",#REF!*#REF!,IF(#REF!=0,#REF!*#REF!,#REF!*#REF!*#REF!))</f>
        <v>#REF!</v>
      </c>
      <c r="J1461" s="180" t="e">
        <f>#REF!*#REF!</f>
        <v>#REF!</v>
      </c>
      <c r="K1461" s="178" t="e">
        <f>#REF!*mo</f>
        <v>#REF!</v>
      </c>
      <c r="L1461" s="178" t="e">
        <f t="shared" si="180"/>
        <v>#REF!</v>
      </c>
      <c r="M1461" s="178" t="e">
        <f>#REF!*#REF!</f>
        <v>#REF!</v>
      </c>
      <c r="N1461" s="178" t="e">
        <f>#REF!+K1461+#REF!</f>
        <v>#REF!</v>
      </c>
      <c r="O1461" s="181" t="e">
        <f t="shared" si="178"/>
        <v>#REF!</v>
      </c>
    </row>
    <row r="1462" spans="1:15" s="193" customFormat="1" outlineLevel="2">
      <c r="A1462" s="155"/>
      <c r="B1462" s="212"/>
      <c r="C1462" s="190"/>
      <c r="D1462" s="191"/>
      <c r="E1462" s="176"/>
      <c r="F1462" s="177"/>
      <c r="G1462" s="192"/>
      <c r="H1462" s="179"/>
      <c r="I1462" s="283" t="e">
        <f>IF(#REF!="",#REF!*#REF!,IF(#REF!=0,#REF!*#REF!,#REF!*#REF!*#REF!))</f>
        <v>#REF!</v>
      </c>
      <c r="J1462" s="180" t="e">
        <f>#REF!*#REF!</f>
        <v>#REF!</v>
      </c>
      <c r="K1462" s="178" t="e">
        <f>#REF!*mo</f>
        <v>#REF!</v>
      </c>
      <c r="L1462" s="178" t="e">
        <f t="shared" si="180"/>
        <v>#REF!</v>
      </c>
      <c r="M1462" s="178" t="e">
        <f>#REF!*#REF!</f>
        <v>#REF!</v>
      </c>
      <c r="N1462" s="178" t="e">
        <f>#REF!+K1462+#REF!</f>
        <v>#REF!</v>
      </c>
      <c r="O1462" s="181" t="e">
        <f t="shared" si="178"/>
        <v>#REF!</v>
      </c>
    </row>
    <row r="1463" spans="1:15" s="193" customFormat="1" outlineLevel="2">
      <c r="A1463" s="155"/>
      <c r="B1463" s="233" t="s">
        <v>1024</v>
      </c>
      <c r="C1463" s="190" t="s">
        <v>93</v>
      </c>
      <c r="D1463" s="191"/>
      <c r="E1463" s="176"/>
      <c r="F1463" s="177"/>
      <c r="G1463" s="192"/>
      <c r="H1463" s="179"/>
      <c r="I1463" s="283" t="e">
        <f>IF(#REF!="",#REF!*#REF!,IF(#REF!=0,#REF!*#REF!,#REF!*#REF!*#REF!))</f>
        <v>#REF!</v>
      </c>
      <c r="J1463" s="180" t="e">
        <f>#REF!*#REF!</f>
        <v>#REF!</v>
      </c>
      <c r="K1463" s="178" t="e">
        <f>#REF!*mo</f>
        <v>#REF!</v>
      </c>
      <c r="L1463" s="178" t="e">
        <f t="shared" si="180"/>
        <v>#REF!</v>
      </c>
      <c r="M1463" s="178" t="e">
        <f>#REF!*#REF!</f>
        <v>#REF!</v>
      </c>
      <c r="N1463" s="178" t="e">
        <f>#REF!+K1463+#REF!</f>
        <v>#REF!</v>
      </c>
      <c r="O1463" s="181" t="e">
        <f t="shared" si="178"/>
        <v>#REF!</v>
      </c>
    </row>
    <row r="1464" spans="1:15" s="193" customFormat="1" outlineLevel="2">
      <c r="A1464" s="155"/>
      <c r="B1464" s="212"/>
      <c r="C1464" s="190"/>
      <c r="D1464" s="191"/>
      <c r="E1464" s="176"/>
      <c r="F1464" s="177"/>
      <c r="G1464" s="192"/>
      <c r="H1464" s="179"/>
      <c r="I1464" s="283" t="e">
        <f>IF(#REF!="",#REF!*#REF!,IF(#REF!=0,#REF!*#REF!,#REF!*#REF!*#REF!))</f>
        <v>#REF!</v>
      </c>
      <c r="J1464" s="180" t="e">
        <f>#REF!*#REF!</f>
        <v>#REF!</v>
      </c>
      <c r="K1464" s="178" t="e">
        <f>#REF!*mo</f>
        <v>#REF!</v>
      </c>
      <c r="L1464" s="178" t="e">
        <f t="shared" si="180"/>
        <v>#REF!</v>
      </c>
      <c r="M1464" s="178" t="e">
        <f>#REF!*#REF!</f>
        <v>#REF!</v>
      </c>
      <c r="N1464" s="178" t="e">
        <f>#REF!+K1464+#REF!</f>
        <v>#REF!</v>
      </c>
      <c r="O1464" s="181" t="e">
        <f t="shared" si="178"/>
        <v>#REF!</v>
      </c>
    </row>
    <row r="1465" spans="1:15" s="193" customFormat="1" ht="13.5" customHeight="1" outlineLevel="2">
      <c r="A1465" s="155"/>
      <c r="B1465" s="234" t="s">
        <v>1025</v>
      </c>
      <c r="C1465" s="190" t="s">
        <v>93</v>
      </c>
      <c r="D1465" s="191"/>
      <c r="E1465" s="176"/>
      <c r="F1465" s="177"/>
      <c r="G1465" s="192"/>
      <c r="H1465" s="179"/>
      <c r="I1465" s="283" t="e">
        <f>IF(#REF!="",#REF!*#REF!,IF(#REF!=0,#REF!*#REF!,#REF!*#REF!*#REF!))</f>
        <v>#REF!</v>
      </c>
      <c r="J1465" s="180" t="e">
        <f>#REF!*#REF!</f>
        <v>#REF!</v>
      </c>
      <c r="K1465" s="178" t="e">
        <f>#REF!*mo</f>
        <v>#REF!</v>
      </c>
      <c r="L1465" s="178" t="e">
        <f t="shared" si="180"/>
        <v>#REF!</v>
      </c>
      <c r="M1465" s="178" t="e">
        <f>#REF!*#REF!</f>
        <v>#REF!</v>
      </c>
      <c r="N1465" s="178" t="e">
        <f>#REF!+K1465+#REF!</f>
        <v>#REF!</v>
      </c>
      <c r="O1465" s="181" t="e">
        <f t="shared" si="178"/>
        <v>#REF!</v>
      </c>
    </row>
    <row r="1466" spans="1:15" s="193" customFormat="1" ht="13.5" customHeight="1" outlineLevel="2">
      <c r="A1466" s="155"/>
      <c r="B1466" s="234" t="s">
        <v>1026</v>
      </c>
      <c r="C1466" s="190" t="s">
        <v>93</v>
      </c>
      <c r="D1466" s="191"/>
      <c r="E1466" s="176"/>
      <c r="F1466" s="177"/>
      <c r="G1466" s="192"/>
      <c r="H1466" s="179"/>
      <c r="I1466" s="283" t="e">
        <f>IF(#REF!="",#REF!*#REF!,IF(#REF!=0,#REF!*#REF!,#REF!*#REF!*#REF!))</f>
        <v>#REF!</v>
      </c>
      <c r="J1466" s="180" t="e">
        <f>#REF!*#REF!</f>
        <v>#REF!</v>
      </c>
      <c r="K1466" s="178" t="e">
        <f>#REF!*mo</f>
        <v>#REF!</v>
      </c>
      <c r="L1466" s="178" t="e">
        <f t="shared" si="180"/>
        <v>#REF!</v>
      </c>
      <c r="M1466" s="178" t="e">
        <f>#REF!*#REF!</f>
        <v>#REF!</v>
      </c>
      <c r="N1466" s="178" t="e">
        <f>#REF!+K1466+#REF!</f>
        <v>#REF!</v>
      </c>
      <c r="O1466" s="181" t="e">
        <f t="shared" si="178"/>
        <v>#REF!</v>
      </c>
    </row>
    <row r="1467" spans="1:15" s="193" customFormat="1" ht="13.5" customHeight="1" outlineLevel="2">
      <c r="A1467" s="155"/>
      <c r="B1467" s="234"/>
      <c r="C1467" s="190"/>
      <c r="D1467" s="191"/>
      <c r="E1467" s="176"/>
      <c r="F1467" s="177"/>
      <c r="G1467" s="192"/>
      <c r="H1467" s="179"/>
      <c r="I1467" s="283"/>
      <c r="J1467" s="180"/>
      <c r="K1467" s="178"/>
      <c r="L1467" s="178"/>
      <c r="M1467" s="178"/>
      <c r="N1467" s="178"/>
      <c r="O1467" s="181"/>
    </row>
    <row r="1468" spans="1:15" s="193" customFormat="1" outlineLevel="2">
      <c r="A1468" s="155"/>
      <c r="B1468" s="239" t="s">
        <v>1027</v>
      </c>
      <c r="C1468" s="190"/>
      <c r="D1468" s="191"/>
      <c r="E1468" s="176"/>
      <c r="F1468" s="177"/>
      <c r="G1468" s="192"/>
      <c r="H1468" s="179"/>
      <c r="I1468" s="283"/>
      <c r="J1468" s="180"/>
      <c r="K1468" s="178"/>
      <c r="L1468" s="178"/>
      <c r="M1468" s="178"/>
      <c r="N1468" s="178"/>
      <c r="O1468" s="181"/>
    </row>
    <row r="1469" spans="1:15" s="193" customFormat="1" outlineLevel="2">
      <c r="A1469" s="155"/>
      <c r="B1469" s="234" t="s">
        <v>1028</v>
      </c>
      <c r="C1469" s="190" t="s">
        <v>93</v>
      </c>
      <c r="D1469" s="191"/>
      <c r="E1469" s="176"/>
      <c r="F1469" s="177"/>
      <c r="G1469" s="192"/>
      <c r="H1469" s="179"/>
      <c r="I1469" s="283" t="e">
        <f>IF(#REF!="",#REF!*#REF!,IF(#REF!=0,#REF!*#REF!,#REF!*#REF!*#REF!))</f>
        <v>#REF!</v>
      </c>
      <c r="J1469" s="180" t="e">
        <f>#REF!*#REF!</f>
        <v>#REF!</v>
      </c>
      <c r="K1469" s="178" t="e">
        <f>#REF!*mo</f>
        <v>#REF!</v>
      </c>
      <c r="L1469" s="178" t="e">
        <f t="shared" ref="L1469:L1472" si="186">J1469*mo</f>
        <v>#REF!</v>
      </c>
      <c r="M1469" s="178" t="e">
        <f>#REF!*#REF!</f>
        <v>#REF!</v>
      </c>
      <c r="N1469" s="178" t="e">
        <f>#REF!+K1469+#REF!</f>
        <v>#REF!</v>
      </c>
      <c r="O1469" s="181" t="e">
        <f t="shared" ref="O1469:O1472" si="187">M1469+L1469+I1469</f>
        <v>#REF!</v>
      </c>
    </row>
    <row r="1470" spans="1:15" s="193" customFormat="1" outlineLevel="2">
      <c r="A1470" s="155"/>
      <c r="B1470" s="234" t="s">
        <v>1029</v>
      </c>
      <c r="C1470" s="190" t="s">
        <v>93</v>
      </c>
      <c r="D1470" s="191"/>
      <c r="E1470" s="176"/>
      <c r="F1470" s="177"/>
      <c r="G1470" s="192"/>
      <c r="H1470" s="179"/>
      <c r="I1470" s="283" t="e">
        <f>IF(#REF!="",#REF!*#REF!,IF(#REF!=0,#REF!*#REF!,#REF!*#REF!*#REF!))</f>
        <v>#REF!</v>
      </c>
      <c r="J1470" s="180" t="e">
        <f>#REF!*#REF!</f>
        <v>#REF!</v>
      </c>
      <c r="K1470" s="178" t="e">
        <f>#REF!*mo</f>
        <v>#REF!</v>
      </c>
      <c r="L1470" s="178" t="e">
        <f t="shared" ref="L1470" si="188">J1470*mo</f>
        <v>#REF!</v>
      </c>
      <c r="M1470" s="178" t="e">
        <f>#REF!*#REF!</f>
        <v>#REF!</v>
      </c>
      <c r="N1470" s="178" t="e">
        <f>#REF!+K1470+#REF!</f>
        <v>#REF!</v>
      </c>
      <c r="O1470" s="181" t="e">
        <f t="shared" si="187"/>
        <v>#REF!</v>
      </c>
    </row>
    <row r="1471" spans="1:15" s="193" customFormat="1" outlineLevel="2">
      <c r="A1471" s="155"/>
      <c r="B1471" s="197" t="s">
        <v>905</v>
      </c>
      <c r="C1471" s="190" t="s">
        <v>93</v>
      </c>
      <c r="D1471" s="191"/>
      <c r="E1471" s="176"/>
      <c r="F1471" s="177"/>
      <c r="G1471" s="192"/>
      <c r="H1471" s="179"/>
      <c r="I1471" s="283" t="e">
        <f>IF(#REF!="",#REF!*#REF!,IF(#REF!=0,#REF!*#REF!,#REF!*#REF!*#REF!))</f>
        <v>#REF!</v>
      </c>
      <c r="J1471" s="180" t="e">
        <f>#REF!*#REF!</f>
        <v>#REF!</v>
      </c>
      <c r="K1471" s="178" t="e">
        <f>#REF!*mo</f>
        <v>#REF!</v>
      </c>
      <c r="L1471" s="178" t="e">
        <f t="shared" si="186"/>
        <v>#REF!</v>
      </c>
      <c r="M1471" s="178" t="e">
        <f>#REF!*#REF!</f>
        <v>#REF!</v>
      </c>
      <c r="N1471" s="178" t="e">
        <f>#REF!+K1471+#REF!</f>
        <v>#REF!</v>
      </c>
      <c r="O1471" s="181" t="e">
        <f t="shared" si="187"/>
        <v>#REF!</v>
      </c>
    </row>
    <row r="1472" spans="1:15" s="193" customFormat="1" outlineLevel="2">
      <c r="A1472" s="155"/>
      <c r="B1472" s="197" t="s">
        <v>906</v>
      </c>
      <c r="C1472" s="190" t="s">
        <v>93</v>
      </c>
      <c r="D1472" s="191"/>
      <c r="E1472" s="176"/>
      <c r="F1472" s="177"/>
      <c r="G1472" s="192"/>
      <c r="H1472" s="179"/>
      <c r="I1472" s="283" t="e">
        <f>IF(#REF!="",#REF!*#REF!,IF(#REF!=0,#REF!*#REF!,#REF!*#REF!*#REF!))</f>
        <v>#REF!</v>
      </c>
      <c r="J1472" s="180" t="e">
        <f>#REF!*#REF!</f>
        <v>#REF!</v>
      </c>
      <c r="K1472" s="178" t="e">
        <f>#REF!*mo</f>
        <v>#REF!</v>
      </c>
      <c r="L1472" s="178" t="e">
        <f t="shared" si="186"/>
        <v>#REF!</v>
      </c>
      <c r="M1472" s="178" t="e">
        <f>#REF!*#REF!</f>
        <v>#REF!</v>
      </c>
      <c r="N1472" s="178" t="e">
        <f>#REF!+K1472+#REF!</f>
        <v>#REF!</v>
      </c>
      <c r="O1472" s="181" t="e">
        <f t="shared" si="187"/>
        <v>#REF!</v>
      </c>
    </row>
    <row r="1473" spans="1:15" s="193" customFormat="1" outlineLevel="2">
      <c r="A1473" s="155"/>
      <c r="B1473" s="197"/>
      <c r="C1473" s="190"/>
      <c r="D1473" s="191"/>
      <c r="E1473" s="176"/>
      <c r="F1473" s="177"/>
      <c r="G1473" s="192"/>
      <c r="H1473" s="179"/>
      <c r="I1473" s="283"/>
      <c r="J1473" s="180"/>
      <c r="K1473" s="178"/>
      <c r="L1473" s="178"/>
      <c r="M1473" s="178"/>
      <c r="N1473" s="178"/>
      <c r="O1473" s="181"/>
    </row>
    <row r="1474" spans="1:15" s="193" customFormat="1" outlineLevel="2">
      <c r="A1474" s="155"/>
      <c r="B1474" s="197" t="s">
        <v>1030</v>
      </c>
      <c r="C1474" s="190" t="s">
        <v>93</v>
      </c>
      <c r="D1474" s="191"/>
      <c r="E1474" s="176"/>
      <c r="F1474" s="177"/>
      <c r="G1474" s="192"/>
      <c r="H1474" s="179"/>
      <c r="I1474" s="283" t="e">
        <f>IF(#REF!="",#REF!*#REF!,IF(#REF!=0,#REF!*#REF!,#REF!*#REF!*#REF!))</f>
        <v>#REF!</v>
      </c>
      <c r="J1474" s="180" t="e">
        <f>#REF!*#REF!</f>
        <v>#REF!</v>
      </c>
      <c r="K1474" s="178" t="e">
        <f>#REF!*mo</f>
        <v>#REF!</v>
      </c>
      <c r="L1474" s="178" t="e">
        <f t="shared" ref="L1474" si="189">J1474*mo</f>
        <v>#REF!</v>
      </c>
      <c r="M1474" s="178" t="e">
        <f>#REF!*#REF!</f>
        <v>#REF!</v>
      </c>
      <c r="N1474" s="178" t="e">
        <f>#REF!+K1474+#REF!</f>
        <v>#REF!</v>
      </c>
      <c r="O1474" s="181" t="e">
        <f t="shared" ref="O1474:O1484" si="190">M1474+L1474+I1474</f>
        <v>#REF!</v>
      </c>
    </row>
    <row r="1475" spans="1:15" s="193" customFormat="1" outlineLevel="2">
      <c r="A1475" s="155"/>
      <c r="B1475" s="156"/>
      <c r="C1475" s="190"/>
      <c r="D1475" s="191"/>
      <c r="E1475" s="176"/>
      <c r="F1475" s="177"/>
      <c r="G1475" s="192"/>
      <c r="H1475" s="179"/>
      <c r="I1475" s="283" t="e">
        <f>IF(#REF!="",#REF!*#REF!,IF(#REF!=0,#REF!*#REF!,#REF!*#REF!*#REF!))</f>
        <v>#REF!</v>
      </c>
      <c r="J1475" s="180" t="e">
        <f>#REF!*#REF!</f>
        <v>#REF!</v>
      </c>
      <c r="K1475" s="178" t="e">
        <f>#REF!*mo</f>
        <v>#REF!</v>
      </c>
      <c r="L1475" s="178" t="e">
        <f t="shared" ref="L1475:L1484" si="191">J1475*mo</f>
        <v>#REF!</v>
      </c>
      <c r="M1475" s="178" t="e">
        <f>#REF!*#REF!</f>
        <v>#REF!</v>
      </c>
      <c r="N1475" s="178" t="e">
        <f>#REF!+K1475+#REF!</f>
        <v>#REF!</v>
      </c>
      <c r="O1475" s="181" t="e">
        <f t="shared" si="190"/>
        <v>#REF!</v>
      </c>
    </row>
    <row r="1476" spans="1:15" s="193" customFormat="1" outlineLevel="1">
      <c r="A1476" s="157" t="str">
        <f>$A$534&amp;".2"</f>
        <v>.2</v>
      </c>
      <c r="B1476" s="210" t="s">
        <v>1031</v>
      </c>
      <c r="C1476" s="190"/>
      <c r="D1476" s="191"/>
      <c r="E1476" s="176"/>
      <c r="F1476" s="177"/>
      <c r="G1476" s="192">
        <f>SUM(F1477:F1485)</f>
        <v>0</v>
      </c>
      <c r="H1476" s="179"/>
      <c r="I1476" s="283" t="e">
        <f>IF(#REF!="",#REF!*#REF!,IF(#REF!=0,#REF!*#REF!,#REF!*#REF!*#REF!))</f>
        <v>#REF!</v>
      </c>
      <c r="J1476" s="180" t="e">
        <f>#REF!*#REF!</f>
        <v>#REF!</v>
      </c>
      <c r="K1476" s="178" t="e">
        <f>#REF!*mo</f>
        <v>#REF!</v>
      </c>
      <c r="L1476" s="178" t="e">
        <f t="shared" si="191"/>
        <v>#REF!</v>
      </c>
      <c r="M1476" s="178" t="e">
        <f>#REF!*#REF!</f>
        <v>#REF!</v>
      </c>
      <c r="N1476" s="178" t="e">
        <f>#REF!+K1476+#REF!</f>
        <v>#REF!</v>
      </c>
      <c r="O1476" s="181" t="e">
        <f t="shared" si="190"/>
        <v>#REF!</v>
      </c>
    </row>
    <row r="1477" spans="1:15" s="193" customFormat="1" outlineLevel="2">
      <c r="A1477" s="211"/>
      <c r="B1477" s="210"/>
      <c r="C1477" s="190"/>
      <c r="D1477" s="191"/>
      <c r="E1477" s="176"/>
      <c r="F1477" s="177"/>
      <c r="G1477" s="192"/>
      <c r="H1477" s="179"/>
      <c r="I1477" s="283" t="e">
        <f>IF(#REF!="",#REF!*#REF!,IF(#REF!=0,#REF!*#REF!,#REF!*#REF!*#REF!))</f>
        <v>#REF!</v>
      </c>
      <c r="J1477" s="180" t="e">
        <f>#REF!*#REF!</f>
        <v>#REF!</v>
      </c>
      <c r="K1477" s="178" t="e">
        <f>#REF!*mo</f>
        <v>#REF!</v>
      </c>
      <c r="L1477" s="178" t="e">
        <f t="shared" si="191"/>
        <v>#REF!</v>
      </c>
      <c r="M1477" s="178" t="e">
        <f>#REF!*#REF!</f>
        <v>#REF!</v>
      </c>
      <c r="N1477" s="178" t="e">
        <f>#REF!+K1477+#REF!</f>
        <v>#REF!</v>
      </c>
      <c r="O1477" s="181" t="e">
        <f t="shared" si="190"/>
        <v>#REF!</v>
      </c>
    </row>
    <row r="1478" spans="1:15" s="193" customFormat="1" outlineLevel="2">
      <c r="A1478" s="211"/>
      <c r="B1478" s="212" t="s">
        <v>1008</v>
      </c>
      <c r="C1478" s="190" t="s">
        <v>795</v>
      </c>
      <c r="D1478" s="191"/>
      <c r="E1478" s="176"/>
      <c r="F1478" s="177"/>
      <c r="G1478" s="192"/>
      <c r="H1478" s="179"/>
      <c r="I1478" s="283" t="e">
        <f>IF(#REF!="",#REF!*#REF!,IF(#REF!=0,#REF!*#REF!,#REF!*#REF!*#REF!))</f>
        <v>#REF!</v>
      </c>
      <c r="J1478" s="180" t="e">
        <f>#REF!*#REF!</f>
        <v>#REF!</v>
      </c>
      <c r="K1478" s="178" t="e">
        <f>#REF!*mo</f>
        <v>#REF!</v>
      </c>
      <c r="L1478" s="178" t="e">
        <f t="shared" si="191"/>
        <v>#REF!</v>
      </c>
      <c r="M1478" s="178" t="e">
        <f>#REF!*#REF!</f>
        <v>#REF!</v>
      </c>
      <c r="N1478" s="178" t="e">
        <f>#REF!+K1478+#REF!</f>
        <v>#REF!</v>
      </c>
      <c r="O1478" s="181" t="e">
        <f t="shared" si="190"/>
        <v>#REF!</v>
      </c>
    </row>
    <row r="1479" spans="1:15" s="193" customFormat="1" outlineLevel="2">
      <c r="A1479" s="211"/>
      <c r="B1479" s="212" t="s">
        <v>1009</v>
      </c>
      <c r="C1479" s="190" t="s">
        <v>795</v>
      </c>
      <c r="D1479" s="191"/>
      <c r="E1479" s="176"/>
      <c r="F1479" s="177"/>
      <c r="G1479" s="192"/>
      <c r="H1479" s="179"/>
      <c r="I1479" s="283" t="e">
        <f>IF(#REF!="",#REF!*#REF!,IF(#REF!=0,#REF!*#REF!,#REF!*#REF!*#REF!))</f>
        <v>#REF!</v>
      </c>
      <c r="J1479" s="180" t="e">
        <f>#REF!*#REF!</f>
        <v>#REF!</v>
      </c>
      <c r="K1479" s="178" t="e">
        <f>#REF!*mo</f>
        <v>#REF!</v>
      </c>
      <c r="L1479" s="178" t="e">
        <f t="shared" si="191"/>
        <v>#REF!</v>
      </c>
      <c r="M1479" s="178" t="e">
        <f>#REF!*#REF!</f>
        <v>#REF!</v>
      </c>
      <c r="N1479" s="178" t="e">
        <f>#REF!+K1479+#REF!</f>
        <v>#REF!</v>
      </c>
      <c r="O1479" s="181" t="e">
        <f t="shared" si="190"/>
        <v>#REF!</v>
      </c>
    </row>
    <row r="1480" spans="1:15" s="193" customFormat="1" outlineLevel="2">
      <c r="A1480" s="211"/>
      <c r="B1480" s="212" t="s">
        <v>1010</v>
      </c>
      <c r="C1480" s="190" t="s">
        <v>795</v>
      </c>
      <c r="D1480" s="191"/>
      <c r="E1480" s="176"/>
      <c r="F1480" s="177"/>
      <c r="G1480" s="192"/>
      <c r="H1480" s="179"/>
      <c r="I1480" s="283" t="e">
        <f>IF(#REF!="",#REF!*#REF!,IF(#REF!=0,#REF!*#REF!,#REF!*#REF!*#REF!))</f>
        <v>#REF!</v>
      </c>
      <c r="J1480" s="180" t="e">
        <f>#REF!*#REF!</f>
        <v>#REF!</v>
      </c>
      <c r="K1480" s="178" t="e">
        <f>#REF!*mo</f>
        <v>#REF!</v>
      </c>
      <c r="L1480" s="178" t="e">
        <f t="shared" si="191"/>
        <v>#REF!</v>
      </c>
      <c r="M1480" s="178" t="e">
        <f>#REF!*#REF!</f>
        <v>#REF!</v>
      </c>
      <c r="N1480" s="178" t="e">
        <f>#REF!+K1480+#REF!</f>
        <v>#REF!</v>
      </c>
      <c r="O1480" s="181" t="e">
        <f t="shared" si="190"/>
        <v>#REF!</v>
      </c>
    </row>
    <row r="1481" spans="1:15" s="193" customFormat="1" outlineLevel="2">
      <c r="A1481" s="211"/>
      <c r="B1481" s="212" t="s">
        <v>1011</v>
      </c>
      <c r="C1481" s="190" t="s">
        <v>795</v>
      </c>
      <c r="D1481" s="191"/>
      <c r="E1481" s="176"/>
      <c r="F1481" s="177"/>
      <c r="G1481" s="192"/>
      <c r="H1481" s="179"/>
      <c r="I1481" s="283" t="e">
        <f>IF(#REF!="",#REF!*#REF!,IF(#REF!=0,#REF!*#REF!,#REF!*#REF!*#REF!))</f>
        <v>#REF!</v>
      </c>
      <c r="J1481" s="180" t="e">
        <f>#REF!*#REF!</f>
        <v>#REF!</v>
      </c>
      <c r="K1481" s="178" t="e">
        <f>#REF!*mo</f>
        <v>#REF!</v>
      </c>
      <c r="L1481" s="178" t="e">
        <f t="shared" si="191"/>
        <v>#REF!</v>
      </c>
      <c r="M1481" s="178" t="e">
        <f>#REF!*#REF!</f>
        <v>#REF!</v>
      </c>
      <c r="N1481" s="178" t="e">
        <f>#REF!+K1481+#REF!</f>
        <v>#REF!</v>
      </c>
      <c r="O1481" s="181" t="e">
        <f t="shared" si="190"/>
        <v>#REF!</v>
      </c>
    </row>
    <row r="1482" spans="1:15" s="193" customFormat="1" outlineLevel="2">
      <c r="A1482" s="211"/>
      <c r="B1482" s="212" t="s">
        <v>912</v>
      </c>
      <c r="C1482" s="190" t="s">
        <v>801</v>
      </c>
      <c r="D1482" s="191"/>
      <c r="E1482" s="176"/>
      <c r="F1482" s="177"/>
      <c r="G1482" s="192"/>
      <c r="H1482" s="179"/>
      <c r="I1482" s="283" t="e">
        <f>IF(#REF!="",#REF!*#REF!,IF(#REF!=0,#REF!*#REF!,#REF!*#REF!*#REF!))</f>
        <v>#REF!</v>
      </c>
      <c r="J1482" s="180" t="e">
        <f>#REF!*#REF!</f>
        <v>#REF!</v>
      </c>
      <c r="K1482" s="178" t="e">
        <f>#REF!*mo</f>
        <v>#REF!</v>
      </c>
      <c r="L1482" s="178" t="e">
        <f t="shared" si="191"/>
        <v>#REF!</v>
      </c>
      <c r="M1482" s="178" t="e">
        <f>#REF!*#REF!</f>
        <v>#REF!</v>
      </c>
      <c r="N1482" s="178" t="e">
        <f>#REF!+K1482+#REF!</f>
        <v>#REF!</v>
      </c>
      <c r="O1482" s="181" t="e">
        <f t="shared" si="190"/>
        <v>#REF!</v>
      </c>
    </row>
    <row r="1483" spans="1:15" s="193" customFormat="1" outlineLevel="1">
      <c r="A1483" s="211"/>
      <c r="B1483" s="212"/>
      <c r="C1483" s="190"/>
      <c r="D1483" s="191"/>
      <c r="E1483" s="176"/>
      <c r="F1483" s="177"/>
      <c r="G1483" s="192"/>
      <c r="H1483" s="179"/>
      <c r="I1483" s="283" t="e">
        <f>IF(#REF!="",#REF!*#REF!,IF(#REF!=0,#REF!*#REF!,#REF!*#REF!*#REF!))</f>
        <v>#REF!</v>
      </c>
      <c r="J1483" s="180" t="e">
        <f>#REF!*#REF!</f>
        <v>#REF!</v>
      </c>
      <c r="K1483" s="178" t="e">
        <f>#REF!*mo</f>
        <v>#REF!</v>
      </c>
      <c r="L1483" s="178" t="e">
        <f t="shared" si="191"/>
        <v>#REF!</v>
      </c>
      <c r="M1483" s="178" t="e">
        <f>#REF!*#REF!</f>
        <v>#REF!</v>
      </c>
      <c r="N1483" s="178" t="e">
        <f>#REF!+K1483+#REF!</f>
        <v>#REF!</v>
      </c>
      <c r="O1483" s="181" t="e">
        <f t="shared" si="190"/>
        <v>#REF!</v>
      </c>
    </row>
    <row r="1484" spans="1:15" s="193" customFormat="1" outlineLevel="1">
      <c r="A1484" s="155"/>
      <c r="B1484" s="198" t="str">
        <f>"Total "&amp;B1420</f>
        <v>Total DISTRIBUTION ECS</v>
      </c>
      <c r="C1484" s="190"/>
      <c r="D1484" s="191"/>
      <c r="E1484" s="176"/>
      <c r="F1484" s="177"/>
      <c r="G1484" s="192"/>
      <c r="H1484" s="179">
        <f>SUM(G1421:G1485)</f>
        <v>0</v>
      </c>
      <c r="I1484" s="283" t="e">
        <f>IF(#REF!="",#REF!*#REF!,IF(#REF!=0,#REF!*#REF!,#REF!*#REF!*#REF!))</f>
        <v>#REF!</v>
      </c>
      <c r="J1484" s="180" t="e">
        <f>#REF!*#REF!</f>
        <v>#REF!</v>
      </c>
      <c r="K1484" s="178" t="e">
        <f>#REF!*mo</f>
        <v>#REF!</v>
      </c>
      <c r="L1484" s="178" t="e">
        <f t="shared" si="191"/>
        <v>#REF!</v>
      </c>
      <c r="M1484" s="178" t="e">
        <f>#REF!*#REF!</f>
        <v>#REF!</v>
      </c>
      <c r="N1484" s="178" t="e">
        <f>#REF!+K1484+#REF!</f>
        <v>#REF!</v>
      </c>
      <c r="O1484" s="181" t="e">
        <f t="shared" si="190"/>
        <v>#REF!</v>
      </c>
    </row>
    <row r="1485" spans="1:15" s="193" customFormat="1" outlineLevel="2">
      <c r="A1485" s="211"/>
      <c r="B1485" s="212"/>
      <c r="C1485" s="190"/>
      <c r="D1485" s="191"/>
      <c r="E1485" s="176"/>
      <c r="F1485" s="177"/>
      <c r="G1485" s="192"/>
      <c r="H1485" s="179"/>
      <c r="I1485" s="283"/>
      <c r="J1485" s="180"/>
      <c r="K1485" s="178"/>
      <c r="L1485" s="178"/>
      <c r="M1485" s="178"/>
      <c r="N1485" s="178"/>
      <c r="O1485" s="181"/>
    </row>
    <row r="1486" spans="1:15" s="193" customFormat="1" outlineLevel="2">
      <c r="A1486" s="211"/>
      <c r="B1486" s="212"/>
      <c r="C1486" s="190"/>
      <c r="D1486" s="191"/>
      <c r="E1486" s="176"/>
      <c r="F1486" s="177"/>
      <c r="G1486" s="192"/>
      <c r="H1486" s="179"/>
      <c r="I1486" s="283"/>
      <c r="J1486" s="180"/>
      <c r="K1486" s="178"/>
      <c r="L1486" s="178"/>
      <c r="M1486" s="178"/>
      <c r="N1486" s="178"/>
      <c r="O1486" s="181"/>
    </row>
    <row r="1487" spans="1:15" s="193" customFormat="1" outlineLevel="2">
      <c r="A1487" s="211"/>
      <c r="B1487" s="212"/>
      <c r="C1487" s="190"/>
      <c r="D1487" s="191"/>
      <c r="E1487" s="176"/>
      <c r="F1487" s="177"/>
      <c r="G1487" s="192"/>
      <c r="H1487" s="179"/>
      <c r="I1487" s="283"/>
      <c r="J1487" s="180"/>
      <c r="K1487" s="178"/>
      <c r="L1487" s="178"/>
      <c r="M1487" s="178"/>
      <c r="N1487" s="178"/>
      <c r="O1487" s="181"/>
    </row>
    <row r="1488" spans="1:15" s="193" customFormat="1" outlineLevel="2">
      <c r="A1488" s="211"/>
      <c r="B1488" s="212"/>
      <c r="C1488" s="190"/>
      <c r="D1488" s="191"/>
      <c r="E1488" s="176"/>
      <c r="F1488" s="177"/>
      <c r="G1488" s="192"/>
      <c r="H1488" s="179"/>
      <c r="I1488" s="283"/>
      <c r="J1488" s="180"/>
      <c r="K1488" s="178"/>
      <c r="L1488" s="178"/>
      <c r="M1488" s="178"/>
      <c r="N1488" s="178"/>
      <c r="O1488" s="181"/>
    </row>
    <row r="1489" spans="1:15" s="193" customFormat="1" outlineLevel="2">
      <c r="A1489" s="211"/>
      <c r="B1489" s="212"/>
      <c r="C1489" s="190"/>
      <c r="D1489" s="191"/>
      <c r="E1489" s="176"/>
      <c r="F1489" s="177"/>
      <c r="G1489" s="192"/>
      <c r="H1489" s="179"/>
      <c r="I1489" s="283"/>
      <c r="J1489" s="180"/>
      <c r="K1489" s="178"/>
      <c r="L1489" s="178"/>
      <c r="M1489" s="178"/>
      <c r="N1489" s="178"/>
      <c r="O1489" s="181"/>
    </row>
    <row r="1490" spans="1:15" s="193" customFormat="1" outlineLevel="1">
      <c r="A1490" s="155"/>
      <c r="B1490" s="198"/>
      <c r="C1490" s="190"/>
      <c r="D1490" s="191"/>
      <c r="E1490" s="176"/>
      <c r="F1490" s="177"/>
      <c r="G1490" s="192"/>
      <c r="H1490" s="179"/>
      <c r="I1490" s="283"/>
      <c r="J1490" s="180"/>
      <c r="K1490" s="178"/>
      <c r="L1490" s="178"/>
      <c r="M1490" s="178"/>
      <c r="N1490" s="178"/>
      <c r="O1490" s="181"/>
    </row>
    <row r="1491" spans="1:15" s="193" customFormat="1" outlineLevel="1">
      <c r="A1491" s="155"/>
      <c r="B1491" s="156"/>
      <c r="C1491" s="190"/>
      <c r="D1491" s="191"/>
      <c r="E1491" s="176"/>
      <c r="F1491" s="177"/>
      <c r="G1491" s="192"/>
      <c r="H1491" s="179"/>
      <c r="I1491" s="283" t="e">
        <f>IF(#REF!="",#REF!*#REF!,IF(#REF!=0,#REF!*#REF!,#REF!*#REF!*#REF!))</f>
        <v>#REF!</v>
      </c>
      <c r="J1491" s="180" t="e">
        <f>#REF!*#REF!</f>
        <v>#REF!</v>
      </c>
      <c r="K1491" s="178" t="e">
        <f>#REF!*mo</f>
        <v>#REF!</v>
      </c>
      <c r="L1491" s="178" t="e">
        <f t="shared" ref="L1491" si="192">J1491*mo</f>
        <v>#REF!</v>
      </c>
      <c r="M1491" s="178" t="e">
        <f>#REF!*#REF!</f>
        <v>#REF!</v>
      </c>
      <c r="N1491" s="178" t="e">
        <f>#REF!+K1491+#REF!</f>
        <v>#REF!</v>
      </c>
      <c r="O1491" s="181" t="e">
        <f t="shared" ref="O1491" si="193">M1491+L1491+I1491</f>
        <v>#REF!</v>
      </c>
    </row>
    <row r="1492" spans="1:15" s="194" customFormat="1" ht="12.6">
      <c r="A1492" s="153">
        <v>7</v>
      </c>
      <c r="B1492" s="154" t="s">
        <v>1032</v>
      </c>
      <c r="C1492" s="182"/>
      <c r="D1492" s="183"/>
      <c r="E1492" s="184"/>
      <c r="F1492" s="185"/>
      <c r="G1492" s="186"/>
      <c r="H1492" s="187">
        <f>SUM(H1493:H1692)</f>
        <v>0</v>
      </c>
      <c r="I1492" s="282" t="e">
        <f>IF(#REF!="",#REF!*#REF!,IF(#REF!=0,#REF!*#REF!,#REF!*#REF!*#REF!))</f>
        <v>#REF!</v>
      </c>
      <c r="J1492" s="188"/>
      <c r="K1492" s="186"/>
      <c r="L1492" s="186"/>
      <c r="M1492" s="186"/>
      <c r="N1492" s="186"/>
      <c r="O1492" s="187"/>
    </row>
    <row r="1493" spans="1:15" s="193" customFormat="1" outlineLevel="1">
      <c r="A1493" s="155"/>
      <c r="B1493" s="156"/>
      <c r="C1493" s="190"/>
      <c r="D1493" s="191"/>
      <c r="E1493" s="176"/>
      <c r="F1493" s="177"/>
      <c r="G1493" s="192"/>
      <c r="H1493" s="179"/>
      <c r="I1493" s="283" t="e">
        <f>IF(#REF!="",#REF!*#REF!,IF(#REF!=0,#REF!*#REF!,#REF!*#REF!*#REF!))</f>
        <v>#REF!</v>
      </c>
      <c r="J1493" s="180" t="e">
        <f>#REF!*#REF!</f>
        <v>#REF!</v>
      </c>
      <c r="K1493" s="178" t="e">
        <f>#REF!*mo</f>
        <v>#REF!</v>
      </c>
      <c r="L1493" s="178" t="e">
        <f>J1493*mo</f>
        <v>#REF!</v>
      </c>
      <c r="M1493" s="178" t="e">
        <f>#REF!*#REF!</f>
        <v>#REF!</v>
      </c>
      <c r="N1493" s="178" t="e">
        <f>#REF!+K1493+#REF!</f>
        <v>#REF!</v>
      </c>
      <c r="O1493" s="181" t="e">
        <f>M1493+L1493+I1493</f>
        <v>#REF!</v>
      </c>
    </row>
    <row r="1494" spans="1:15" s="209" customFormat="1" outlineLevel="1">
      <c r="A1494" s="157" t="str">
        <f>$A$606&amp;".1"</f>
        <v>.1</v>
      </c>
      <c r="B1494" s="158" t="s">
        <v>1033</v>
      </c>
      <c r="C1494" s="195"/>
      <c r="D1494" s="170"/>
      <c r="E1494" s="176"/>
      <c r="F1494" s="177"/>
      <c r="G1494" s="192"/>
      <c r="H1494" s="196"/>
      <c r="I1494" s="283" t="e">
        <f>IF(#REF!="",#REF!*#REF!,IF(#REF!=0,#REF!*#REF!,#REF!*#REF!*#REF!))</f>
        <v>#REF!</v>
      </c>
      <c r="J1494" s="180" t="e">
        <f>#REF!*#REF!</f>
        <v>#REF!</v>
      </c>
      <c r="K1494" s="178" t="e">
        <f>#REF!*mo</f>
        <v>#REF!</v>
      </c>
      <c r="L1494" s="178" t="e">
        <f t="shared" ref="L1494:L1572" si="194">J1494*mo</f>
        <v>#REF!</v>
      </c>
      <c r="M1494" s="178" t="e">
        <f>#REF!*#REF!</f>
        <v>#REF!</v>
      </c>
      <c r="N1494" s="178" t="e">
        <f>#REF!+K1494+#REF!</f>
        <v>#REF!</v>
      </c>
      <c r="O1494" s="181" t="e">
        <f t="shared" ref="O1494:O1572" si="195">M1494+L1494+I1494</f>
        <v>#REF!</v>
      </c>
    </row>
    <row r="1495" spans="1:15" s="209" customFormat="1" outlineLevel="2">
      <c r="A1495" s="238"/>
      <c r="B1495" s="241"/>
      <c r="C1495" s="195"/>
      <c r="D1495" s="170"/>
      <c r="E1495" s="242"/>
      <c r="F1495" s="243"/>
      <c r="G1495" s="192"/>
      <c r="H1495" s="179"/>
      <c r="I1495" s="291" t="e">
        <f>IF(#REF!="",#REF!*#REF!,IF(#REF!=0,#REF!*#REF!,#REF!*#REF!*#REF!))</f>
        <v>#REF!</v>
      </c>
      <c r="J1495" s="244" t="e">
        <f>#REF!*#REF!</f>
        <v>#REF!</v>
      </c>
      <c r="K1495" s="192" t="e">
        <f>#REF!*mo</f>
        <v>#REF!</v>
      </c>
      <c r="L1495" s="192" t="e">
        <f t="shared" si="194"/>
        <v>#REF!</v>
      </c>
      <c r="M1495" s="192" t="e">
        <f>#REF!*#REF!</f>
        <v>#REF!</v>
      </c>
      <c r="N1495" s="192" t="e">
        <f>#REF!+K1495+#REF!</f>
        <v>#REF!</v>
      </c>
      <c r="O1495" s="179" t="e">
        <f t="shared" si="195"/>
        <v>#REF!</v>
      </c>
    </row>
    <row r="1496" spans="1:15" s="209" customFormat="1" outlineLevel="2">
      <c r="A1496" s="238"/>
      <c r="B1496" s="236" t="s">
        <v>1035</v>
      </c>
      <c r="C1496" s="190" t="s">
        <v>801</v>
      </c>
      <c r="D1496" s="191"/>
      <c r="E1496" s="176"/>
      <c r="F1496" s="177"/>
      <c r="G1496" s="178"/>
      <c r="H1496" s="179"/>
      <c r="I1496" s="291" t="e">
        <f>IF(#REF!="",#REF!*#REF!,IF(#REF!=0,#REF!*#REF!,#REF!*#REF!*#REF!))</f>
        <v>#REF!</v>
      </c>
      <c r="J1496" s="244" t="e">
        <f>#REF!*#REF!</f>
        <v>#REF!</v>
      </c>
      <c r="K1496" s="192" t="e">
        <f>#REF!*mo</f>
        <v>#REF!</v>
      </c>
      <c r="L1496" s="192" t="e">
        <f t="shared" ref="L1496" si="196">J1496*mo</f>
        <v>#REF!</v>
      </c>
      <c r="M1496" s="192" t="e">
        <f>#REF!*#REF!</f>
        <v>#REF!</v>
      </c>
      <c r="N1496" s="192" t="e">
        <f>#REF!+K1496+#REF!</f>
        <v>#REF!</v>
      </c>
      <c r="O1496" s="179" t="e">
        <f t="shared" si="195"/>
        <v>#REF!</v>
      </c>
    </row>
    <row r="1497" spans="1:15" s="209" customFormat="1" outlineLevel="2">
      <c r="A1497" s="238"/>
      <c r="B1497" s="236"/>
      <c r="C1497" s="190"/>
      <c r="D1497" s="191"/>
      <c r="E1497" s="176"/>
      <c r="F1497" s="177"/>
      <c r="G1497" s="178"/>
      <c r="H1497" s="179"/>
      <c r="I1497" s="291"/>
      <c r="J1497" s="244"/>
      <c r="K1497" s="192"/>
      <c r="L1497" s="192"/>
      <c r="M1497" s="192"/>
      <c r="N1497" s="192"/>
      <c r="O1497" s="179"/>
    </row>
    <row r="1498" spans="1:15" s="209" customFormat="1" outlineLevel="2">
      <c r="A1498" s="238"/>
      <c r="B1498" s="236" t="s">
        <v>1036</v>
      </c>
      <c r="C1498" s="190" t="s">
        <v>93</v>
      </c>
      <c r="D1498" s="191"/>
      <c r="E1498" s="176"/>
      <c r="F1498" s="177"/>
      <c r="G1498" s="178"/>
      <c r="H1498" s="179"/>
      <c r="I1498" s="291" t="e">
        <f>IF(#REF!="",#REF!*#REF!,IF(#REF!=0,#REF!*#REF!,#REF!*#REF!*#REF!))</f>
        <v>#REF!</v>
      </c>
      <c r="J1498" s="244" t="e">
        <f>#REF!*#REF!</f>
        <v>#REF!</v>
      </c>
      <c r="K1498" s="192" t="e">
        <f>#REF!*mo</f>
        <v>#REF!</v>
      </c>
      <c r="L1498" s="192" t="e">
        <f t="shared" si="194"/>
        <v>#REF!</v>
      </c>
      <c r="M1498" s="192" t="e">
        <f>#REF!*#REF!</f>
        <v>#REF!</v>
      </c>
      <c r="N1498" s="192" t="e">
        <f>#REF!+K1498+#REF!</f>
        <v>#REF!</v>
      </c>
      <c r="O1498" s="179" t="e">
        <f t="shared" si="195"/>
        <v>#REF!</v>
      </c>
    </row>
    <row r="1499" spans="1:15" s="209" customFormat="1" outlineLevel="2">
      <c r="A1499" s="238"/>
      <c r="B1499" s="236" t="s">
        <v>1037</v>
      </c>
      <c r="C1499" s="190" t="s">
        <v>70</v>
      </c>
      <c r="D1499" s="191"/>
      <c r="E1499" s="176"/>
      <c r="F1499" s="177"/>
      <c r="G1499" s="178"/>
      <c r="H1499" s="179"/>
      <c r="I1499" s="291" t="e">
        <f>IF(#REF!="",#REF!*#REF!,IF(#REF!=0,#REF!*#REF!,#REF!*#REF!*#REF!))</f>
        <v>#REF!</v>
      </c>
      <c r="J1499" s="244" t="e">
        <f>#REF!*#REF!</f>
        <v>#REF!</v>
      </c>
      <c r="K1499" s="192" t="e">
        <f>#REF!*mo</f>
        <v>#REF!</v>
      </c>
      <c r="L1499" s="192" t="e">
        <f t="shared" ref="L1499" si="197">J1499*mo</f>
        <v>#REF!</v>
      </c>
      <c r="M1499" s="192" t="e">
        <f>#REF!*#REF!</f>
        <v>#REF!</v>
      </c>
      <c r="N1499" s="192" t="e">
        <f>#REF!+K1499+#REF!</f>
        <v>#REF!</v>
      </c>
      <c r="O1499" s="179" t="e">
        <f t="shared" si="195"/>
        <v>#REF!</v>
      </c>
    </row>
    <row r="1500" spans="1:15" s="209" customFormat="1" outlineLevel="2">
      <c r="A1500" s="238"/>
      <c r="B1500" s="241"/>
      <c r="C1500" s="190"/>
      <c r="D1500" s="191"/>
      <c r="E1500" s="176"/>
      <c r="F1500" s="177"/>
      <c r="G1500" s="178"/>
      <c r="H1500" s="179"/>
      <c r="I1500" s="291" t="e">
        <f>IF(#REF!="",#REF!*#REF!,IF(#REF!=0,#REF!*#REF!,#REF!*#REF!*#REF!))</f>
        <v>#REF!</v>
      </c>
      <c r="J1500" s="244" t="e">
        <f>#REF!*#REF!</f>
        <v>#REF!</v>
      </c>
      <c r="K1500" s="192" t="e">
        <f>#REF!*mo</f>
        <v>#REF!</v>
      </c>
      <c r="L1500" s="192" t="e">
        <f t="shared" si="194"/>
        <v>#REF!</v>
      </c>
      <c r="M1500" s="192" t="e">
        <f>#REF!*#REF!</f>
        <v>#REF!</v>
      </c>
      <c r="N1500" s="192" t="e">
        <f>#REF!+K1500+#REF!</f>
        <v>#REF!</v>
      </c>
      <c r="O1500" s="179" t="e">
        <f t="shared" si="195"/>
        <v>#REF!</v>
      </c>
    </row>
    <row r="1501" spans="1:15" s="209" customFormat="1" outlineLevel="1">
      <c r="A1501" s="240" t="str">
        <f>$A$608&amp;".2"</f>
        <v>7.1.3.2</v>
      </c>
      <c r="B1501" s="210" t="s">
        <v>1038</v>
      </c>
      <c r="C1501" s="190"/>
      <c r="D1501" s="191"/>
      <c r="E1501" s="176"/>
      <c r="F1501" s="177"/>
      <c r="G1501" s="192">
        <f>SUM(F1502:F1525)</f>
        <v>0</v>
      </c>
      <c r="H1501" s="179"/>
      <c r="I1501" s="291" t="e">
        <f>IF(#REF!="",#REF!*#REF!,IF(#REF!=0,#REF!*#REF!,#REF!*#REF!*#REF!))</f>
        <v>#REF!</v>
      </c>
      <c r="J1501" s="244" t="e">
        <f>#REF!*#REF!</f>
        <v>#REF!</v>
      </c>
      <c r="K1501" s="192" t="e">
        <f>#REF!*mo</f>
        <v>#REF!</v>
      </c>
      <c r="L1501" s="192" t="e">
        <f t="shared" si="194"/>
        <v>#REF!</v>
      </c>
      <c r="M1501" s="192" t="e">
        <f>#REF!*#REF!</f>
        <v>#REF!</v>
      </c>
      <c r="N1501" s="192" t="e">
        <f>#REF!+K1501+#REF!</f>
        <v>#REF!</v>
      </c>
      <c r="O1501" s="179" t="e">
        <f t="shared" si="195"/>
        <v>#REF!</v>
      </c>
    </row>
    <row r="1502" spans="1:15" s="209" customFormat="1" outlineLevel="2">
      <c r="A1502" s="240"/>
      <c r="B1502" s="210"/>
      <c r="C1502" s="190"/>
      <c r="D1502" s="191"/>
      <c r="E1502" s="176"/>
      <c r="F1502" s="177"/>
      <c r="G1502" s="192"/>
      <c r="H1502" s="179"/>
      <c r="I1502" s="291" t="e">
        <f>IF(#REF!="",#REF!*#REF!,IF(#REF!=0,#REF!*#REF!,#REF!*#REF!*#REF!))</f>
        <v>#REF!</v>
      </c>
      <c r="J1502" s="244" t="e">
        <f>#REF!*#REF!</f>
        <v>#REF!</v>
      </c>
      <c r="K1502" s="192" t="e">
        <f>#REF!*mo</f>
        <v>#REF!</v>
      </c>
      <c r="L1502" s="192" t="e">
        <f t="shared" si="194"/>
        <v>#REF!</v>
      </c>
      <c r="M1502" s="192" t="e">
        <f>#REF!*#REF!</f>
        <v>#REF!</v>
      </c>
      <c r="N1502" s="192" t="e">
        <f>#REF!+K1502+#REF!</f>
        <v>#REF!</v>
      </c>
      <c r="O1502" s="179" t="e">
        <f t="shared" si="195"/>
        <v>#REF!</v>
      </c>
    </row>
    <row r="1503" spans="1:15" s="209" customFormat="1" outlineLevel="2">
      <c r="A1503" s="238"/>
      <c r="B1503" s="245" t="s">
        <v>1039</v>
      </c>
      <c r="C1503" s="190"/>
      <c r="D1503" s="191"/>
      <c r="E1503" s="176"/>
      <c r="F1503" s="177"/>
      <c r="G1503" s="192"/>
      <c r="H1503" s="179"/>
      <c r="I1503" s="291" t="e">
        <f>IF(#REF!="",#REF!*#REF!,IF(#REF!=0,#REF!*#REF!,#REF!*#REF!*#REF!))</f>
        <v>#REF!</v>
      </c>
      <c r="J1503" s="244" t="e">
        <f>#REF!*#REF!</f>
        <v>#REF!</v>
      </c>
      <c r="K1503" s="192" t="e">
        <f>#REF!*mo</f>
        <v>#REF!</v>
      </c>
      <c r="L1503" s="192" t="e">
        <f t="shared" si="194"/>
        <v>#REF!</v>
      </c>
      <c r="M1503" s="192" t="e">
        <f>#REF!*#REF!</f>
        <v>#REF!</v>
      </c>
      <c r="N1503" s="192" t="e">
        <f>#REF!+K1503+#REF!</f>
        <v>#REF!</v>
      </c>
      <c r="O1503" s="179" t="e">
        <f t="shared" si="195"/>
        <v>#REF!</v>
      </c>
    </row>
    <row r="1504" spans="1:15" s="209" customFormat="1" outlineLevel="2">
      <c r="A1504" s="238"/>
      <c r="B1504" s="212" t="s">
        <v>940</v>
      </c>
      <c r="C1504" s="190" t="s">
        <v>123</v>
      </c>
      <c r="D1504" s="191"/>
      <c r="E1504" s="176"/>
      <c r="F1504" s="177"/>
      <c r="G1504" s="192"/>
      <c r="H1504" s="179"/>
      <c r="I1504" s="291" t="e">
        <f>IF(#REF!="",#REF!*#REF!,IF(#REF!=0,#REF!*#REF!,#REF!*#REF!*#REF!))</f>
        <v>#REF!</v>
      </c>
      <c r="J1504" s="244" t="e">
        <f>#REF!*#REF!</f>
        <v>#REF!</v>
      </c>
      <c r="K1504" s="192" t="e">
        <f>#REF!*mo</f>
        <v>#REF!</v>
      </c>
      <c r="L1504" s="192" t="e">
        <f t="shared" si="194"/>
        <v>#REF!</v>
      </c>
      <c r="M1504" s="192" t="e">
        <f>#REF!*#REF!</f>
        <v>#REF!</v>
      </c>
      <c r="N1504" s="192" t="e">
        <f>#REF!+K1504+#REF!</f>
        <v>#REF!</v>
      </c>
      <c r="O1504" s="179" t="e">
        <f t="shared" si="195"/>
        <v>#REF!</v>
      </c>
    </row>
    <row r="1505" spans="1:15" s="209" customFormat="1" outlineLevel="2">
      <c r="A1505" s="238"/>
      <c r="B1505" s="212" t="s">
        <v>942</v>
      </c>
      <c r="C1505" s="190" t="s">
        <v>123</v>
      </c>
      <c r="D1505" s="191"/>
      <c r="E1505" s="176"/>
      <c r="F1505" s="177"/>
      <c r="G1505" s="192"/>
      <c r="H1505" s="179"/>
      <c r="I1505" s="291" t="e">
        <f>IF(#REF!="",#REF!*#REF!,IF(#REF!=0,#REF!*#REF!,#REF!*#REF!*#REF!))</f>
        <v>#REF!</v>
      </c>
      <c r="J1505" s="244" t="e">
        <f>#REF!*#REF!</f>
        <v>#REF!</v>
      </c>
      <c r="K1505" s="192" t="e">
        <f>#REF!*mo</f>
        <v>#REF!</v>
      </c>
      <c r="L1505" s="192" t="e">
        <f t="shared" si="194"/>
        <v>#REF!</v>
      </c>
      <c r="M1505" s="192" t="e">
        <f>#REF!*#REF!</f>
        <v>#REF!</v>
      </c>
      <c r="N1505" s="192" t="e">
        <f>#REF!+K1505+#REF!</f>
        <v>#REF!</v>
      </c>
      <c r="O1505" s="179" t="e">
        <f t="shared" si="195"/>
        <v>#REF!</v>
      </c>
    </row>
    <row r="1506" spans="1:15" s="209" customFormat="1" outlineLevel="2">
      <c r="A1506" s="238"/>
      <c r="B1506" s="212" t="s">
        <v>943</v>
      </c>
      <c r="C1506" s="190" t="s">
        <v>123</v>
      </c>
      <c r="D1506" s="191"/>
      <c r="E1506" s="176"/>
      <c r="F1506" s="177"/>
      <c r="G1506" s="192"/>
      <c r="H1506" s="179"/>
      <c r="I1506" s="291" t="e">
        <f>IF(#REF!="",#REF!*#REF!,IF(#REF!=0,#REF!*#REF!,#REF!*#REF!*#REF!))</f>
        <v>#REF!</v>
      </c>
      <c r="J1506" s="244" t="e">
        <f>#REF!*#REF!</f>
        <v>#REF!</v>
      </c>
      <c r="K1506" s="192" t="e">
        <f>#REF!*mo</f>
        <v>#REF!</v>
      </c>
      <c r="L1506" s="192" t="e">
        <f t="shared" si="194"/>
        <v>#REF!</v>
      </c>
      <c r="M1506" s="192" t="e">
        <f>#REF!*#REF!</f>
        <v>#REF!</v>
      </c>
      <c r="N1506" s="192" t="e">
        <f>#REF!+K1506+#REF!</f>
        <v>#REF!</v>
      </c>
      <c r="O1506" s="179" t="e">
        <f t="shared" si="195"/>
        <v>#REF!</v>
      </c>
    </row>
    <row r="1507" spans="1:15" s="209" customFormat="1" outlineLevel="2">
      <c r="A1507" s="238"/>
      <c r="B1507" s="212" t="s">
        <v>868</v>
      </c>
      <c r="C1507" s="190" t="s">
        <v>123</v>
      </c>
      <c r="D1507" s="191"/>
      <c r="E1507" s="176"/>
      <c r="F1507" s="177"/>
      <c r="G1507" s="192"/>
      <c r="H1507" s="179"/>
      <c r="I1507" s="291" t="e">
        <f>IF(#REF!="",#REF!*#REF!,IF(#REF!=0,#REF!*#REF!,#REF!*#REF!*#REF!))</f>
        <v>#REF!</v>
      </c>
      <c r="J1507" s="244" t="e">
        <f>#REF!*#REF!</f>
        <v>#REF!</v>
      </c>
      <c r="K1507" s="192" t="e">
        <f>#REF!*mo</f>
        <v>#REF!</v>
      </c>
      <c r="L1507" s="192" t="e">
        <f t="shared" si="194"/>
        <v>#REF!</v>
      </c>
      <c r="M1507" s="192" t="e">
        <f>#REF!*#REF!</f>
        <v>#REF!</v>
      </c>
      <c r="N1507" s="192" t="e">
        <f>#REF!+K1507+#REF!</f>
        <v>#REF!</v>
      </c>
      <c r="O1507" s="179" t="e">
        <f t="shared" si="195"/>
        <v>#REF!</v>
      </c>
    </row>
    <row r="1508" spans="1:15" s="209" customFormat="1" outlineLevel="2">
      <c r="A1508" s="238"/>
      <c r="B1508" s="212" t="s">
        <v>944</v>
      </c>
      <c r="C1508" s="190" t="s">
        <v>123</v>
      </c>
      <c r="D1508" s="191"/>
      <c r="E1508" s="176"/>
      <c r="F1508" s="177"/>
      <c r="G1508" s="192"/>
      <c r="H1508" s="179"/>
      <c r="I1508" s="291" t="e">
        <f>IF(#REF!="",#REF!*#REF!,IF(#REF!=0,#REF!*#REF!,#REF!*#REF!*#REF!))</f>
        <v>#REF!</v>
      </c>
      <c r="J1508" s="244" t="e">
        <f>#REF!*#REF!</f>
        <v>#REF!</v>
      </c>
      <c r="K1508" s="192" t="e">
        <f>#REF!*mo</f>
        <v>#REF!</v>
      </c>
      <c r="L1508" s="192" t="e">
        <f t="shared" si="194"/>
        <v>#REF!</v>
      </c>
      <c r="M1508" s="192" t="e">
        <f>#REF!*#REF!</f>
        <v>#REF!</v>
      </c>
      <c r="N1508" s="192" t="e">
        <f>#REF!+K1508+#REF!</f>
        <v>#REF!</v>
      </c>
      <c r="O1508" s="179" t="e">
        <f t="shared" si="195"/>
        <v>#REF!</v>
      </c>
    </row>
    <row r="1509" spans="1:15" s="209" customFormat="1" outlineLevel="2">
      <c r="A1509" s="238"/>
      <c r="B1509" s="212" t="s">
        <v>1040</v>
      </c>
      <c r="C1509" s="190" t="s">
        <v>123</v>
      </c>
      <c r="D1509" s="191"/>
      <c r="E1509" s="176"/>
      <c r="F1509" s="177"/>
      <c r="G1509" s="192"/>
      <c r="H1509" s="179"/>
      <c r="I1509" s="291" t="e">
        <f>IF(#REF!="",#REF!*#REF!,IF(#REF!=0,#REF!*#REF!,#REF!*#REF!*#REF!))</f>
        <v>#REF!</v>
      </c>
      <c r="J1509" s="244" t="e">
        <f>#REF!*#REF!</f>
        <v>#REF!</v>
      </c>
      <c r="K1509" s="192" t="e">
        <f>#REF!*mo</f>
        <v>#REF!</v>
      </c>
      <c r="L1509" s="192" t="e">
        <f t="shared" si="194"/>
        <v>#REF!</v>
      </c>
      <c r="M1509" s="192" t="e">
        <f>#REF!*#REF!</f>
        <v>#REF!</v>
      </c>
      <c r="N1509" s="192" t="e">
        <f>#REF!+K1509+#REF!</f>
        <v>#REF!</v>
      </c>
      <c r="O1509" s="179" t="e">
        <f t="shared" si="195"/>
        <v>#REF!</v>
      </c>
    </row>
    <row r="1510" spans="1:15" s="209" customFormat="1" outlineLevel="2">
      <c r="A1510" s="238"/>
      <c r="B1510" s="212" t="s">
        <v>870</v>
      </c>
      <c r="C1510" s="190" t="s">
        <v>123</v>
      </c>
      <c r="D1510" s="191"/>
      <c r="E1510" s="176"/>
      <c r="F1510" s="177"/>
      <c r="G1510" s="192"/>
      <c r="H1510" s="179"/>
      <c r="I1510" s="291" t="e">
        <f>IF(#REF!="",#REF!*#REF!,IF(#REF!=0,#REF!*#REF!,#REF!*#REF!*#REF!))</f>
        <v>#REF!</v>
      </c>
      <c r="J1510" s="244" t="e">
        <f>#REF!*#REF!</f>
        <v>#REF!</v>
      </c>
      <c r="K1510" s="192" t="e">
        <f>#REF!*mo</f>
        <v>#REF!</v>
      </c>
      <c r="L1510" s="192" t="e">
        <f t="shared" si="194"/>
        <v>#REF!</v>
      </c>
      <c r="M1510" s="192" t="e">
        <f>#REF!*#REF!</f>
        <v>#REF!</v>
      </c>
      <c r="N1510" s="192" t="e">
        <f>#REF!+K1510+#REF!</f>
        <v>#REF!</v>
      </c>
      <c r="O1510" s="179" t="e">
        <f t="shared" si="195"/>
        <v>#REF!</v>
      </c>
    </row>
    <row r="1511" spans="1:15" s="209" customFormat="1" outlineLevel="2">
      <c r="A1511" s="238"/>
      <c r="B1511" s="212" t="s">
        <v>871</v>
      </c>
      <c r="C1511" s="190" t="s">
        <v>123</v>
      </c>
      <c r="D1511" s="191"/>
      <c r="E1511" s="176"/>
      <c r="F1511" s="177"/>
      <c r="G1511" s="192"/>
      <c r="H1511" s="179"/>
      <c r="I1511" s="291" t="e">
        <f>IF(#REF!="",#REF!*#REF!,IF(#REF!=0,#REF!*#REF!,#REF!*#REF!*#REF!))</f>
        <v>#REF!</v>
      </c>
      <c r="J1511" s="244" t="e">
        <f>#REF!*#REF!</f>
        <v>#REF!</v>
      </c>
      <c r="K1511" s="192" t="e">
        <f>#REF!*mo</f>
        <v>#REF!</v>
      </c>
      <c r="L1511" s="192" t="e">
        <f t="shared" si="194"/>
        <v>#REF!</v>
      </c>
      <c r="M1511" s="192" t="e">
        <f>#REF!*#REF!</f>
        <v>#REF!</v>
      </c>
      <c r="N1511" s="192" t="e">
        <f>#REF!+K1511+#REF!</f>
        <v>#REF!</v>
      </c>
      <c r="O1511" s="179" t="e">
        <f t="shared" si="195"/>
        <v>#REF!</v>
      </c>
    </row>
    <row r="1512" spans="1:15" s="209" customFormat="1" outlineLevel="2">
      <c r="A1512" s="238"/>
      <c r="B1512" s="212" t="s">
        <v>1041</v>
      </c>
      <c r="C1512" s="190" t="s">
        <v>123</v>
      </c>
      <c r="D1512" s="191"/>
      <c r="E1512" s="176"/>
      <c r="F1512" s="177"/>
      <c r="G1512" s="192"/>
      <c r="H1512" s="179"/>
      <c r="I1512" s="291" t="e">
        <f>IF(#REF!="",#REF!*#REF!,IF(#REF!=0,#REF!*#REF!,#REF!*#REF!*#REF!))</f>
        <v>#REF!</v>
      </c>
      <c r="J1512" s="244" t="e">
        <f>#REF!*#REF!</f>
        <v>#REF!</v>
      </c>
      <c r="K1512" s="192" t="e">
        <f>#REF!*mo</f>
        <v>#REF!</v>
      </c>
      <c r="L1512" s="192" t="e">
        <f t="shared" si="194"/>
        <v>#REF!</v>
      </c>
      <c r="M1512" s="192" t="e">
        <f>#REF!*#REF!</f>
        <v>#REF!</v>
      </c>
      <c r="N1512" s="192" t="e">
        <f>#REF!+K1512+#REF!</f>
        <v>#REF!</v>
      </c>
      <c r="O1512" s="179" t="e">
        <f t="shared" si="195"/>
        <v>#REF!</v>
      </c>
    </row>
    <row r="1513" spans="1:15" s="209" customFormat="1" outlineLevel="2">
      <c r="A1513" s="238"/>
      <c r="B1513" s="212" t="s">
        <v>874</v>
      </c>
      <c r="C1513" s="190" t="s">
        <v>123</v>
      </c>
      <c r="D1513" s="191"/>
      <c r="E1513" s="176"/>
      <c r="F1513" s="177"/>
      <c r="G1513" s="192"/>
      <c r="H1513" s="179"/>
      <c r="I1513" s="291" t="e">
        <f>IF(#REF!="",#REF!*#REF!,IF(#REF!=0,#REF!*#REF!,#REF!*#REF!*#REF!))</f>
        <v>#REF!</v>
      </c>
      <c r="J1513" s="244" t="e">
        <f>#REF!*#REF!</f>
        <v>#REF!</v>
      </c>
      <c r="K1513" s="192" t="e">
        <f>#REF!*mo</f>
        <v>#REF!</v>
      </c>
      <c r="L1513" s="192" t="e">
        <f t="shared" si="194"/>
        <v>#REF!</v>
      </c>
      <c r="M1513" s="192" t="e">
        <f>#REF!*#REF!</f>
        <v>#REF!</v>
      </c>
      <c r="N1513" s="192" t="e">
        <f>#REF!+K1513+#REF!</f>
        <v>#REF!</v>
      </c>
      <c r="O1513" s="179" t="e">
        <f t="shared" si="195"/>
        <v>#REF!</v>
      </c>
    </row>
    <row r="1514" spans="1:15" s="209" customFormat="1" outlineLevel="2">
      <c r="A1514" s="238"/>
      <c r="B1514" s="212" t="s">
        <v>876</v>
      </c>
      <c r="C1514" s="190" t="s">
        <v>123</v>
      </c>
      <c r="D1514" s="191"/>
      <c r="E1514" s="176"/>
      <c r="F1514" s="177"/>
      <c r="G1514" s="192"/>
      <c r="H1514" s="179"/>
      <c r="I1514" s="291" t="e">
        <f>IF(#REF!="",#REF!*#REF!,IF(#REF!=0,#REF!*#REF!,#REF!*#REF!*#REF!))</f>
        <v>#REF!</v>
      </c>
      <c r="J1514" s="244" t="e">
        <f>#REF!*#REF!</f>
        <v>#REF!</v>
      </c>
      <c r="K1514" s="192" t="e">
        <f>#REF!*mo</f>
        <v>#REF!</v>
      </c>
      <c r="L1514" s="192" t="e">
        <f t="shared" si="194"/>
        <v>#REF!</v>
      </c>
      <c r="M1514" s="192" t="e">
        <f>#REF!*#REF!</f>
        <v>#REF!</v>
      </c>
      <c r="N1514" s="192" t="e">
        <f>#REF!+K1514+#REF!</f>
        <v>#REF!</v>
      </c>
      <c r="O1514" s="179" t="e">
        <f t="shared" si="195"/>
        <v>#REF!</v>
      </c>
    </row>
    <row r="1515" spans="1:15" s="209" customFormat="1" outlineLevel="2">
      <c r="A1515" s="238"/>
      <c r="B1515" s="245"/>
      <c r="C1515" s="190"/>
      <c r="D1515" s="191"/>
      <c r="E1515" s="176"/>
      <c r="F1515" s="177"/>
      <c r="G1515" s="192"/>
      <c r="H1515" s="179"/>
      <c r="I1515" s="291" t="e">
        <f>IF(#REF!="",#REF!*#REF!,IF(#REF!=0,#REF!*#REF!,#REF!*#REF!*#REF!))</f>
        <v>#REF!</v>
      </c>
      <c r="J1515" s="244" t="e">
        <f>#REF!*#REF!</f>
        <v>#REF!</v>
      </c>
      <c r="K1515" s="192" t="e">
        <f>#REF!*mo</f>
        <v>#REF!</v>
      </c>
      <c r="L1515" s="192" t="e">
        <f t="shared" si="194"/>
        <v>#REF!</v>
      </c>
      <c r="M1515" s="192" t="e">
        <f>#REF!*#REF!</f>
        <v>#REF!</v>
      </c>
      <c r="N1515" s="192" t="e">
        <f>#REF!+K1515+#REF!</f>
        <v>#REF!</v>
      </c>
      <c r="O1515" s="179" t="e">
        <f t="shared" si="195"/>
        <v>#REF!</v>
      </c>
    </row>
    <row r="1516" spans="1:15" s="209" customFormat="1" outlineLevel="2">
      <c r="A1516" s="238"/>
      <c r="B1516" s="246" t="s">
        <v>1042</v>
      </c>
      <c r="C1516" s="190" t="s">
        <v>801</v>
      </c>
      <c r="D1516" s="191"/>
      <c r="E1516" s="176"/>
      <c r="F1516" s="177"/>
      <c r="G1516" s="192"/>
      <c r="H1516" s="179"/>
      <c r="I1516" s="291" t="e">
        <f>IF(#REF!="",#REF!*#REF!,IF(#REF!=0,#REF!*#REF!,#REF!*#REF!*#REF!))</f>
        <v>#REF!</v>
      </c>
      <c r="J1516" s="244" t="e">
        <f>#REF!*#REF!</f>
        <v>#REF!</v>
      </c>
      <c r="K1516" s="192" t="e">
        <f>#REF!*mo</f>
        <v>#REF!</v>
      </c>
      <c r="L1516" s="192" t="e">
        <f t="shared" ref="L1516:L1519" si="198">J1516*mo</f>
        <v>#REF!</v>
      </c>
      <c r="M1516" s="192" t="e">
        <f>#REF!*#REF!</f>
        <v>#REF!</v>
      </c>
      <c r="N1516" s="192" t="e">
        <f>#REF!+K1516+#REF!</f>
        <v>#REF!</v>
      </c>
      <c r="O1516" s="179" t="e">
        <f t="shared" si="195"/>
        <v>#REF!</v>
      </c>
    </row>
    <row r="1517" spans="1:15" s="209" customFormat="1" outlineLevel="2">
      <c r="A1517" s="238"/>
      <c r="B1517" s="212" t="s">
        <v>1043</v>
      </c>
      <c r="C1517" s="190"/>
      <c r="D1517" s="191"/>
      <c r="E1517" s="176"/>
      <c r="F1517" s="177"/>
      <c r="G1517" s="192"/>
      <c r="H1517" s="179"/>
      <c r="I1517" s="291" t="e">
        <f>IF(#REF!="",#REF!*#REF!,IF(#REF!=0,#REF!*#REF!,#REF!*#REF!*#REF!))</f>
        <v>#REF!</v>
      </c>
      <c r="J1517" s="244" t="e">
        <f>#REF!*#REF!</f>
        <v>#REF!</v>
      </c>
      <c r="K1517" s="192" t="e">
        <f>#REF!*mo</f>
        <v>#REF!</v>
      </c>
      <c r="L1517" s="192" t="e">
        <f t="shared" si="198"/>
        <v>#REF!</v>
      </c>
      <c r="M1517" s="192" t="e">
        <f>#REF!*#REF!</f>
        <v>#REF!</v>
      </c>
      <c r="N1517" s="192" t="e">
        <f>#REF!+K1517+#REF!</f>
        <v>#REF!</v>
      </c>
      <c r="O1517" s="179" t="e">
        <f t="shared" si="195"/>
        <v>#REF!</v>
      </c>
    </row>
    <row r="1518" spans="1:15" s="209" customFormat="1" outlineLevel="2">
      <c r="A1518" s="238"/>
      <c r="B1518" s="212" t="s">
        <v>1044</v>
      </c>
      <c r="C1518" s="190"/>
      <c r="D1518" s="191"/>
      <c r="E1518" s="176"/>
      <c r="F1518" s="177"/>
      <c r="G1518" s="192"/>
      <c r="H1518" s="179"/>
      <c r="I1518" s="291" t="e">
        <f>IF(#REF!="",#REF!*#REF!,IF(#REF!=0,#REF!*#REF!,#REF!*#REF!*#REF!))</f>
        <v>#REF!</v>
      </c>
      <c r="J1518" s="244" t="e">
        <f>#REF!*#REF!</f>
        <v>#REF!</v>
      </c>
      <c r="K1518" s="192" t="e">
        <f>#REF!*mo</f>
        <v>#REF!</v>
      </c>
      <c r="L1518" s="192" t="e">
        <f t="shared" si="198"/>
        <v>#REF!</v>
      </c>
      <c r="M1518" s="192" t="e">
        <f>#REF!*#REF!</f>
        <v>#REF!</v>
      </c>
      <c r="N1518" s="192" t="e">
        <f>#REF!+K1518+#REF!</f>
        <v>#REF!</v>
      </c>
      <c r="O1518" s="179" t="e">
        <f t="shared" si="195"/>
        <v>#REF!</v>
      </c>
    </row>
    <row r="1519" spans="1:15" s="209" customFormat="1" outlineLevel="2">
      <c r="A1519" s="238"/>
      <c r="B1519" s="236"/>
      <c r="C1519" s="190"/>
      <c r="D1519" s="191"/>
      <c r="E1519" s="176"/>
      <c r="F1519" s="177"/>
      <c r="G1519" s="192"/>
      <c r="H1519" s="179"/>
      <c r="I1519" s="291" t="e">
        <f>IF(#REF!="",#REF!*#REF!,IF(#REF!=0,#REF!*#REF!,#REF!*#REF!*#REF!))</f>
        <v>#REF!</v>
      </c>
      <c r="J1519" s="244" t="e">
        <f>#REF!*#REF!</f>
        <v>#REF!</v>
      </c>
      <c r="K1519" s="192" t="e">
        <f>#REF!*mo</f>
        <v>#REF!</v>
      </c>
      <c r="L1519" s="192" t="e">
        <f t="shared" si="198"/>
        <v>#REF!</v>
      </c>
      <c r="M1519" s="192" t="e">
        <f>#REF!*#REF!</f>
        <v>#REF!</v>
      </c>
      <c r="N1519" s="192" t="e">
        <f>#REF!+K1519+#REF!</f>
        <v>#REF!</v>
      </c>
      <c r="O1519" s="179" t="e">
        <f t="shared" si="195"/>
        <v>#REF!</v>
      </c>
    </row>
    <row r="1520" spans="1:15" s="209" customFormat="1" outlineLevel="2">
      <c r="A1520" s="238"/>
      <c r="B1520" s="212" t="s">
        <v>1045</v>
      </c>
      <c r="C1520" s="190" t="s">
        <v>93</v>
      </c>
      <c r="D1520" s="191"/>
      <c r="E1520" s="176"/>
      <c r="F1520" s="177"/>
      <c r="G1520" s="192"/>
      <c r="H1520" s="179"/>
      <c r="I1520" s="291" t="e">
        <f>IF(#REF!="",#REF!*#REF!,IF(#REF!=0,#REF!*#REF!,#REF!*#REF!*#REF!))</f>
        <v>#REF!</v>
      </c>
      <c r="J1520" s="244" t="e">
        <f>#REF!*#REF!</f>
        <v>#REF!</v>
      </c>
      <c r="K1520" s="192" t="e">
        <f>#REF!*mo</f>
        <v>#REF!</v>
      </c>
      <c r="L1520" s="192" t="e">
        <f t="shared" si="194"/>
        <v>#REF!</v>
      </c>
      <c r="M1520" s="192" t="e">
        <f>#REF!*#REF!</f>
        <v>#REF!</v>
      </c>
      <c r="N1520" s="192" t="e">
        <f>#REF!+K1520+#REF!</f>
        <v>#REF!</v>
      </c>
      <c r="O1520" s="179" t="e">
        <f t="shared" si="195"/>
        <v>#REF!</v>
      </c>
    </row>
    <row r="1521" spans="1:15" s="209" customFormat="1" outlineLevel="2">
      <c r="A1521" s="238"/>
      <c r="B1521" s="236"/>
      <c r="C1521" s="190"/>
      <c r="D1521" s="191"/>
      <c r="E1521" s="176"/>
      <c r="F1521" s="177"/>
      <c r="G1521" s="192"/>
      <c r="H1521" s="179"/>
      <c r="I1521" s="291" t="e">
        <f>IF(#REF!="",#REF!*#REF!,IF(#REF!=0,#REF!*#REF!,#REF!*#REF!*#REF!))</f>
        <v>#REF!</v>
      </c>
      <c r="J1521" s="244" t="e">
        <f>#REF!*#REF!</f>
        <v>#REF!</v>
      </c>
      <c r="K1521" s="192" t="e">
        <f>#REF!*mo</f>
        <v>#REF!</v>
      </c>
      <c r="L1521" s="192" t="e">
        <f t="shared" si="194"/>
        <v>#REF!</v>
      </c>
      <c r="M1521" s="192" t="e">
        <f>#REF!*#REF!</f>
        <v>#REF!</v>
      </c>
      <c r="N1521" s="192" t="e">
        <f>#REF!+K1521+#REF!</f>
        <v>#REF!</v>
      </c>
      <c r="O1521" s="179" t="e">
        <f t="shared" si="195"/>
        <v>#REF!</v>
      </c>
    </row>
    <row r="1522" spans="1:15" s="209" customFormat="1" outlineLevel="2">
      <c r="A1522" s="238"/>
      <c r="B1522" s="212" t="s">
        <v>1046</v>
      </c>
      <c r="C1522" s="190" t="s">
        <v>93</v>
      </c>
      <c r="D1522" s="191"/>
      <c r="E1522" s="176"/>
      <c r="F1522" s="177"/>
      <c r="G1522" s="192"/>
      <c r="H1522" s="179"/>
      <c r="I1522" s="291" t="e">
        <f>IF(#REF!="",#REF!*#REF!,IF(#REF!=0,#REF!*#REF!,#REF!*#REF!*#REF!))</f>
        <v>#REF!</v>
      </c>
      <c r="J1522" s="244" t="e">
        <f>#REF!*#REF!</f>
        <v>#REF!</v>
      </c>
      <c r="K1522" s="192" t="e">
        <f>#REF!*mo</f>
        <v>#REF!</v>
      </c>
      <c r="L1522" s="192" t="e">
        <f t="shared" si="194"/>
        <v>#REF!</v>
      </c>
      <c r="M1522" s="192" t="e">
        <f>#REF!*#REF!</f>
        <v>#REF!</v>
      </c>
      <c r="N1522" s="192" t="e">
        <f>#REF!+K1522+#REF!</f>
        <v>#REF!</v>
      </c>
      <c r="O1522" s="179" t="e">
        <f t="shared" si="195"/>
        <v>#REF!</v>
      </c>
    </row>
    <row r="1523" spans="1:15" s="209" customFormat="1" outlineLevel="2">
      <c r="A1523" s="238"/>
      <c r="B1523" s="236"/>
      <c r="C1523" s="190"/>
      <c r="D1523" s="191"/>
      <c r="E1523" s="176"/>
      <c r="F1523" s="177"/>
      <c r="G1523" s="192"/>
      <c r="H1523" s="179"/>
      <c r="I1523" s="291" t="e">
        <f>IF(#REF!="",#REF!*#REF!,IF(#REF!=0,#REF!*#REF!,#REF!*#REF!*#REF!))</f>
        <v>#REF!</v>
      </c>
      <c r="J1523" s="244" t="e">
        <f>#REF!*#REF!</f>
        <v>#REF!</v>
      </c>
      <c r="K1523" s="192" t="e">
        <f>#REF!*mo</f>
        <v>#REF!</v>
      </c>
      <c r="L1523" s="192" t="e">
        <f t="shared" si="194"/>
        <v>#REF!</v>
      </c>
      <c r="M1523" s="192" t="e">
        <f>#REF!*#REF!</f>
        <v>#REF!</v>
      </c>
      <c r="N1523" s="192" t="e">
        <f>#REF!+K1523+#REF!</f>
        <v>#REF!</v>
      </c>
      <c r="O1523" s="179" t="e">
        <f t="shared" si="195"/>
        <v>#REF!</v>
      </c>
    </row>
    <row r="1524" spans="1:15" s="209" customFormat="1" outlineLevel="2">
      <c r="A1524" s="238"/>
      <c r="B1524" s="212" t="s">
        <v>1013</v>
      </c>
      <c r="C1524" s="190" t="s">
        <v>93</v>
      </c>
      <c r="D1524" s="191"/>
      <c r="E1524" s="176"/>
      <c r="F1524" s="177"/>
      <c r="G1524" s="192"/>
      <c r="H1524" s="179"/>
      <c r="I1524" s="291" t="e">
        <f>IF(#REF!="",#REF!*#REF!,IF(#REF!=0,#REF!*#REF!,#REF!*#REF!*#REF!))</f>
        <v>#REF!</v>
      </c>
      <c r="J1524" s="244" t="e">
        <f>#REF!*#REF!</f>
        <v>#REF!</v>
      </c>
      <c r="K1524" s="192" t="e">
        <f>#REF!*mo</f>
        <v>#REF!</v>
      </c>
      <c r="L1524" s="192" t="e">
        <f t="shared" si="194"/>
        <v>#REF!</v>
      </c>
      <c r="M1524" s="192" t="e">
        <f>#REF!*#REF!</f>
        <v>#REF!</v>
      </c>
      <c r="N1524" s="192" t="e">
        <f>#REF!+K1524+#REF!</f>
        <v>#REF!</v>
      </c>
      <c r="O1524" s="179" t="e">
        <f t="shared" si="195"/>
        <v>#REF!</v>
      </c>
    </row>
    <row r="1525" spans="1:15" s="209" customFormat="1" outlineLevel="2">
      <c r="A1525" s="240"/>
      <c r="B1525" s="210"/>
      <c r="C1525" s="190"/>
      <c r="D1525" s="191"/>
      <c r="E1525" s="176"/>
      <c r="F1525" s="177"/>
      <c r="G1525" s="192"/>
      <c r="H1525" s="179"/>
      <c r="I1525" s="291" t="e">
        <f>IF(#REF!="",#REF!*#REF!,IF(#REF!=0,#REF!*#REF!,#REF!*#REF!*#REF!))</f>
        <v>#REF!</v>
      </c>
      <c r="J1525" s="244" t="e">
        <f>#REF!*#REF!</f>
        <v>#REF!</v>
      </c>
      <c r="K1525" s="192" t="e">
        <f>#REF!*mo</f>
        <v>#REF!</v>
      </c>
      <c r="L1525" s="192" t="e">
        <f t="shared" si="194"/>
        <v>#REF!</v>
      </c>
      <c r="M1525" s="192" t="e">
        <f>#REF!*#REF!</f>
        <v>#REF!</v>
      </c>
      <c r="N1525" s="192" t="e">
        <f>#REF!+K1525+#REF!</f>
        <v>#REF!</v>
      </c>
      <c r="O1525" s="179" t="e">
        <f t="shared" si="195"/>
        <v>#REF!</v>
      </c>
    </row>
    <row r="1526" spans="1:15" s="209" customFormat="1" outlineLevel="1">
      <c r="A1526" s="240" t="str">
        <f>$A$608&amp;".3"</f>
        <v>7.1.3.3</v>
      </c>
      <c r="B1526" s="210" t="s">
        <v>1047</v>
      </c>
      <c r="C1526" s="190"/>
      <c r="D1526" s="191"/>
      <c r="E1526" s="176"/>
      <c r="F1526" s="177"/>
      <c r="G1526" s="192">
        <f>SUM(F1527:F1551)</f>
        <v>0</v>
      </c>
      <c r="H1526" s="179"/>
      <c r="I1526" s="291" t="e">
        <f>IF(#REF!="",#REF!*#REF!,IF(#REF!=0,#REF!*#REF!,#REF!*#REF!*#REF!))</f>
        <v>#REF!</v>
      </c>
      <c r="J1526" s="244" t="e">
        <f>#REF!*#REF!</f>
        <v>#REF!</v>
      </c>
      <c r="K1526" s="192" t="e">
        <f>#REF!*mo</f>
        <v>#REF!</v>
      </c>
      <c r="L1526" s="192" t="e">
        <f t="shared" si="194"/>
        <v>#REF!</v>
      </c>
      <c r="M1526" s="192" t="e">
        <f>#REF!*#REF!</f>
        <v>#REF!</v>
      </c>
      <c r="N1526" s="192" t="e">
        <f>#REF!+K1526+#REF!</f>
        <v>#REF!</v>
      </c>
      <c r="O1526" s="179" t="e">
        <f t="shared" si="195"/>
        <v>#REF!</v>
      </c>
    </row>
    <row r="1527" spans="1:15" s="193" customFormat="1" outlineLevel="2">
      <c r="A1527" s="240"/>
      <c r="B1527" s="233"/>
      <c r="C1527" s="190"/>
      <c r="D1527" s="191"/>
      <c r="E1527" s="176"/>
      <c r="F1527" s="177"/>
      <c r="G1527" s="192"/>
      <c r="H1527" s="179"/>
      <c r="I1527" s="283" t="e">
        <f>IF(#REF!="",#REF!*#REF!,IF(#REF!=0,#REF!*#REF!,#REF!*#REF!*#REF!))</f>
        <v>#REF!</v>
      </c>
      <c r="J1527" s="180" t="e">
        <f>#REF!*#REF!</f>
        <v>#REF!</v>
      </c>
      <c r="K1527" s="178" t="e">
        <f>#REF!*mo</f>
        <v>#REF!</v>
      </c>
      <c r="L1527" s="178" t="e">
        <f t="shared" si="194"/>
        <v>#REF!</v>
      </c>
      <c r="M1527" s="178" t="e">
        <f>#REF!*#REF!</f>
        <v>#REF!</v>
      </c>
      <c r="N1527" s="178" t="e">
        <f>#REF!+K1527+#REF!</f>
        <v>#REF!</v>
      </c>
      <c r="O1527" s="181" t="e">
        <f t="shared" si="195"/>
        <v>#REF!</v>
      </c>
    </row>
    <row r="1528" spans="1:15" s="193" customFormat="1" outlineLevel="2">
      <c r="A1528" s="238"/>
      <c r="B1528" s="236" t="s">
        <v>1048</v>
      </c>
      <c r="C1528" s="190"/>
      <c r="D1528" s="191"/>
      <c r="E1528" s="176"/>
      <c r="F1528" s="177"/>
      <c r="G1528" s="192"/>
      <c r="H1528" s="179"/>
      <c r="I1528" s="283" t="e">
        <f>IF(#REF!="",#REF!*#REF!,IF(#REF!=0,#REF!*#REF!,#REF!*#REF!*#REF!))</f>
        <v>#REF!</v>
      </c>
      <c r="J1528" s="180" t="e">
        <f>#REF!*#REF!</f>
        <v>#REF!</v>
      </c>
      <c r="K1528" s="178" t="e">
        <f>#REF!*mo</f>
        <v>#REF!</v>
      </c>
      <c r="L1528" s="178" t="e">
        <f t="shared" si="194"/>
        <v>#REF!</v>
      </c>
      <c r="M1528" s="178" t="e">
        <f>#REF!*#REF!</f>
        <v>#REF!</v>
      </c>
      <c r="N1528" s="178" t="e">
        <f>#REF!+K1528+#REF!</f>
        <v>#REF!</v>
      </c>
      <c r="O1528" s="181" t="e">
        <f t="shared" si="195"/>
        <v>#REF!</v>
      </c>
    </row>
    <row r="1529" spans="1:15" s="193" customFormat="1" outlineLevel="2">
      <c r="A1529" s="238"/>
      <c r="B1529" s="212" t="s">
        <v>940</v>
      </c>
      <c r="C1529" s="190" t="s">
        <v>123</v>
      </c>
      <c r="D1529" s="191"/>
      <c r="E1529" s="176"/>
      <c r="F1529" s="177"/>
      <c r="G1529" s="192"/>
      <c r="H1529" s="179"/>
      <c r="I1529" s="283" t="e">
        <f>IF(#REF!="",#REF!*#REF!,IF(#REF!=0,#REF!*#REF!,#REF!*#REF!*#REF!))</f>
        <v>#REF!</v>
      </c>
      <c r="J1529" s="180" t="e">
        <f>#REF!*#REF!</f>
        <v>#REF!</v>
      </c>
      <c r="K1529" s="178" t="e">
        <f>#REF!*mo</f>
        <v>#REF!</v>
      </c>
      <c r="L1529" s="178" t="e">
        <f t="shared" si="194"/>
        <v>#REF!</v>
      </c>
      <c r="M1529" s="178" t="e">
        <f>#REF!*#REF!</f>
        <v>#REF!</v>
      </c>
      <c r="N1529" s="178" t="e">
        <f>#REF!+K1529+#REF!</f>
        <v>#REF!</v>
      </c>
      <c r="O1529" s="181" t="e">
        <f t="shared" si="195"/>
        <v>#REF!</v>
      </c>
    </row>
    <row r="1530" spans="1:15" s="193" customFormat="1" outlineLevel="2">
      <c r="A1530" s="238"/>
      <c r="B1530" s="212" t="s">
        <v>1049</v>
      </c>
      <c r="C1530" s="190" t="s">
        <v>123</v>
      </c>
      <c r="D1530" s="191"/>
      <c r="E1530" s="176"/>
      <c r="F1530" s="177"/>
      <c r="G1530" s="192"/>
      <c r="H1530" s="179"/>
      <c r="I1530" s="283" t="e">
        <f>IF(#REF!="",#REF!*#REF!,IF(#REF!=0,#REF!*#REF!,#REF!*#REF!*#REF!))</f>
        <v>#REF!</v>
      </c>
      <c r="J1530" s="180" t="e">
        <f>#REF!*#REF!</f>
        <v>#REF!</v>
      </c>
      <c r="K1530" s="178" t="e">
        <f>#REF!*mo</f>
        <v>#REF!</v>
      </c>
      <c r="L1530" s="178" t="e">
        <f t="shared" si="194"/>
        <v>#REF!</v>
      </c>
      <c r="M1530" s="178" t="e">
        <f>#REF!*#REF!</f>
        <v>#REF!</v>
      </c>
      <c r="N1530" s="178" t="e">
        <f>#REF!+K1530+#REF!</f>
        <v>#REF!</v>
      </c>
      <c r="O1530" s="181" t="e">
        <f t="shared" si="195"/>
        <v>#REF!</v>
      </c>
    </row>
    <row r="1531" spans="1:15" s="193" customFormat="1" outlineLevel="2">
      <c r="A1531" s="238"/>
      <c r="B1531" s="212" t="s">
        <v>1050</v>
      </c>
      <c r="C1531" s="190" t="s">
        <v>123</v>
      </c>
      <c r="D1531" s="191"/>
      <c r="E1531" s="176"/>
      <c r="F1531" s="177"/>
      <c r="G1531" s="192"/>
      <c r="H1531" s="179"/>
      <c r="I1531" s="283" t="e">
        <f>IF(#REF!="",#REF!*#REF!,IF(#REF!=0,#REF!*#REF!,#REF!*#REF!*#REF!))</f>
        <v>#REF!</v>
      </c>
      <c r="J1531" s="180" t="e">
        <f>#REF!*#REF!</f>
        <v>#REF!</v>
      </c>
      <c r="K1531" s="178" t="e">
        <f>#REF!*mo</f>
        <v>#REF!</v>
      </c>
      <c r="L1531" s="178" t="e">
        <f t="shared" si="194"/>
        <v>#REF!</v>
      </c>
      <c r="M1531" s="178" t="e">
        <f>#REF!*#REF!</f>
        <v>#REF!</v>
      </c>
      <c r="N1531" s="178" t="e">
        <f>#REF!+K1531+#REF!</f>
        <v>#REF!</v>
      </c>
      <c r="O1531" s="181" t="e">
        <f t="shared" si="195"/>
        <v>#REF!</v>
      </c>
    </row>
    <row r="1532" spans="1:15" s="193" customFormat="1" outlineLevel="2">
      <c r="A1532" s="238"/>
      <c r="B1532" s="212" t="s">
        <v>943</v>
      </c>
      <c r="C1532" s="190" t="s">
        <v>123</v>
      </c>
      <c r="D1532" s="191"/>
      <c r="E1532" s="176"/>
      <c r="F1532" s="177"/>
      <c r="G1532" s="192"/>
      <c r="H1532" s="179"/>
      <c r="I1532" s="283" t="e">
        <f>IF(#REF!="",#REF!*#REF!,IF(#REF!=0,#REF!*#REF!,#REF!*#REF!*#REF!))</f>
        <v>#REF!</v>
      </c>
      <c r="J1532" s="180" t="e">
        <f>#REF!*#REF!</f>
        <v>#REF!</v>
      </c>
      <c r="K1532" s="178" t="e">
        <f>#REF!*mo</f>
        <v>#REF!</v>
      </c>
      <c r="L1532" s="178" t="e">
        <f t="shared" si="194"/>
        <v>#REF!</v>
      </c>
      <c r="M1532" s="178" t="e">
        <f>#REF!*#REF!</f>
        <v>#REF!</v>
      </c>
      <c r="N1532" s="178" t="e">
        <f>#REF!+K1532+#REF!</f>
        <v>#REF!</v>
      </c>
      <c r="O1532" s="181" t="e">
        <f t="shared" si="195"/>
        <v>#REF!</v>
      </c>
    </row>
    <row r="1533" spans="1:15" s="193" customFormat="1" outlineLevel="2">
      <c r="A1533" s="238"/>
      <c r="B1533" s="212" t="s">
        <v>868</v>
      </c>
      <c r="C1533" s="190" t="s">
        <v>123</v>
      </c>
      <c r="D1533" s="191"/>
      <c r="E1533" s="176"/>
      <c r="F1533" s="177"/>
      <c r="G1533" s="192"/>
      <c r="H1533" s="179"/>
      <c r="I1533" s="283" t="e">
        <f>IF(#REF!="",#REF!*#REF!,IF(#REF!=0,#REF!*#REF!,#REF!*#REF!*#REF!))</f>
        <v>#REF!</v>
      </c>
      <c r="J1533" s="180" t="e">
        <f>#REF!*#REF!</f>
        <v>#REF!</v>
      </c>
      <c r="K1533" s="178" t="e">
        <f>#REF!*mo</f>
        <v>#REF!</v>
      </c>
      <c r="L1533" s="178" t="e">
        <f t="shared" si="194"/>
        <v>#REF!</v>
      </c>
      <c r="M1533" s="178" t="e">
        <f>#REF!*#REF!</f>
        <v>#REF!</v>
      </c>
      <c r="N1533" s="178" t="e">
        <f>#REF!+K1533+#REF!</f>
        <v>#REF!</v>
      </c>
      <c r="O1533" s="181" t="e">
        <f t="shared" si="195"/>
        <v>#REF!</v>
      </c>
    </row>
    <row r="1534" spans="1:15" s="193" customFormat="1" outlineLevel="2">
      <c r="A1534" s="238"/>
      <c r="B1534" s="212" t="s">
        <v>869</v>
      </c>
      <c r="C1534" s="190" t="s">
        <v>123</v>
      </c>
      <c r="D1534" s="191"/>
      <c r="E1534" s="176"/>
      <c r="F1534" s="177"/>
      <c r="G1534" s="192"/>
      <c r="H1534" s="179"/>
      <c r="I1534" s="283" t="e">
        <f>IF(#REF!="",#REF!*#REF!,IF(#REF!=0,#REF!*#REF!,#REF!*#REF!*#REF!))</f>
        <v>#REF!</v>
      </c>
      <c r="J1534" s="180" t="e">
        <f>#REF!*#REF!</f>
        <v>#REF!</v>
      </c>
      <c r="K1534" s="178" t="e">
        <f>#REF!*mo</f>
        <v>#REF!</v>
      </c>
      <c r="L1534" s="178" t="e">
        <f t="shared" si="194"/>
        <v>#REF!</v>
      </c>
      <c r="M1534" s="178" t="e">
        <f>#REF!*#REF!</f>
        <v>#REF!</v>
      </c>
      <c r="N1534" s="178" t="e">
        <f>#REF!+K1534+#REF!</f>
        <v>#REF!</v>
      </c>
      <c r="O1534" s="181" t="e">
        <f t="shared" si="195"/>
        <v>#REF!</v>
      </c>
    </row>
    <row r="1535" spans="1:15" s="193" customFormat="1" outlineLevel="2">
      <c r="A1535" s="238"/>
      <c r="B1535" s="212" t="s">
        <v>870</v>
      </c>
      <c r="C1535" s="190" t="s">
        <v>123</v>
      </c>
      <c r="D1535" s="191"/>
      <c r="E1535" s="176"/>
      <c r="F1535" s="177"/>
      <c r="G1535" s="192"/>
      <c r="H1535" s="179"/>
      <c r="I1535" s="283" t="e">
        <f>IF(#REF!="",#REF!*#REF!,IF(#REF!=0,#REF!*#REF!,#REF!*#REF!*#REF!))</f>
        <v>#REF!</v>
      </c>
      <c r="J1535" s="180" t="e">
        <f>#REF!*#REF!</f>
        <v>#REF!</v>
      </c>
      <c r="K1535" s="178" t="e">
        <f>#REF!*mo</f>
        <v>#REF!</v>
      </c>
      <c r="L1535" s="178" t="e">
        <f t="shared" si="194"/>
        <v>#REF!</v>
      </c>
      <c r="M1535" s="178" t="e">
        <f>#REF!*#REF!</f>
        <v>#REF!</v>
      </c>
      <c r="N1535" s="178" t="e">
        <f>#REF!+K1535+#REF!</f>
        <v>#REF!</v>
      </c>
      <c r="O1535" s="181" t="e">
        <f t="shared" si="195"/>
        <v>#REF!</v>
      </c>
    </row>
    <row r="1536" spans="1:15" s="193" customFormat="1" outlineLevel="2">
      <c r="A1536" s="238"/>
      <c r="B1536" s="212" t="s">
        <v>871</v>
      </c>
      <c r="C1536" s="190" t="s">
        <v>123</v>
      </c>
      <c r="D1536" s="191"/>
      <c r="E1536" s="176"/>
      <c r="F1536" s="177"/>
      <c r="G1536" s="192"/>
      <c r="H1536" s="179"/>
      <c r="I1536" s="283" t="e">
        <f>IF(#REF!="",#REF!*#REF!,IF(#REF!=0,#REF!*#REF!,#REF!*#REF!*#REF!))</f>
        <v>#REF!</v>
      </c>
      <c r="J1536" s="180" t="e">
        <f>#REF!*#REF!</f>
        <v>#REF!</v>
      </c>
      <c r="K1536" s="178" t="e">
        <f>#REF!*mo</f>
        <v>#REF!</v>
      </c>
      <c r="L1536" s="178" t="e">
        <f t="shared" si="194"/>
        <v>#REF!</v>
      </c>
      <c r="M1536" s="178" t="e">
        <f>#REF!*#REF!</f>
        <v>#REF!</v>
      </c>
      <c r="N1536" s="178" t="e">
        <f>#REF!+K1536+#REF!</f>
        <v>#REF!</v>
      </c>
      <c r="O1536" s="181" t="e">
        <f t="shared" si="195"/>
        <v>#REF!</v>
      </c>
    </row>
    <row r="1537" spans="1:15" s="193" customFormat="1" outlineLevel="2">
      <c r="A1537" s="238"/>
      <c r="B1537" s="212" t="s">
        <v>1041</v>
      </c>
      <c r="C1537" s="190" t="s">
        <v>123</v>
      </c>
      <c r="D1537" s="191"/>
      <c r="E1537" s="176"/>
      <c r="F1537" s="177"/>
      <c r="G1537" s="192"/>
      <c r="H1537" s="179"/>
      <c r="I1537" s="283" t="e">
        <f>IF(#REF!="",#REF!*#REF!,IF(#REF!=0,#REF!*#REF!,#REF!*#REF!*#REF!))</f>
        <v>#REF!</v>
      </c>
      <c r="J1537" s="180" t="e">
        <f>#REF!*#REF!</f>
        <v>#REF!</v>
      </c>
      <c r="K1537" s="178" t="e">
        <f>#REF!*mo</f>
        <v>#REF!</v>
      </c>
      <c r="L1537" s="178" t="e">
        <f t="shared" si="194"/>
        <v>#REF!</v>
      </c>
      <c r="M1537" s="178" t="e">
        <f>#REF!*#REF!</f>
        <v>#REF!</v>
      </c>
      <c r="N1537" s="178" t="e">
        <f>#REF!+K1537+#REF!</f>
        <v>#REF!</v>
      </c>
      <c r="O1537" s="181" t="e">
        <f t="shared" si="195"/>
        <v>#REF!</v>
      </c>
    </row>
    <row r="1538" spans="1:15" s="193" customFormat="1" outlineLevel="2">
      <c r="A1538" s="240"/>
      <c r="B1538" s="233"/>
      <c r="C1538" s="190"/>
      <c r="D1538" s="191"/>
      <c r="E1538" s="176"/>
      <c r="F1538" s="177"/>
      <c r="G1538" s="192"/>
      <c r="H1538" s="179"/>
      <c r="I1538" s="283" t="e">
        <f>IF(#REF!="",#REF!*#REF!,IF(#REF!=0,#REF!*#REF!,#REF!*#REF!*#REF!))</f>
        <v>#REF!</v>
      </c>
      <c r="J1538" s="180" t="e">
        <f>#REF!*#REF!</f>
        <v>#REF!</v>
      </c>
      <c r="K1538" s="178" t="e">
        <f>#REF!*mo</f>
        <v>#REF!</v>
      </c>
      <c r="L1538" s="178" t="e">
        <f t="shared" si="194"/>
        <v>#REF!</v>
      </c>
      <c r="M1538" s="178" t="e">
        <f>#REF!*#REF!</f>
        <v>#REF!</v>
      </c>
      <c r="N1538" s="178" t="e">
        <f>#REF!+K1538+#REF!</f>
        <v>#REF!</v>
      </c>
      <c r="O1538" s="181" t="e">
        <f t="shared" si="195"/>
        <v>#REF!</v>
      </c>
    </row>
    <row r="1539" spans="1:15" s="193" customFormat="1" outlineLevel="2">
      <c r="A1539" s="240"/>
      <c r="B1539" s="236" t="s">
        <v>1039</v>
      </c>
      <c r="C1539" s="190"/>
      <c r="D1539" s="191"/>
      <c r="E1539" s="176"/>
      <c r="F1539" s="177"/>
      <c r="G1539" s="192"/>
      <c r="H1539" s="179"/>
      <c r="I1539" s="283" t="e">
        <f>IF(#REF!="",#REF!*#REF!,IF(#REF!=0,#REF!*#REF!,#REF!*#REF!*#REF!))</f>
        <v>#REF!</v>
      </c>
      <c r="J1539" s="180" t="e">
        <f>#REF!*#REF!</f>
        <v>#REF!</v>
      </c>
      <c r="K1539" s="178" t="e">
        <f>#REF!*mo</f>
        <v>#REF!</v>
      </c>
      <c r="L1539" s="178" t="e">
        <f t="shared" ref="L1539:L1549" si="199">J1539*mo</f>
        <v>#REF!</v>
      </c>
      <c r="M1539" s="178" t="e">
        <f>#REF!*#REF!</f>
        <v>#REF!</v>
      </c>
      <c r="N1539" s="178" t="e">
        <f>#REF!+K1539+#REF!</f>
        <v>#REF!</v>
      </c>
      <c r="O1539" s="181" t="e">
        <f t="shared" si="195"/>
        <v>#REF!</v>
      </c>
    </row>
    <row r="1540" spans="1:15" s="193" customFormat="1" outlineLevel="2">
      <c r="A1540" s="240"/>
      <c r="B1540" s="212" t="s">
        <v>940</v>
      </c>
      <c r="C1540" s="190" t="s">
        <v>123</v>
      </c>
      <c r="D1540" s="191"/>
      <c r="E1540" s="176"/>
      <c r="F1540" s="177"/>
      <c r="G1540" s="192"/>
      <c r="H1540" s="179"/>
      <c r="I1540" s="283" t="e">
        <f>IF(#REF!="",#REF!*#REF!,IF(#REF!=0,#REF!*#REF!,#REF!*#REF!*#REF!))</f>
        <v>#REF!</v>
      </c>
      <c r="J1540" s="180" t="e">
        <f>#REF!*#REF!</f>
        <v>#REF!</v>
      </c>
      <c r="K1540" s="178" t="e">
        <f>#REF!*mo</f>
        <v>#REF!</v>
      </c>
      <c r="L1540" s="178" t="e">
        <f t="shared" si="199"/>
        <v>#REF!</v>
      </c>
      <c r="M1540" s="178" t="e">
        <f>#REF!*#REF!</f>
        <v>#REF!</v>
      </c>
      <c r="N1540" s="178" t="e">
        <f>#REF!+K1540+#REF!</f>
        <v>#REF!</v>
      </c>
      <c r="O1540" s="181" t="e">
        <f t="shared" si="195"/>
        <v>#REF!</v>
      </c>
    </row>
    <row r="1541" spans="1:15" s="193" customFormat="1" outlineLevel="2">
      <c r="A1541" s="240"/>
      <c r="B1541" s="212" t="s">
        <v>1049</v>
      </c>
      <c r="C1541" s="190" t="s">
        <v>123</v>
      </c>
      <c r="D1541" s="191"/>
      <c r="E1541" s="176"/>
      <c r="F1541" s="177"/>
      <c r="G1541" s="192"/>
      <c r="H1541" s="179"/>
      <c r="I1541" s="283" t="e">
        <f>IF(#REF!="",#REF!*#REF!,IF(#REF!=0,#REF!*#REF!,#REF!*#REF!*#REF!))</f>
        <v>#REF!</v>
      </c>
      <c r="J1541" s="180" t="e">
        <f>#REF!*#REF!</f>
        <v>#REF!</v>
      </c>
      <c r="K1541" s="178" t="e">
        <f>#REF!*mo</f>
        <v>#REF!</v>
      </c>
      <c r="L1541" s="178" t="e">
        <f t="shared" si="199"/>
        <v>#REF!</v>
      </c>
      <c r="M1541" s="178" t="e">
        <f>#REF!*#REF!</f>
        <v>#REF!</v>
      </c>
      <c r="N1541" s="178" t="e">
        <f>#REF!+K1541+#REF!</f>
        <v>#REF!</v>
      </c>
      <c r="O1541" s="181" t="e">
        <f t="shared" si="195"/>
        <v>#REF!</v>
      </c>
    </row>
    <row r="1542" spans="1:15" s="193" customFormat="1" outlineLevel="2">
      <c r="A1542" s="240"/>
      <c r="B1542" s="212" t="s">
        <v>1050</v>
      </c>
      <c r="C1542" s="190" t="s">
        <v>123</v>
      </c>
      <c r="D1542" s="191"/>
      <c r="E1542" s="176"/>
      <c r="F1542" s="177"/>
      <c r="G1542" s="192"/>
      <c r="H1542" s="179"/>
      <c r="I1542" s="283" t="e">
        <f>IF(#REF!="",#REF!*#REF!,IF(#REF!=0,#REF!*#REF!,#REF!*#REF!*#REF!))</f>
        <v>#REF!</v>
      </c>
      <c r="J1542" s="180" t="e">
        <f>#REF!*#REF!</f>
        <v>#REF!</v>
      </c>
      <c r="K1542" s="178" t="e">
        <f>#REF!*mo</f>
        <v>#REF!</v>
      </c>
      <c r="L1542" s="178" t="e">
        <f t="shared" si="199"/>
        <v>#REF!</v>
      </c>
      <c r="M1542" s="178" t="e">
        <f>#REF!*#REF!</f>
        <v>#REF!</v>
      </c>
      <c r="N1542" s="178" t="e">
        <f>#REF!+K1542+#REF!</f>
        <v>#REF!</v>
      </c>
      <c r="O1542" s="181" t="e">
        <f t="shared" si="195"/>
        <v>#REF!</v>
      </c>
    </row>
    <row r="1543" spans="1:15" s="193" customFormat="1" outlineLevel="2">
      <c r="A1543" s="240"/>
      <c r="B1543" s="212" t="s">
        <v>943</v>
      </c>
      <c r="C1543" s="190" t="s">
        <v>123</v>
      </c>
      <c r="D1543" s="191"/>
      <c r="E1543" s="176"/>
      <c r="F1543" s="177"/>
      <c r="G1543" s="192"/>
      <c r="H1543" s="179"/>
      <c r="I1543" s="283" t="e">
        <f>IF(#REF!="",#REF!*#REF!,IF(#REF!=0,#REF!*#REF!,#REF!*#REF!*#REF!))</f>
        <v>#REF!</v>
      </c>
      <c r="J1543" s="180" t="e">
        <f>#REF!*#REF!</f>
        <v>#REF!</v>
      </c>
      <c r="K1543" s="178" t="e">
        <f>#REF!*mo</f>
        <v>#REF!</v>
      </c>
      <c r="L1543" s="178" t="e">
        <f t="shared" si="199"/>
        <v>#REF!</v>
      </c>
      <c r="M1543" s="178" t="e">
        <f>#REF!*#REF!</f>
        <v>#REF!</v>
      </c>
      <c r="N1543" s="178" t="e">
        <f>#REF!+K1543+#REF!</f>
        <v>#REF!</v>
      </c>
      <c r="O1543" s="181" t="e">
        <f t="shared" si="195"/>
        <v>#REF!</v>
      </c>
    </row>
    <row r="1544" spans="1:15" s="193" customFormat="1" outlineLevel="2">
      <c r="A1544" s="240"/>
      <c r="B1544" s="212" t="s">
        <v>868</v>
      </c>
      <c r="C1544" s="190" t="s">
        <v>123</v>
      </c>
      <c r="D1544" s="191"/>
      <c r="E1544" s="176"/>
      <c r="F1544" s="177"/>
      <c r="G1544" s="192"/>
      <c r="H1544" s="179"/>
      <c r="I1544" s="283" t="e">
        <f>IF(#REF!="",#REF!*#REF!,IF(#REF!=0,#REF!*#REF!,#REF!*#REF!*#REF!))</f>
        <v>#REF!</v>
      </c>
      <c r="J1544" s="180" t="e">
        <f>#REF!*#REF!</f>
        <v>#REF!</v>
      </c>
      <c r="K1544" s="178" t="e">
        <f>#REF!*mo</f>
        <v>#REF!</v>
      </c>
      <c r="L1544" s="178" t="e">
        <f t="shared" si="199"/>
        <v>#REF!</v>
      </c>
      <c r="M1544" s="178" t="e">
        <f>#REF!*#REF!</f>
        <v>#REF!</v>
      </c>
      <c r="N1544" s="178" t="e">
        <f>#REF!+K1544+#REF!</f>
        <v>#REF!</v>
      </c>
      <c r="O1544" s="181" t="e">
        <f t="shared" si="195"/>
        <v>#REF!</v>
      </c>
    </row>
    <row r="1545" spans="1:15" s="193" customFormat="1" outlineLevel="2">
      <c r="A1545" s="240"/>
      <c r="B1545" s="212" t="s">
        <v>869</v>
      </c>
      <c r="C1545" s="190" t="s">
        <v>123</v>
      </c>
      <c r="D1545" s="191"/>
      <c r="E1545" s="176"/>
      <c r="F1545" s="177"/>
      <c r="G1545" s="192"/>
      <c r="H1545" s="179"/>
      <c r="I1545" s="283" t="e">
        <f>IF(#REF!="",#REF!*#REF!,IF(#REF!=0,#REF!*#REF!,#REF!*#REF!*#REF!))</f>
        <v>#REF!</v>
      </c>
      <c r="J1545" s="180" t="e">
        <f>#REF!*#REF!</f>
        <v>#REF!</v>
      </c>
      <c r="K1545" s="178" t="e">
        <f>#REF!*mo</f>
        <v>#REF!</v>
      </c>
      <c r="L1545" s="178" t="e">
        <f t="shared" si="199"/>
        <v>#REF!</v>
      </c>
      <c r="M1545" s="178" t="e">
        <f>#REF!*#REF!</f>
        <v>#REF!</v>
      </c>
      <c r="N1545" s="178" t="e">
        <f>#REF!+K1545+#REF!</f>
        <v>#REF!</v>
      </c>
      <c r="O1545" s="181" t="e">
        <f t="shared" si="195"/>
        <v>#REF!</v>
      </c>
    </row>
    <row r="1546" spans="1:15" s="193" customFormat="1" outlineLevel="2">
      <c r="A1546" s="240"/>
      <c r="B1546" s="212" t="s">
        <v>870</v>
      </c>
      <c r="C1546" s="190" t="s">
        <v>123</v>
      </c>
      <c r="D1546" s="191"/>
      <c r="E1546" s="176"/>
      <c r="F1546" s="177"/>
      <c r="G1546" s="192"/>
      <c r="H1546" s="179"/>
      <c r="I1546" s="283" t="e">
        <f>IF(#REF!="",#REF!*#REF!,IF(#REF!=0,#REF!*#REF!,#REF!*#REF!*#REF!))</f>
        <v>#REF!</v>
      </c>
      <c r="J1546" s="180" t="e">
        <f>#REF!*#REF!</f>
        <v>#REF!</v>
      </c>
      <c r="K1546" s="178" t="e">
        <f>#REF!*mo</f>
        <v>#REF!</v>
      </c>
      <c r="L1546" s="178" t="e">
        <f t="shared" si="199"/>
        <v>#REF!</v>
      </c>
      <c r="M1546" s="178" t="e">
        <f>#REF!*#REF!</f>
        <v>#REF!</v>
      </c>
      <c r="N1546" s="178" t="e">
        <f>#REF!+K1546+#REF!</f>
        <v>#REF!</v>
      </c>
      <c r="O1546" s="181" t="e">
        <f t="shared" si="195"/>
        <v>#REF!</v>
      </c>
    </row>
    <row r="1547" spans="1:15" s="193" customFormat="1" outlineLevel="2">
      <c r="A1547" s="240"/>
      <c r="B1547" s="212" t="s">
        <v>871</v>
      </c>
      <c r="C1547" s="190" t="s">
        <v>123</v>
      </c>
      <c r="D1547" s="191"/>
      <c r="E1547" s="176"/>
      <c r="F1547" s="177"/>
      <c r="G1547" s="192"/>
      <c r="H1547" s="179"/>
      <c r="I1547" s="283" t="e">
        <f>IF(#REF!="",#REF!*#REF!,IF(#REF!=0,#REF!*#REF!,#REF!*#REF!*#REF!))</f>
        <v>#REF!</v>
      </c>
      <c r="J1547" s="180" t="e">
        <f>#REF!*#REF!</f>
        <v>#REF!</v>
      </c>
      <c r="K1547" s="178" t="e">
        <f>#REF!*mo</f>
        <v>#REF!</v>
      </c>
      <c r="L1547" s="178" t="e">
        <f t="shared" si="199"/>
        <v>#REF!</v>
      </c>
      <c r="M1547" s="178" t="e">
        <f>#REF!*#REF!</f>
        <v>#REF!</v>
      </c>
      <c r="N1547" s="178" t="e">
        <f>#REF!+K1547+#REF!</f>
        <v>#REF!</v>
      </c>
      <c r="O1547" s="181" t="e">
        <f t="shared" si="195"/>
        <v>#REF!</v>
      </c>
    </row>
    <row r="1548" spans="1:15" s="193" customFormat="1" outlineLevel="2">
      <c r="A1548" s="240"/>
      <c r="B1548" s="212" t="s">
        <v>1041</v>
      </c>
      <c r="C1548" s="190" t="s">
        <v>123</v>
      </c>
      <c r="D1548" s="191"/>
      <c r="E1548" s="176"/>
      <c r="F1548" s="177"/>
      <c r="G1548" s="192"/>
      <c r="H1548" s="179"/>
      <c r="I1548" s="283" t="e">
        <f>IF(#REF!="",#REF!*#REF!,IF(#REF!=0,#REF!*#REF!,#REF!*#REF!*#REF!))</f>
        <v>#REF!</v>
      </c>
      <c r="J1548" s="180" t="e">
        <f>#REF!*#REF!</f>
        <v>#REF!</v>
      </c>
      <c r="K1548" s="178" t="e">
        <f>#REF!*mo</f>
        <v>#REF!</v>
      </c>
      <c r="L1548" s="178" t="e">
        <f t="shared" si="199"/>
        <v>#REF!</v>
      </c>
      <c r="M1548" s="178" t="e">
        <f>#REF!*#REF!</f>
        <v>#REF!</v>
      </c>
      <c r="N1548" s="178" t="e">
        <f>#REF!+K1548+#REF!</f>
        <v>#REF!</v>
      </c>
      <c r="O1548" s="181" t="e">
        <f t="shared" si="195"/>
        <v>#REF!</v>
      </c>
    </row>
    <row r="1549" spans="1:15" s="193" customFormat="1" outlineLevel="2">
      <c r="A1549" s="240"/>
      <c r="B1549" s="212"/>
      <c r="C1549" s="190"/>
      <c r="D1549" s="191"/>
      <c r="E1549" s="176"/>
      <c r="F1549" s="177"/>
      <c r="G1549" s="192"/>
      <c r="H1549" s="179"/>
      <c r="I1549" s="283" t="e">
        <f>IF(#REF!="",#REF!*#REF!,IF(#REF!=0,#REF!*#REF!,#REF!*#REF!*#REF!))</f>
        <v>#REF!</v>
      </c>
      <c r="J1549" s="180" t="e">
        <f>#REF!*#REF!</f>
        <v>#REF!</v>
      </c>
      <c r="K1549" s="178" t="e">
        <f>#REF!*mo</f>
        <v>#REF!</v>
      </c>
      <c r="L1549" s="178" t="e">
        <f t="shared" si="199"/>
        <v>#REF!</v>
      </c>
      <c r="M1549" s="178" t="e">
        <f>#REF!*#REF!</f>
        <v>#REF!</v>
      </c>
      <c r="N1549" s="178" t="e">
        <f>#REF!+K1549+#REF!</f>
        <v>#REF!</v>
      </c>
      <c r="O1549" s="181" t="e">
        <f t="shared" si="195"/>
        <v>#REF!</v>
      </c>
    </row>
    <row r="1550" spans="1:15" s="193" customFormat="1" outlineLevel="2">
      <c r="A1550" s="238"/>
      <c r="B1550" s="212" t="s">
        <v>1023</v>
      </c>
      <c r="C1550" s="190" t="s">
        <v>123</v>
      </c>
      <c r="D1550" s="191"/>
      <c r="E1550" s="176"/>
      <c r="F1550" s="177"/>
      <c r="G1550" s="192"/>
      <c r="H1550" s="179"/>
      <c r="I1550" s="283" t="e">
        <f>IF(#REF!="",#REF!*#REF!,IF(#REF!=0,#REF!*#REF!,#REF!*#REF!*#REF!))</f>
        <v>#REF!</v>
      </c>
      <c r="J1550" s="180" t="e">
        <f>#REF!*#REF!</f>
        <v>#REF!</v>
      </c>
      <c r="K1550" s="178" t="e">
        <f>#REF!*mo</f>
        <v>#REF!</v>
      </c>
      <c r="L1550" s="178" t="e">
        <f t="shared" si="194"/>
        <v>#REF!</v>
      </c>
      <c r="M1550" s="178" t="e">
        <f>#REF!*#REF!</f>
        <v>#REF!</v>
      </c>
      <c r="N1550" s="178" t="e">
        <f>#REF!+K1550+#REF!</f>
        <v>#REF!</v>
      </c>
      <c r="O1550" s="181" t="e">
        <f t="shared" si="195"/>
        <v>#REF!</v>
      </c>
    </row>
    <row r="1551" spans="1:15" s="193" customFormat="1" outlineLevel="1">
      <c r="A1551" s="240"/>
      <c r="B1551" s="198" t="str">
        <f>"Total "&amp;B1494</f>
        <v>Total EAUX USEES</v>
      </c>
      <c r="C1551" s="190"/>
      <c r="D1551" s="191"/>
      <c r="E1551" s="176"/>
      <c r="F1551" s="177"/>
      <c r="G1551" s="192"/>
      <c r="H1551" s="179">
        <f>SUM(G1495:G1551)</f>
        <v>0</v>
      </c>
      <c r="I1551" s="283" t="e">
        <f>IF(#REF!="",#REF!*#REF!,IF(#REF!=0,#REF!*#REF!,#REF!*#REF!*#REF!))</f>
        <v>#REF!</v>
      </c>
      <c r="J1551" s="180" t="e">
        <f>#REF!*#REF!</f>
        <v>#REF!</v>
      </c>
      <c r="K1551" s="178" t="e">
        <f>#REF!*mo</f>
        <v>#REF!</v>
      </c>
      <c r="L1551" s="178" t="e">
        <f t="shared" si="194"/>
        <v>#REF!</v>
      </c>
      <c r="M1551" s="178" t="e">
        <f>#REF!*#REF!</f>
        <v>#REF!</v>
      </c>
      <c r="N1551" s="178" t="e">
        <f>#REF!+K1551+#REF!</f>
        <v>#REF!</v>
      </c>
      <c r="O1551" s="181" t="e">
        <f t="shared" si="195"/>
        <v>#REF!</v>
      </c>
    </row>
    <row r="1552" spans="1:15" s="193" customFormat="1" outlineLevel="1">
      <c r="A1552" s="247"/>
      <c r="B1552" s="198"/>
      <c r="C1552" s="190"/>
      <c r="D1552" s="191"/>
      <c r="E1552" s="176"/>
      <c r="F1552" s="177"/>
      <c r="G1552" s="192"/>
      <c r="H1552" s="235"/>
      <c r="I1552" s="283"/>
      <c r="J1552" s="180"/>
      <c r="K1552" s="178"/>
      <c r="L1552" s="178"/>
      <c r="M1552" s="178"/>
      <c r="N1552" s="178"/>
      <c r="O1552" s="181"/>
    </row>
    <row r="1553" spans="1:15" s="209" customFormat="1" outlineLevel="1">
      <c r="A1553" s="157" t="str">
        <f>$A$606&amp;".2"</f>
        <v>.2</v>
      </c>
      <c r="B1553" s="158" t="s">
        <v>1051</v>
      </c>
      <c r="C1553" s="195"/>
      <c r="D1553" s="170"/>
      <c r="E1553" s="176"/>
      <c r="F1553" s="177"/>
      <c r="G1553" s="192"/>
      <c r="H1553" s="196"/>
      <c r="I1553" s="283" t="e">
        <f>IF(#REF!="",#REF!*#REF!,IF(#REF!=0,#REF!*#REF!,#REF!*#REF!*#REF!))</f>
        <v>#REF!</v>
      </c>
      <c r="J1553" s="180" t="e">
        <f>#REF!*#REF!</f>
        <v>#REF!</v>
      </c>
      <c r="K1553" s="178" t="e">
        <f>#REF!*mo</f>
        <v>#REF!</v>
      </c>
      <c r="L1553" s="178" t="e">
        <f t="shared" si="194"/>
        <v>#REF!</v>
      </c>
      <c r="M1553" s="178" t="e">
        <f>#REF!*#REF!</f>
        <v>#REF!</v>
      </c>
      <c r="N1553" s="178" t="e">
        <f>#REF!+K1553+#REF!</f>
        <v>#REF!</v>
      </c>
      <c r="O1553" s="181" t="e">
        <f t="shared" si="195"/>
        <v>#REF!</v>
      </c>
    </row>
    <row r="1554" spans="1:15" s="193" customFormat="1" outlineLevel="1">
      <c r="A1554" s="240" t="str">
        <f>$A$667&amp;".1"</f>
        <v>.1</v>
      </c>
      <c r="B1554" s="241" t="s">
        <v>1034</v>
      </c>
      <c r="C1554" s="190"/>
      <c r="D1554" s="191"/>
      <c r="E1554" s="176"/>
      <c r="F1554" s="177"/>
      <c r="G1554" s="192">
        <f>SUM(F1555:F1557)</f>
        <v>0</v>
      </c>
      <c r="H1554" s="179"/>
      <c r="I1554" s="283" t="e">
        <f>IF(#REF!="",#REF!*#REF!,IF(#REF!=0,#REF!*#REF!,#REF!*#REF!*#REF!))</f>
        <v>#REF!</v>
      </c>
      <c r="J1554" s="180" t="e">
        <f>#REF!*#REF!</f>
        <v>#REF!</v>
      </c>
      <c r="K1554" s="178" t="e">
        <f>#REF!*mo</f>
        <v>#REF!</v>
      </c>
      <c r="L1554" s="178" t="e">
        <f t="shared" si="194"/>
        <v>#REF!</v>
      </c>
      <c r="M1554" s="178" t="e">
        <f>#REF!*#REF!</f>
        <v>#REF!</v>
      </c>
      <c r="N1554" s="178" t="e">
        <f>#REF!+K1554+#REF!</f>
        <v>#REF!</v>
      </c>
      <c r="O1554" s="181" t="e">
        <f t="shared" si="195"/>
        <v>#REF!</v>
      </c>
    </row>
    <row r="1555" spans="1:15" s="193" customFormat="1" outlineLevel="2">
      <c r="A1555" s="238"/>
      <c r="B1555" s="241"/>
      <c r="C1555" s="190"/>
      <c r="D1555" s="191"/>
      <c r="E1555" s="176"/>
      <c r="F1555" s="177"/>
      <c r="G1555" s="192"/>
      <c r="H1555" s="179"/>
      <c r="I1555" s="283" t="e">
        <f>IF(#REF!="",#REF!*#REF!,IF(#REF!=0,#REF!*#REF!,#REF!*#REF!*#REF!))</f>
        <v>#REF!</v>
      </c>
      <c r="J1555" s="180" t="e">
        <f>#REF!*#REF!</f>
        <v>#REF!</v>
      </c>
      <c r="K1555" s="178" t="e">
        <f>#REF!*mo</f>
        <v>#REF!</v>
      </c>
      <c r="L1555" s="178" t="e">
        <f t="shared" si="194"/>
        <v>#REF!</v>
      </c>
      <c r="M1555" s="178" t="e">
        <f>#REF!*#REF!</f>
        <v>#REF!</v>
      </c>
      <c r="N1555" s="178" t="e">
        <f>#REF!+K1555+#REF!</f>
        <v>#REF!</v>
      </c>
      <c r="O1555" s="181" t="e">
        <f t="shared" si="195"/>
        <v>#REF!</v>
      </c>
    </row>
    <row r="1556" spans="1:15" s="193" customFormat="1" outlineLevel="2">
      <c r="A1556" s="238"/>
      <c r="B1556" s="236" t="s">
        <v>1052</v>
      </c>
      <c r="C1556" s="190" t="s">
        <v>93</v>
      </c>
      <c r="D1556" s="191"/>
      <c r="E1556" s="176"/>
      <c r="F1556" s="177"/>
      <c r="G1556" s="192"/>
      <c r="H1556" s="179"/>
      <c r="I1556" s="283" t="e">
        <f>IF(#REF!="",#REF!*#REF!,IF(#REF!=0,#REF!*#REF!,#REF!*#REF!*#REF!))</f>
        <v>#REF!</v>
      </c>
      <c r="J1556" s="180" t="e">
        <f>#REF!*#REF!</f>
        <v>#REF!</v>
      </c>
      <c r="K1556" s="178" t="e">
        <f>#REF!*mo</f>
        <v>#REF!</v>
      </c>
      <c r="L1556" s="178" t="e">
        <f t="shared" si="194"/>
        <v>#REF!</v>
      </c>
      <c r="M1556" s="178" t="e">
        <f>#REF!*#REF!</f>
        <v>#REF!</v>
      </c>
      <c r="N1556" s="178" t="e">
        <f>#REF!+K1556+#REF!</f>
        <v>#REF!</v>
      </c>
      <c r="O1556" s="181" t="e">
        <f t="shared" si="195"/>
        <v>#REF!</v>
      </c>
    </row>
    <row r="1557" spans="1:15" s="193" customFormat="1" outlineLevel="2">
      <c r="A1557" s="238"/>
      <c r="B1557" s="237"/>
      <c r="C1557" s="190"/>
      <c r="D1557" s="191"/>
      <c r="E1557" s="176"/>
      <c r="F1557" s="177"/>
      <c r="G1557" s="192"/>
      <c r="H1557" s="179"/>
      <c r="I1557" s="283" t="e">
        <f>IF(#REF!="",#REF!*#REF!,IF(#REF!=0,#REF!*#REF!,#REF!*#REF!*#REF!))</f>
        <v>#REF!</v>
      </c>
      <c r="J1557" s="180" t="e">
        <f>#REF!*#REF!</f>
        <v>#REF!</v>
      </c>
      <c r="K1557" s="178" t="e">
        <f>#REF!*mo</f>
        <v>#REF!</v>
      </c>
      <c r="L1557" s="178" t="e">
        <f t="shared" si="194"/>
        <v>#REF!</v>
      </c>
      <c r="M1557" s="178" t="e">
        <f>#REF!*#REF!</f>
        <v>#REF!</v>
      </c>
      <c r="N1557" s="178" t="e">
        <f>#REF!+K1557+#REF!</f>
        <v>#REF!</v>
      </c>
      <c r="O1557" s="181" t="e">
        <f t="shared" si="195"/>
        <v>#REF!</v>
      </c>
    </row>
    <row r="1558" spans="1:15" s="193" customFormat="1" outlineLevel="1">
      <c r="A1558" s="240" t="str">
        <f>$A$667&amp;".2"</f>
        <v>.2</v>
      </c>
      <c r="B1558" s="210" t="s">
        <v>1053</v>
      </c>
      <c r="C1558" s="190"/>
      <c r="D1558" s="191"/>
      <c r="E1558" s="176"/>
      <c r="F1558" s="177"/>
      <c r="G1558" s="192">
        <f>SUM(F1559:F1582)</f>
        <v>0</v>
      </c>
      <c r="H1558" s="179"/>
      <c r="I1558" s="283" t="e">
        <f>IF(#REF!="",#REF!*#REF!,IF(#REF!=0,#REF!*#REF!,#REF!*#REF!*#REF!))</f>
        <v>#REF!</v>
      </c>
      <c r="J1558" s="180" t="e">
        <f>#REF!*#REF!</f>
        <v>#REF!</v>
      </c>
      <c r="K1558" s="178" t="e">
        <f>#REF!*mo</f>
        <v>#REF!</v>
      </c>
      <c r="L1558" s="178" t="e">
        <f t="shared" si="194"/>
        <v>#REF!</v>
      </c>
      <c r="M1558" s="178" t="e">
        <f>#REF!*#REF!</f>
        <v>#REF!</v>
      </c>
      <c r="N1558" s="178" t="e">
        <f>#REF!+K1558+#REF!</f>
        <v>#REF!</v>
      </c>
      <c r="O1558" s="181" t="e">
        <f t="shared" si="195"/>
        <v>#REF!</v>
      </c>
    </row>
    <row r="1559" spans="1:15" s="193" customFormat="1" outlineLevel="2">
      <c r="A1559" s="240"/>
      <c r="B1559" s="233"/>
      <c r="C1559" s="190"/>
      <c r="D1559" s="191"/>
      <c r="E1559" s="176"/>
      <c r="F1559" s="177"/>
      <c r="G1559" s="192"/>
      <c r="H1559" s="179"/>
      <c r="I1559" s="283" t="e">
        <f>IF(#REF!="",#REF!*#REF!,IF(#REF!=0,#REF!*#REF!,#REF!*#REF!*#REF!))</f>
        <v>#REF!</v>
      </c>
      <c r="J1559" s="180" t="e">
        <f>#REF!*#REF!</f>
        <v>#REF!</v>
      </c>
      <c r="K1559" s="178" t="e">
        <f>#REF!*mo</f>
        <v>#REF!</v>
      </c>
      <c r="L1559" s="178" t="e">
        <f t="shared" si="194"/>
        <v>#REF!</v>
      </c>
      <c r="M1559" s="178" t="e">
        <f>#REF!*#REF!</f>
        <v>#REF!</v>
      </c>
      <c r="N1559" s="178" t="e">
        <f>#REF!+K1559+#REF!</f>
        <v>#REF!</v>
      </c>
      <c r="O1559" s="181" t="e">
        <f t="shared" si="195"/>
        <v>#REF!</v>
      </c>
    </row>
    <row r="1560" spans="1:15" s="193" customFormat="1" outlineLevel="2">
      <c r="A1560" s="238"/>
      <c r="B1560" s="236" t="s">
        <v>1039</v>
      </c>
      <c r="C1560" s="190"/>
      <c r="D1560" s="191"/>
      <c r="E1560" s="176"/>
      <c r="F1560" s="177"/>
      <c r="G1560" s="192"/>
      <c r="H1560" s="179"/>
      <c r="I1560" s="283" t="e">
        <f>IF(#REF!="",#REF!*#REF!,IF(#REF!=0,#REF!*#REF!,#REF!*#REF!*#REF!))</f>
        <v>#REF!</v>
      </c>
      <c r="J1560" s="180" t="e">
        <f>#REF!*#REF!</f>
        <v>#REF!</v>
      </c>
      <c r="K1560" s="178" t="e">
        <f>#REF!*mo</f>
        <v>#REF!</v>
      </c>
      <c r="L1560" s="178" t="e">
        <f t="shared" si="194"/>
        <v>#REF!</v>
      </c>
      <c r="M1560" s="178" t="e">
        <f>#REF!*#REF!</f>
        <v>#REF!</v>
      </c>
      <c r="N1560" s="178" t="e">
        <f>#REF!+K1560+#REF!</f>
        <v>#REF!</v>
      </c>
      <c r="O1560" s="181" t="e">
        <f t="shared" si="195"/>
        <v>#REF!</v>
      </c>
    </row>
    <row r="1561" spans="1:15" s="193" customFormat="1" outlineLevel="2">
      <c r="A1561" s="238"/>
      <c r="B1561" s="212" t="s">
        <v>940</v>
      </c>
      <c r="C1561" s="190" t="s">
        <v>123</v>
      </c>
      <c r="D1561" s="191"/>
      <c r="E1561" s="176"/>
      <c r="F1561" s="177"/>
      <c r="G1561" s="192"/>
      <c r="H1561" s="179"/>
      <c r="I1561" s="283" t="e">
        <f>IF(#REF!="",#REF!*#REF!,IF(#REF!=0,#REF!*#REF!,#REF!*#REF!*#REF!))</f>
        <v>#REF!</v>
      </c>
      <c r="J1561" s="180" t="e">
        <f>#REF!*#REF!</f>
        <v>#REF!</v>
      </c>
      <c r="K1561" s="178" t="e">
        <f>#REF!*mo</f>
        <v>#REF!</v>
      </c>
      <c r="L1561" s="178" t="e">
        <f t="shared" si="194"/>
        <v>#REF!</v>
      </c>
      <c r="M1561" s="178" t="e">
        <f>#REF!*#REF!</f>
        <v>#REF!</v>
      </c>
      <c r="N1561" s="178" t="e">
        <f>#REF!+K1561+#REF!</f>
        <v>#REF!</v>
      </c>
      <c r="O1561" s="181" t="e">
        <f t="shared" si="195"/>
        <v>#REF!</v>
      </c>
    </row>
    <row r="1562" spans="1:15" s="193" customFormat="1" outlineLevel="2">
      <c r="A1562" s="238"/>
      <c r="B1562" s="212" t="s">
        <v>942</v>
      </c>
      <c r="C1562" s="190" t="s">
        <v>123</v>
      </c>
      <c r="D1562" s="191"/>
      <c r="E1562" s="176"/>
      <c r="F1562" s="177"/>
      <c r="G1562" s="192"/>
      <c r="H1562" s="179"/>
      <c r="I1562" s="283" t="e">
        <f>IF(#REF!="",#REF!*#REF!,IF(#REF!=0,#REF!*#REF!,#REF!*#REF!*#REF!))</f>
        <v>#REF!</v>
      </c>
      <c r="J1562" s="180" t="e">
        <f>#REF!*#REF!</f>
        <v>#REF!</v>
      </c>
      <c r="K1562" s="178" t="e">
        <f>#REF!*mo</f>
        <v>#REF!</v>
      </c>
      <c r="L1562" s="178" t="e">
        <f t="shared" si="194"/>
        <v>#REF!</v>
      </c>
      <c r="M1562" s="178" t="e">
        <f>#REF!*#REF!</f>
        <v>#REF!</v>
      </c>
      <c r="N1562" s="178" t="e">
        <f>#REF!+K1562+#REF!</f>
        <v>#REF!</v>
      </c>
      <c r="O1562" s="181" t="e">
        <f t="shared" si="195"/>
        <v>#REF!</v>
      </c>
    </row>
    <row r="1563" spans="1:15" s="193" customFormat="1" outlineLevel="2">
      <c r="A1563" s="238"/>
      <c r="B1563" s="212" t="s">
        <v>943</v>
      </c>
      <c r="C1563" s="190" t="s">
        <v>123</v>
      </c>
      <c r="D1563" s="191"/>
      <c r="E1563" s="176"/>
      <c r="F1563" s="177"/>
      <c r="G1563" s="192"/>
      <c r="H1563" s="179"/>
      <c r="I1563" s="283" t="e">
        <f>IF(#REF!="",#REF!*#REF!,IF(#REF!=0,#REF!*#REF!,#REF!*#REF!*#REF!))</f>
        <v>#REF!</v>
      </c>
      <c r="J1563" s="180" t="e">
        <f>#REF!*#REF!</f>
        <v>#REF!</v>
      </c>
      <c r="K1563" s="178" t="e">
        <f>#REF!*mo</f>
        <v>#REF!</v>
      </c>
      <c r="L1563" s="178" t="e">
        <f t="shared" si="194"/>
        <v>#REF!</v>
      </c>
      <c r="M1563" s="178" t="e">
        <f>#REF!*#REF!</f>
        <v>#REF!</v>
      </c>
      <c r="N1563" s="178" t="e">
        <f>#REF!+K1563+#REF!</f>
        <v>#REF!</v>
      </c>
      <c r="O1563" s="181" t="e">
        <f t="shared" si="195"/>
        <v>#REF!</v>
      </c>
    </row>
    <row r="1564" spans="1:15" s="193" customFormat="1" outlineLevel="2">
      <c r="A1564" s="238"/>
      <c r="B1564" s="212" t="s">
        <v>868</v>
      </c>
      <c r="C1564" s="190" t="s">
        <v>123</v>
      </c>
      <c r="D1564" s="191"/>
      <c r="E1564" s="176"/>
      <c r="F1564" s="177"/>
      <c r="G1564" s="192"/>
      <c r="H1564" s="179"/>
      <c r="I1564" s="283" t="e">
        <f>IF(#REF!="",#REF!*#REF!,IF(#REF!=0,#REF!*#REF!,#REF!*#REF!*#REF!))</f>
        <v>#REF!</v>
      </c>
      <c r="J1564" s="180" t="e">
        <f>#REF!*#REF!</f>
        <v>#REF!</v>
      </c>
      <c r="K1564" s="178" t="e">
        <f>#REF!*mo</f>
        <v>#REF!</v>
      </c>
      <c r="L1564" s="178" t="e">
        <f t="shared" si="194"/>
        <v>#REF!</v>
      </c>
      <c r="M1564" s="178" t="e">
        <f>#REF!*#REF!</f>
        <v>#REF!</v>
      </c>
      <c r="N1564" s="178" t="e">
        <f>#REF!+K1564+#REF!</f>
        <v>#REF!</v>
      </c>
      <c r="O1564" s="181" t="e">
        <f t="shared" si="195"/>
        <v>#REF!</v>
      </c>
    </row>
    <row r="1565" spans="1:15" s="193" customFormat="1" outlineLevel="2">
      <c r="A1565" s="238"/>
      <c r="B1565" s="212" t="s">
        <v>944</v>
      </c>
      <c r="C1565" s="190" t="s">
        <v>123</v>
      </c>
      <c r="D1565" s="191"/>
      <c r="E1565" s="176"/>
      <c r="F1565" s="177"/>
      <c r="G1565" s="192"/>
      <c r="H1565" s="179"/>
      <c r="I1565" s="283" t="e">
        <f>IF(#REF!="",#REF!*#REF!,IF(#REF!=0,#REF!*#REF!,#REF!*#REF!*#REF!))</f>
        <v>#REF!</v>
      </c>
      <c r="J1565" s="180" t="e">
        <f>#REF!*#REF!</f>
        <v>#REF!</v>
      </c>
      <c r="K1565" s="178" t="e">
        <f>#REF!*mo</f>
        <v>#REF!</v>
      </c>
      <c r="L1565" s="178" t="e">
        <f t="shared" si="194"/>
        <v>#REF!</v>
      </c>
      <c r="M1565" s="178" t="e">
        <f>#REF!*#REF!</f>
        <v>#REF!</v>
      </c>
      <c r="N1565" s="178" t="e">
        <f>#REF!+K1565+#REF!</f>
        <v>#REF!</v>
      </c>
      <c r="O1565" s="181" t="e">
        <f t="shared" si="195"/>
        <v>#REF!</v>
      </c>
    </row>
    <row r="1566" spans="1:15" s="193" customFormat="1" outlineLevel="2">
      <c r="A1566" s="238"/>
      <c r="B1566" s="212" t="s">
        <v>1040</v>
      </c>
      <c r="C1566" s="190" t="s">
        <v>123</v>
      </c>
      <c r="D1566" s="191"/>
      <c r="E1566" s="176"/>
      <c r="F1566" s="177"/>
      <c r="G1566" s="192"/>
      <c r="H1566" s="179"/>
      <c r="I1566" s="283" t="e">
        <f>IF(#REF!="",#REF!*#REF!,IF(#REF!=0,#REF!*#REF!,#REF!*#REF!*#REF!))</f>
        <v>#REF!</v>
      </c>
      <c r="J1566" s="180" t="e">
        <f>#REF!*#REF!</f>
        <v>#REF!</v>
      </c>
      <c r="K1566" s="178" t="e">
        <f>#REF!*mo</f>
        <v>#REF!</v>
      </c>
      <c r="L1566" s="178" t="e">
        <f t="shared" si="194"/>
        <v>#REF!</v>
      </c>
      <c r="M1566" s="178" t="e">
        <f>#REF!*#REF!</f>
        <v>#REF!</v>
      </c>
      <c r="N1566" s="178" t="e">
        <f>#REF!+K1566+#REF!</f>
        <v>#REF!</v>
      </c>
      <c r="O1566" s="181" t="e">
        <f t="shared" si="195"/>
        <v>#REF!</v>
      </c>
    </row>
    <row r="1567" spans="1:15" s="193" customFormat="1" outlineLevel="2">
      <c r="A1567" s="238"/>
      <c r="B1567" s="212" t="s">
        <v>870</v>
      </c>
      <c r="C1567" s="190" t="s">
        <v>123</v>
      </c>
      <c r="D1567" s="191"/>
      <c r="E1567" s="176"/>
      <c r="F1567" s="177"/>
      <c r="G1567" s="192"/>
      <c r="H1567" s="179"/>
      <c r="I1567" s="283" t="e">
        <f>IF(#REF!="",#REF!*#REF!,IF(#REF!=0,#REF!*#REF!,#REF!*#REF!*#REF!))</f>
        <v>#REF!</v>
      </c>
      <c r="J1567" s="180" t="e">
        <f>#REF!*#REF!</f>
        <v>#REF!</v>
      </c>
      <c r="K1567" s="178" t="e">
        <f>#REF!*mo</f>
        <v>#REF!</v>
      </c>
      <c r="L1567" s="178" t="e">
        <f t="shared" si="194"/>
        <v>#REF!</v>
      </c>
      <c r="M1567" s="178" t="e">
        <f>#REF!*#REF!</f>
        <v>#REF!</v>
      </c>
      <c r="N1567" s="178" t="e">
        <f>#REF!+K1567+#REF!</f>
        <v>#REF!</v>
      </c>
      <c r="O1567" s="181" t="e">
        <f t="shared" si="195"/>
        <v>#REF!</v>
      </c>
    </row>
    <row r="1568" spans="1:15" s="193" customFormat="1" outlineLevel="2">
      <c r="A1568" s="238"/>
      <c r="B1568" s="212" t="s">
        <v>871</v>
      </c>
      <c r="C1568" s="190" t="s">
        <v>123</v>
      </c>
      <c r="D1568" s="191"/>
      <c r="E1568" s="176"/>
      <c r="F1568" s="177"/>
      <c r="G1568" s="192"/>
      <c r="H1568" s="179"/>
      <c r="I1568" s="283" t="e">
        <f>IF(#REF!="",#REF!*#REF!,IF(#REF!=0,#REF!*#REF!,#REF!*#REF!*#REF!))</f>
        <v>#REF!</v>
      </c>
      <c r="J1568" s="180" t="e">
        <f>#REF!*#REF!</f>
        <v>#REF!</v>
      </c>
      <c r="K1568" s="178" t="e">
        <f>#REF!*mo</f>
        <v>#REF!</v>
      </c>
      <c r="L1568" s="178" t="e">
        <f t="shared" si="194"/>
        <v>#REF!</v>
      </c>
      <c r="M1568" s="178" t="e">
        <f>#REF!*#REF!</f>
        <v>#REF!</v>
      </c>
      <c r="N1568" s="178" t="e">
        <f>#REF!+K1568+#REF!</f>
        <v>#REF!</v>
      </c>
      <c r="O1568" s="181" t="e">
        <f t="shared" si="195"/>
        <v>#REF!</v>
      </c>
    </row>
    <row r="1569" spans="1:15" s="193" customFormat="1" outlineLevel="2">
      <c r="A1569" s="238"/>
      <c r="B1569" s="212" t="s">
        <v>1041</v>
      </c>
      <c r="C1569" s="190" t="s">
        <v>123</v>
      </c>
      <c r="D1569" s="191"/>
      <c r="E1569" s="176"/>
      <c r="F1569" s="177"/>
      <c r="G1569" s="192"/>
      <c r="H1569" s="179"/>
      <c r="I1569" s="283" t="e">
        <f>IF(#REF!="",#REF!*#REF!,IF(#REF!=0,#REF!*#REF!,#REF!*#REF!*#REF!))</f>
        <v>#REF!</v>
      </c>
      <c r="J1569" s="180" t="e">
        <f>#REF!*#REF!</f>
        <v>#REF!</v>
      </c>
      <c r="K1569" s="178" t="e">
        <f>#REF!*mo</f>
        <v>#REF!</v>
      </c>
      <c r="L1569" s="178" t="e">
        <f t="shared" si="194"/>
        <v>#REF!</v>
      </c>
      <c r="M1569" s="178" t="e">
        <f>#REF!*#REF!</f>
        <v>#REF!</v>
      </c>
      <c r="N1569" s="178" t="e">
        <f>#REF!+K1569+#REF!</f>
        <v>#REF!</v>
      </c>
      <c r="O1569" s="181" t="e">
        <f t="shared" si="195"/>
        <v>#REF!</v>
      </c>
    </row>
    <row r="1570" spans="1:15" s="193" customFormat="1" outlineLevel="2">
      <c r="A1570" s="238"/>
      <c r="B1570" s="212" t="s">
        <v>874</v>
      </c>
      <c r="C1570" s="190" t="s">
        <v>123</v>
      </c>
      <c r="D1570" s="191"/>
      <c r="E1570" s="176"/>
      <c r="F1570" s="177"/>
      <c r="G1570" s="192"/>
      <c r="H1570" s="179"/>
      <c r="I1570" s="283" t="e">
        <f>IF(#REF!="",#REF!*#REF!,IF(#REF!=0,#REF!*#REF!,#REF!*#REF!*#REF!))</f>
        <v>#REF!</v>
      </c>
      <c r="J1570" s="180" t="e">
        <f>#REF!*#REF!</f>
        <v>#REF!</v>
      </c>
      <c r="K1570" s="178" t="e">
        <f>#REF!*mo</f>
        <v>#REF!</v>
      </c>
      <c r="L1570" s="178" t="e">
        <f t="shared" si="194"/>
        <v>#REF!</v>
      </c>
      <c r="M1570" s="178" t="e">
        <f>#REF!*#REF!</f>
        <v>#REF!</v>
      </c>
      <c r="N1570" s="178" t="e">
        <f>#REF!+K1570+#REF!</f>
        <v>#REF!</v>
      </c>
      <c r="O1570" s="181" t="e">
        <f t="shared" si="195"/>
        <v>#REF!</v>
      </c>
    </row>
    <row r="1571" spans="1:15" s="193" customFormat="1" outlineLevel="2">
      <c r="A1571" s="238"/>
      <c r="B1571" s="212" t="s">
        <v>876</v>
      </c>
      <c r="C1571" s="190" t="s">
        <v>123</v>
      </c>
      <c r="D1571" s="191"/>
      <c r="E1571" s="176"/>
      <c r="F1571" s="177"/>
      <c r="G1571" s="192"/>
      <c r="H1571" s="179"/>
      <c r="I1571" s="283" t="e">
        <f>IF(#REF!="",#REF!*#REF!,IF(#REF!=0,#REF!*#REF!,#REF!*#REF!*#REF!))</f>
        <v>#REF!</v>
      </c>
      <c r="J1571" s="180" t="e">
        <f>#REF!*#REF!</f>
        <v>#REF!</v>
      </c>
      <c r="K1571" s="178" t="e">
        <f>#REF!*mo</f>
        <v>#REF!</v>
      </c>
      <c r="L1571" s="178" t="e">
        <f t="shared" si="194"/>
        <v>#REF!</v>
      </c>
      <c r="M1571" s="178" t="e">
        <f>#REF!*#REF!</f>
        <v>#REF!</v>
      </c>
      <c r="N1571" s="178" t="e">
        <f>#REF!+K1571+#REF!</f>
        <v>#REF!</v>
      </c>
      <c r="O1571" s="181" t="e">
        <f t="shared" si="195"/>
        <v>#REF!</v>
      </c>
    </row>
    <row r="1572" spans="1:15" s="193" customFormat="1" outlineLevel="2">
      <c r="A1572" s="238"/>
      <c r="B1572" s="236"/>
      <c r="C1572" s="190"/>
      <c r="D1572" s="191"/>
      <c r="E1572" s="176"/>
      <c r="F1572" s="177"/>
      <c r="G1572" s="192"/>
      <c r="H1572" s="179"/>
      <c r="I1572" s="283" t="e">
        <f>IF(#REF!="",#REF!*#REF!,IF(#REF!=0,#REF!*#REF!,#REF!*#REF!*#REF!))</f>
        <v>#REF!</v>
      </c>
      <c r="J1572" s="180" t="e">
        <f>#REF!*#REF!</f>
        <v>#REF!</v>
      </c>
      <c r="K1572" s="178" t="e">
        <f>#REF!*mo</f>
        <v>#REF!</v>
      </c>
      <c r="L1572" s="178" t="e">
        <f t="shared" si="194"/>
        <v>#REF!</v>
      </c>
      <c r="M1572" s="178" t="e">
        <f>#REF!*#REF!</f>
        <v>#REF!</v>
      </c>
      <c r="N1572" s="178" t="e">
        <f>#REF!+K1572+#REF!</f>
        <v>#REF!</v>
      </c>
      <c r="O1572" s="181" t="e">
        <f t="shared" si="195"/>
        <v>#REF!</v>
      </c>
    </row>
    <row r="1573" spans="1:15" s="193" customFormat="1" outlineLevel="2">
      <c r="A1573" s="238"/>
      <c r="B1573" s="212" t="s">
        <v>1054</v>
      </c>
      <c r="C1573" s="190" t="s">
        <v>801</v>
      </c>
      <c r="D1573" s="191"/>
      <c r="E1573" s="176"/>
      <c r="F1573" s="177"/>
      <c r="G1573" s="192"/>
      <c r="H1573" s="179"/>
      <c r="I1573" s="283" t="e">
        <f>IF(#REF!="",#REF!*#REF!,IF(#REF!=0,#REF!*#REF!,#REF!*#REF!*#REF!))</f>
        <v>#REF!</v>
      </c>
      <c r="J1573" s="180" t="e">
        <f>#REF!*#REF!</f>
        <v>#REF!</v>
      </c>
      <c r="K1573" s="178" t="e">
        <f>#REF!*mo</f>
        <v>#REF!</v>
      </c>
      <c r="L1573" s="178" t="e">
        <f t="shared" ref="L1573:L1578" si="200">J1573*mo</f>
        <v>#REF!</v>
      </c>
      <c r="M1573" s="178" t="e">
        <f>#REF!*#REF!</f>
        <v>#REF!</v>
      </c>
      <c r="N1573" s="178" t="e">
        <f>#REF!+K1573+#REF!</f>
        <v>#REF!</v>
      </c>
      <c r="O1573" s="181" t="e">
        <f t="shared" ref="O1573:O1636" si="201">M1573+L1573+I1573</f>
        <v>#REF!</v>
      </c>
    </row>
    <row r="1574" spans="1:15" s="193" customFormat="1" outlineLevel="2">
      <c r="A1574" s="238"/>
      <c r="B1574" s="212" t="s">
        <v>1043</v>
      </c>
      <c r="C1574" s="190"/>
      <c r="D1574" s="191"/>
      <c r="E1574" s="176"/>
      <c r="F1574" s="177"/>
      <c r="G1574" s="192"/>
      <c r="H1574" s="179"/>
      <c r="I1574" s="283" t="e">
        <f>IF(#REF!="",#REF!*#REF!,IF(#REF!=0,#REF!*#REF!,#REF!*#REF!*#REF!))</f>
        <v>#REF!</v>
      </c>
      <c r="J1574" s="180" t="e">
        <f>#REF!*#REF!</f>
        <v>#REF!</v>
      </c>
      <c r="K1574" s="178" t="e">
        <f>#REF!*mo</f>
        <v>#REF!</v>
      </c>
      <c r="L1574" s="178" t="e">
        <f t="shared" si="200"/>
        <v>#REF!</v>
      </c>
      <c r="M1574" s="178" t="e">
        <f>#REF!*#REF!</f>
        <v>#REF!</v>
      </c>
      <c r="N1574" s="178" t="e">
        <f>#REF!+K1574+#REF!</f>
        <v>#REF!</v>
      </c>
      <c r="O1574" s="181" t="e">
        <f t="shared" si="201"/>
        <v>#REF!</v>
      </c>
    </row>
    <row r="1575" spans="1:15" s="193" customFormat="1" outlineLevel="2">
      <c r="A1575" s="238"/>
      <c r="B1575" s="212" t="s">
        <v>1044</v>
      </c>
      <c r="C1575" s="190"/>
      <c r="D1575" s="191"/>
      <c r="E1575" s="176"/>
      <c r="F1575" s="177"/>
      <c r="G1575" s="192"/>
      <c r="H1575" s="179"/>
      <c r="I1575" s="283" t="e">
        <f>IF(#REF!="",#REF!*#REF!,IF(#REF!=0,#REF!*#REF!,#REF!*#REF!*#REF!))</f>
        <v>#REF!</v>
      </c>
      <c r="J1575" s="180" t="e">
        <f>#REF!*#REF!</f>
        <v>#REF!</v>
      </c>
      <c r="K1575" s="178" t="e">
        <f>#REF!*mo</f>
        <v>#REF!</v>
      </c>
      <c r="L1575" s="178" t="e">
        <f t="shared" si="200"/>
        <v>#REF!</v>
      </c>
      <c r="M1575" s="178" t="e">
        <f>#REF!*#REF!</f>
        <v>#REF!</v>
      </c>
      <c r="N1575" s="178" t="e">
        <f>#REF!+K1575+#REF!</f>
        <v>#REF!</v>
      </c>
      <c r="O1575" s="181" t="e">
        <f t="shared" si="201"/>
        <v>#REF!</v>
      </c>
    </row>
    <row r="1576" spans="1:15" s="193" customFormat="1" outlineLevel="2">
      <c r="A1576" s="238"/>
      <c r="B1576" s="212"/>
      <c r="C1576" s="190"/>
      <c r="D1576" s="191"/>
      <c r="E1576" s="176"/>
      <c r="F1576" s="177"/>
      <c r="G1576" s="192"/>
      <c r="H1576" s="179"/>
      <c r="I1576" s="283" t="e">
        <f>IF(#REF!="",#REF!*#REF!,IF(#REF!=0,#REF!*#REF!,#REF!*#REF!*#REF!))</f>
        <v>#REF!</v>
      </c>
      <c r="J1576" s="180" t="e">
        <f>#REF!*#REF!</f>
        <v>#REF!</v>
      </c>
      <c r="K1576" s="178" t="e">
        <f>#REF!*mo</f>
        <v>#REF!</v>
      </c>
      <c r="L1576" s="178" t="e">
        <f t="shared" si="200"/>
        <v>#REF!</v>
      </c>
      <c r="M1576" s="178" t="e">
        <f>#REF!*#REF!</f>
        <v>#REF!</v>
      </c>
      <c r="N1576" s="178" t="e">
        <f>#REF!+K1576+#REF!</f>
        <v>#REF!</v>
      </c>
      <c r="O1576" s="181" t="e">
        <f t="shared" si="201"/>
        <v>#REF!</v>
      </c>
    </row>
    <row r="1577" spans="1:15" s="193" customFormat="1" outlineLevel="2">
      <c r="A1577" s="238"/>
      <c r="B1577" s="212" t="s">
        <v>1045</v>
      </c>
      <c r="C1577" s="190" t="s">
        <v>93</v>
      </c>
      <c r="D1577" s="191"/>
      <c r="E1577" s="176"/>
      <c r="F1577" s="177"/>
      <c r="G1577" s="192"/>
      <c r="H1577" s="179"/>
      <c r="I1577" s="283" t="e">
        <f>IF(#REF!="",#REF!*#REF!,IF(#REF!=0,#REF!*#REF!,#REF!*#REF!*#REF!))</f>
        <v>#REF!</v>
      </c>
      <c r="J1577" s="180" t="e">
        <f>#REF!*#REF!</f>
        <v>#REF!</v>
      </c>
      <c r="K1577" s="178" t="e">
        <f>#REF!*mo</f>
        <v>#REF!</v>
      </c>
      <c r="L1577" s="178" t="e">
        <f t="shared" si="200"/>
        <v>#REF!</v>
      </c>
      <c r="M1577" s="178" t="e">
        <f>#REF!*#REF!</f>
        <v>#REF!</v>
      </c>
      <c r="N1577" s="178" t="e">
        <f>#REF!+K1577+#REF!</f>
        <v>#REF!</v>
      </c>
      <c r="O1577" s="181" t="e">
        <f t="shared" si="201"/>
        <v>#REF!</v>
      </c>
    </row>
    <row r="1578" spans="1:15" s="193" customFormat="1" outlineLevel="2">
      <c r="A1578" s="238"/>
      <c r="B1578" s="236"/>
      <c r="C1578" s="190"/>
      <c r="D1578" s="191"/>
      <c r="E1578" s="176"/>
      <c r="F1578" s="177"/>
      <c r="G1578" s="192"/>
      <c r="H1578" s="179"/>
      <c r="I1578" s="283" t="e">
        <f>IF(#REF!="",#REF!*#REF!,IF(#REF!=0,#REF!*#REF!,#REF!*#REF!*#REF!))</f>
        <v>#REF!</v>
      </c>
      <c r="J1578" s="180" t="e">
        <f>#REF!*#REF!</f>
        <v>#REF!</v>
      </c>
      <c r="K1578" s="178" t="e">
        <f>#REF!*mo</f>
        <v>#REF!</v>
      </c>
      <c r="L1578" s="178" t="e">
        <f t="shared" si="200"/>
        <v>#REF!</v>
      </c>
      <c r="M1578" s="178" t="e">
        <f>#REF!*#REF!</f>
        <v>#REF!</v>
      </c>
      <c r="N1578" s="178" t="e">
        <f>#REF!+K1578+#REF!</f>
        <v>#REF!</v>
      </c>
      <c r="O1578" s="181" t="e">
        <f t="shared" si="201"/>
        <v>#REF!</v>
      </c>
    </row>
    <row r="1579" spans="1:15" s="193" customFormat="1" outlineLevel="2">
      <c r="A1579" s="238"/>
      <c r="B1579" s="212" t="s">
        <v>1046</v>
      </c>
      <c r="C1579" s="190" t="s">
        <v>93</v>
      </c>
      <c r="D1579" s="191"/>
      <c r="E1579" s="176"/>
      <c r="F1579" s="177"/>
      <c r="G1579" s="192"/>
      <c r="H1579" s="179"/>
      <c r="I1579" s="283" t="e">
        <f>IF(#REF!="",#REF!*#REF!,IF(#REF!=0,#REF!*#REF!,#REF!*#REF!*#REF!))</f>
        <v>#REF!</v>
      </c>
      <c r="J1579" s="180" t="e">
        <f>#REF!*#REF!</f>
        <v>#REF!</v>
      </c>
      <c r="K1579" s="178" t="e">
        <f>#REF!*mo</f>
        <v>#REF!</v>
      </c>
      <c r="L1579" s="178" t="e">
        <f t="shared" ref="L1579:L1692" si="202">J1579*mo</f>
        <v>#REF!</v>
      </c>
      <c r="M1579" s="178" t="e">
        <f>#REF!*#REF!</f>
        <v>#REF!</v>
      </c>
      <c r="N1579" s="178" t="e">
        <f>#REF!+K1579+#REF!</f>
        <v>#REF!</v>
      </c>
      <c r="O1579" s="181" t="e">
        <f t="shared" si="201"/>
        <v>#REF!</v>
      </c>
    </row>
    <row r="1580" spans="1:15" s="193" customFormat="1" outlineLevel="2">
      <c r="A1580" s="238"/>
      <c r="B1580" s="236"/>
      <c r="C1580" s="190"/>
      <c r="D1580" s="191"/>
      <c r="E1580" s="176"/>
      <c r="F1580" s="177"/>
      <c r="G1580" s="192"/>
      <c r="H1580" s="179"/>
      <c r="I1580" s="283" t="e">
        <f>IF(#REF!="",#REF!*#REF!,IF(#REF!=0,#REF!*#REF!,#REF!*#REF!*#REF!))</f>
        <v>#REF!</v>
      </c>
      <c r="J1580" s="180" t="e">
        <f>#REF!*#REF!</f>
        <v>#REF!</v>
      </c>
      <c r="K1580" s="178" t="e">
        <f>#REF!*mo</f>
        <v>#REF!</v>
      </c>
      <c r="L1580" s="178" t="e">
        <f t="shared" si="202"/>
        <v>#REF!</v>
      </c>
      <c r="M1580" s="178" t="e">
        <f>#REF!*#REF!</f>
        <v>#REF!</v>
      </c>
      <c r="N1580" s="178" t="e">
        <f>#REF!+K1580+#REF!</f>
        <v>#REF!</v>
      </c>
      <c r="O1580" s="181" t="e">
        <f t="shared" si="201"/>
        <v>#REF!</v>
      </c>
    </row>
    <row r="1581" spans="1:15" s="193" customFormat="1" outlineLevel="2">
      <c r="A1581" s="238"/>
      <c r="B1581" s="212" t="s">
        <v>1013</v>
      </c>
      <c r="C1581" s="190" t="s">
        <v>93</v>
      </c>
      <c r="D1581" s="191"/>
      <c r="E1581" s="176"/>
      <c r="F1581" s="177"/>
      <c r="G1581" s="192"/>
      <c r="H1581" s="179"/>
      <c r="I1581" s="283" t="e">
        <f>IF(#REF!="",#REF!*#REF!,IF(#REF!=0,#REF!*#REF!,#REF!*#REF!*#REF!))</f>
        <v>#REF!</v>
      </c>
      <c r="J1581" s="180" t="e">
        <f>#REF!*#REF!</f>
        <v>#REF!</v>
      </c>
      <c r="K1581" s="178" t="e">
        <f>#REF!*mo</f>
        <v>#REF!</v>
      </c>
      <c r="L1581" s="178" t="e">
        <f t="shared" si="202"/>
        <v>#REF!</v>
      </c>
      <c r="M1581" s="178" t="e">
        <f>#REF!*#REF!</f>
        <v>#REF!</v>
      </c>
      <c r="N1581" s="178" t="e">
        <f>#REF!+K1581+#REF!</f>
        <v>#REF!</v>
      </c>
      <c r="O1581" s="181" t="e">
        <f t="shared" si="201"/>
        <v>#REF!</v>
      </c>
    </row>
    <row r="1582" spans="1:15" s="193" customFormat="1" outlineLevel="2">
      <c r="A1582" s="240"/>
      <c r="B1582" s="233"/>
      <c r="C1582" s="190"/>
      <c r="D1582" s="191"/>
      <c r="E1582" s="176"/>
      <c r="F1582" s="177"/>
      <c r="G1582" s="192"/>
      <c r="H1582" s="179"/>
      <c r="I1582" s="283" t="e">
        <f>IF(#REF!="",#REF!*#REF!,IF(#REF!=0,#REF!*#REF!,#REF!*#REF!*#REF!))</f>
        <v>#REF!</v>
      </c>
      <c r="J1582" s="180" t="e">
        <f>#REF!*#REF!</f>
        <v>#REF!</v>
      </c>
      <c r="K1582" s="178" t="e">
        <f>#REF!*mo</f>
        <v>#REF!</v>
      </c>
      <c r="L1582" s="178" t="e">
        <f t="shared" si="202"/>
        <v>#REF!</v>
      </c>
      <c r="M1582" s="178" t="e">
        <f>#REF!*#REF!</f>
        <v>#REF!</v>
      </c>
      <c r="N1582" s="178" t="e">
        <f>#REF!+K1582+#REF!</f>
        <v>#REF!</v>
      </c>
      <c r="O1582" s="181" t="e">
        <f t="shared" si="201"/>
        <v>#REF!</v>
      </c>
    </row>
    <row r="1583" spans="1:15" s="193" customFormat="1" outlineLevel="1">
      <c r="A1583" s="240" t="str">
        <f>$A$667&amp;".3"</f>
        <v>.3</v>
      </c>
      <c r="B1583" s="210" t="s">
        <v>1055</v>
      </c>
      <c r="C1583" s="190"/>
      <c r="D1583" s="191"/>
      <c r="E1583" s="176"/>
      <c r="F1583" s="177"/>
      <c r="G1583" s="192">
        <f>SUM(F1584:F1609)</f>
        <v>0</v>
      </c>
      <c r="H1583" s="179"/>
      <c r="I1583" s="283" t="e">
        <f>IF(#REF!="",#REF!*#REF!,IF(#REF!=0,#REF!*#REF!,#REF!*#REF!*#REF!))</f>
        <v>#REF!</v>
      </c>
      <c r="J1583" s="180" t="e">
        <f>#REF!*#REF!</f>
        <v>#REF!</v>
      </c>
      <c r="K1583" s="178" t="e">
        <f>#REF!*mo</f>
        <v>#REF!</v>
      </c>
      <c r="L1583" s="178" t="e">
        <f t="shared" si="202"/>
        <v>#REF!</v>
      </c>
      <c r="M1583" s="178" t="e">
        <f>#REF!*#REF!</f>
        <v>#REF!</v>
      </c>
      <c r="N1583" s="178" t="e">
        <f>#REF!+K1583+#REF!</f>
        <v>#REF!</v>
      </c>
      <c r="O1583" s="181" t="e">
        <f t="shared" si="201"/>
        <v>#REF!</v>
      </c>
    </row>
    <row r="1584" spans="1:15" s="193" customFormat="1" outlineLevel="2">
      <c r="A1584" s="240"/>
      <c r="B1584" s="233"/>
      <c r="C1584" s="190"/>
      <c r="D1584" s="191"/>
      <c r="E1584" s="176"/>
      <c r="F1584" s="177"/>
      <c r="G1584" s="192"/>
      <c r="H1584" s="179"/>
      <c r="I1584" s="283" t="e">
        <f>IF(#REF!="",#REF!*#REF!,IF(#REF!=0,#REF!*#REF!,#REF!*#REF!*#REF!))</f>
        <v>#REF!</v>
      </c>
      <c r="J1584" s="180" t="e">
        <f>#REF!*#REF!</f>
        <v>#REF!</v>
      </c>
      <c r="K1584" s="178" t="e">
        <f>#REF!*mo</f>
        <v>#REF!</v>
      </c>
      <c r="L1584" s="178" t="e">
        <f t="shared" si="202"/>
        <v>#REF!</v>
      </c>
      <c r="M1584" s="178" t="e">
        <f>#REF!*#REF!</f>
        <v>#REF!</v>
      </c>
      <c r="N1584" s="178" t="e">
        <f>#REF!+K1584+#REF!</f>
        <v>#REF!</v>
      </c>
      <c r="O1584" s="181" t="e">
        <f t="shared" si="201"/>
        <v>#REF!</v>
      </c>
    </row>
    <row r="1585" spans="1:15" s="193" customFormat="1" outlineLevel="2">
      <c r="A1585" s="238"/>
      <c r="B1585" s="236" t="s">
        <v>1048</v>
      </c>
      <c r="C1585" s="190"/>
      <c r="D1585" s="191"/>
      <c r="E1585" s="176"/>
      <c r="F1585" s="177"/>
      <c r="G1585" s="192"/>
      <c r="H1585" s="179"/>
      <c r="I1585" s="283" t="e">
        <f>IF(#REF!="",#REF!*#REF!,IF(#REF!=0,#REF!*#REF!,#REF!*#REF!*#REF!))</f>
        <v>#REF!</v>
      </c>
      <c r="J1585" s="180" t="e">
        <f>#REF!*#REF!</f>
        <v>#REF!</v>
      </c>
      <c r="K1585" s="178" t="e">
        <f>#REF!*mo</f>
        <v>#REF!</v>
      </c>
      <c r="L1585" s="178" t="e">
        <f t="shared" si="202"/>
        <v>#REF!</v>
      </c>
      <c r="M1585" s="178" t="e">
        <f>#REF!*#REF!</f>
        <v>#REF!</v>
      </c>
      <c r="N1585" s="178" t="e">
        <f>#REF!+K1585+#REF!</f>
        <v>#REF!</v>
      </c>
      <c r="O1585" s="181" t="e">
        <f t="shared" si="201"/>
        <v>#REF!</v>
      </c>
    </row>
    <row r="1586" spans="1:15" s="193" customFormat="1" outlineLevel="2">
      <c r="A1586" s="238"/>
      <c r="B1586" s="212" t="s">
        <v>940</v>
      </c>
      <c r="C1586" s="190" t="s">
        <v>123</v>
      </c>
      <c r="D1586" s="191"/>
      <c r="E1586" s="176"/>
      <c r="F1586" s="177"/>
      <c r="G1586" s="192"/>
      <c r="H1586" s="179"/>
      <c r="I1586" s="283" t="e">
        <f>IF(#REF!="",#REF!*#REF!,IF(#REF!=0,#REF!*#REF!,#REF!*#REF!*#REF!))</f>
        <v>#REF!</v>
      </c>
      <c r="J1586" s="180" t="e">
        <f>#REF!*#REF!</f>
        <v>#REF!</v>
      </c>
      <c r="K1586" s="178" t="e">
        <f>#REF!*mo</f>
        <v>#REF!</v>
      </c>
      <c r="L1586" s="178" t="e">
        <f t="shared" si="202"/>
        <v>#REF!</v>
      </c>
      <c r="M1586" s="178" t="e">
        <f>#REF!*#REF!</f>
        <v>#REF!</v>
      </c>
      <c r="N1586" s="178" t="e">
        <f>#REF!+K1586+#REF!</f>
        <v>#REF!</v>
      </c>
      <c r="O1586" s="181" t="e">
        <f t="shared" si="201"/>
        <v>#REF!</v>
      </c>
    </row>
    <row r="1587" spans="1:15" s="193" customFormat="1" outlineLevel="2">
      <c r="A1587" s="238"/>
      <c r="B1587" s="212" t="s">
        <v>1049</v>
      </c>
      <c r="C1587" s="190" t="s">
        <v>123</v>
      </c>
      <c r="D1587" s="191"/>
      <c r="E1587" s="176"/>
      <c r="F1587" s="177"/>
      <c r="G1587" s="192"/>
      <c r="H1587" s="179"/>
      <c r="I1587" s="283" t="e">
        <f>IF(#REF!="",#REF!*#REF!,IF(#REF!=0,#REF!*#REF!,#REF!*#REF!*#REF!))</f>
        <v>#REF!</v>
      </c>
      <c r="J1587" s="180" t="e">
        <f>#REF!*#REF!</f>
        <v>#REF!</v>
      </c>
      <c r="K1587" s="178" t="e">
        <f>#REF!*mo</f>
        <v>#REF!</v>
      </c>
      <c r="L1587" s="178" t="e">
        <f t="shared" si="202"/>
        <v>#REF!</v>
      </c>
      <c r="M1587" s="178" t="e">
        <f>#REF!*#REF!</f>
        <v>#REF!</v>
      </c>
      <c r="N1587" s="178" t="e">
        <f>#REF!+K1587+#REF!</f>
        <v>#REF!</v>
      </c>
      <c r="O1587" s="181" t="e">
        <f t="shared" si="201"/>
        <v>#REF!</v>
      </c>
    </row>
    <row r="1588" spans="1:15" s="193" customFormat="1" outlineLevel="2">
      <c r="A1588" s="238"/>
      <c r="B1588" s="212" t="s">
        <v>1050</v>
      </c>
      <c r="C1588" s="190" t="s">
        <v>123</v>
      </c>
      <c r="D1588" s="191"/>
      <c r="E1588" s="176"/>
      <c r="F1588" s="177"/>
      <c r="G1588" s="192"/>
      <c r="H1588" s="179"/>
      <c r="I1588" s="283" t="e">
        <f>IF(#REF!="",#REF!*#REF!,IF(#REF!=0,#REF!*#REF!,#REF!*#REF!*#REF!))</f>
        <v>#REF!</v>
      </c>
      <c r="J1588" s="180" t="e">
        <f>#REF!*#REF!</f>
        <v>#REF!</v>
      </c>
      <c r="K1588" s="178" t="e">
        <f>#REF!*mo</f>
        <v>#REF!</v>
      </c>
      <c r="L1588" s="178" t="e">
        <f t="shared" si="202"/>
        <v>#REF!</v>
      </c>
      <c r="M1588" s="178" t="e">
        <f>#REF!*#REF!</f>
        <v>#REF!</v>
      </c>
      <c r="N1588" s="178" t="e">
        <f>#REF!+K1588+#REF!</f>
        <v>#REF!</v>
      </c>
      <c r="O1588" s="181" t="e">
        <f t="shared" si="201"/>
        <v>#REF!</v>
      </c>
    </row>
    <row r="1589" spans="1:15" s="193" customFormat="1" outlineLevel="2">
      <c r="A1589" s="238"/>
      <c r="B1589" s="212" t="s">
        <v>943</v>
      </c>
      <c r="C1589" s="190" t="s">
        <v>123</v>
      </c>
      <c r="D1589" s="191"/>
      <c r="E1589" s="176"/>
      <c r="F1589" s="177"/>
      <c r="G1589" s="192"/>
      <c r="H1589" s="179"/>
      <c r="I1589" s="283" t="e">
        <f>IF(#REF!="",#REF!*#REF!,IF(#REF!=0,#REF!*#REF!,#REF!*#REF!*#REF!))</f>
        <v>#REF!</v>
      </c>
      <c r="J1589" s="180" t="e">
        <f>#REF!*#REF!</f>
        <v>#REF!</v>
      </c>
      <c r="K1589" s="178" t="e">
        <f>#REF!*mo</f>
        <v>#REF!</v>
      </c>
      <c r="L1589" s="178" t="e">
        <f t="shared" si="202"/>
        <v>#REF!</v>
      </c>
      <c r="M1589" s="178" t="e">
        <f>#REF!*#REF!</f>
        <v>#REF!</v>
      </c>
      <c r="N1589" s="178" t="e">
        <f>#REF!+K1589+#REF!</f>
        <v>#REF!</v>
      </c>
      <c r="O1589" s="181" t="e">
        <f t="shared" si="201"/>
        <v>#REF!</v>
      </c>
    </row>
    <row r="1590" spans="1:15" s="193" customFormat="1" outlineLevel="2">
      <c r="A1590" s="238"/>
      <c r="B1590" s="212" t="s">
        <v>868</v>
      </c>
      <c r="C1590" s="190" t="s">
        <v>123</v>
      </c>
      <c r="D1590" s="191"/>
      <c r="E1590" s="176"/>
      <c r="F1590" s="177"/>
      <c r="G1590" s="192"/>
      <c r="H1590" s="179"/>
      <c r="I1590" s="283" t="e">
        <f>IF(#REF!="",#REF!*#REF!,IF(#REF!=0,#REF!*#REF!,#REF!*#REF!*#REF!))</f>
        <v>#REF!</v>
      </c>
      <c r="J1590" s="180" t="e">
        <f>#REF!*#REF!</f>
        <v>#REF!</v>
      </c>
      <c r="K1590" s="178" t="e">
        <f>#REF!*mo</f>
        <v>#REF!</v>
      </c>
      <c r="L1590" s="178" t="e">
        <f t="shared" si="202"/>
        <v>#REF!</v>
      </c>
      <c r="M1590" s="178" t="e">
        <f>#REF!*#REF!</f>
        <v>#REF!</v>
      </c>
      <c r="N1590" s="178" t="e">
        <f>#REF!+K1590+#REF!</f>
        <v>#REF!</v>
      </c>
      <c r="O1590" s="181" t="e">
        <f t="shared" si="201"/>
        <v>#REF!</v>
      </c>
    </row>
    <row r="1591" spans="1:15" s="193" customFormat="1" outlineLevel="2">
      <c r="A1591" s="238"/>
      <c r="B1591" s="212" t="s">
        <v>869</v>
      </c>
      <c r="C1591" s="190" t="s">
        <v>123</v>
      </c>
      <c r="D1591" s="191"/>
      <c r="E1591" s="176"/>
      <c r="F1591" s="177"/>
      <c r="G1591" s="192"/>
      <c r="H1591" s="179"/>
      <c r="I1591" s="283" t="e">
        <f>IF(#REF!="",#REF!*#REF!,IF(#REF!=0,#REF!*#REF!,#REF!*#REF!*#REF!))</f>
        <v>#REF!</v>
      </c>
      <c r="J1591" s="180" t="e">
        <f>#REF!*#REF!</f>
        <v>#REF!</v>
      </c>
      <c r="K1591" s="178" t="e">
        <f>#REF!*mo</f>
        <v>#REF!</v>
      </c>
      <c r="L1591" s="178" t="e">
        <f t="shared" si="202"/>
        <v>#REF!</v>
      </c>
      <c r="M1591" s="178" t="e">
        <f>#REF!*#REF!</f>
        <v>#REF!</v>
      </c>
      <c r="N1591" s="178" t="e">
        <f>#REF!+K1591+#REF!</f>
        <v>#REF!</v>
      </c>
      <c r="O1591" s="181" t="e">
        <f t="shared" si="201"/>
        <v>#REF!</v>
      </c>
    </row>
    <row r="1592" spans="1:15" s="193" customFormat="1" outlineLevel="2">
      <c r="A1592" s="238"/>
      <c r="B1592" s="212" t="s">
        <v>870</v>
      </c>
      <c r="C1592" s="190" t="s">
        <v>123</v>
      </c>
      <c r="D1592" s="191"/>
      <c r="E1592" s="176"/>
      <c r="F1592" s="177"/>
      <c r="G1592" s="192"/>
      <c r="H1592" s="179"/>
      <c r="I1592" s="283" t="e">
        <f>IF(#REF!="",#REF!*#REF!,IF(#REF!=0,#REF!*#REF!,#REF!*#REF!*#REF!))</f>
        <v>#REF!</v>
      </c>
      <c r="J1592" s="180" t="e">
        <f>#REF!*#REF!</f>
        <v>#REF!</v>
      </c>
      <c r="K1592" s="178" t="e">
        <f>#REF!*mo</f>
        <v>#REF!</v>
      </c>
      <c r="L1592" s="178" t="e">
        <f t="shared" si="202"/>
        <v>#REF!</v>
      </c>
      <c r="M1592" s="178" t="e">
        <f>#REF!*#REF!</f>
        <v>#REF!</v>
      </c>
      <c r="N1592" s="178" t="e">
        <f>#REF!+K1592+#REF!</f>
        <v>#REF!</v>
      </c>
      <c r="O1592" s="181" t="e">
        <f t="shared" si="201"/>
        <v>#REF!</v>
      </c>
    </row>
    <row r="1593" spans="1:15" s="193" customFormat="1" outlineLevel="2">
      <c r="A1593" s="238"/>
      <c r="B1593" s="212" t="s">
        <v>871</v>
      </c>
      <c r="C1593" s="190" t="s">
        <v>123</v>
      </c>
      <c r="D1593" s="191"/>
      <c r="E1593" s="176"/>
      <c r="F1593" s="177"/>
      <c r="G1593" s="192"/>
      <c r="H1593" s="179"/>
      <c r="I1593" s="283" t="e">
        <f>IF(#REF!="",#REF!*#REF!,IF(#REF!=0,#REF!*#REF!,#REF!*#REF!*#REF!))</f>
        <v>#REF!</v>
      </c>
      <c r="J1593" s="180" t="e">
        <f>#REF!*#REF!</f>
        <v>#REF!</v>
      </c>
      <c r="K1593" s="178" t="e">
        <f>#REF!*mo</f>
        <v>#REF!</v>
      </c>
      <c r="L1593" s="178" t="e">
        <f t="shared" si="202"/>
        <v>#REF!</v>
      </c>
      <c r="M1593" s="178" t="e">
        <f>#REF!*#REF!</f>
        <v>#REF!</v>
      </c>
      <c r="N1593" s="178" t="e">
        <f>#REF!+K1593+#REF!</f>
        <v>#REF!</v>
      </c>
      <c r="O1593" s="181" t="e">
        <f t="shared" si="201"/>
        <v>#REF!</v>
      </c>
    </row>
    <row r="1594" spans="1:15" s="193" customFormat="1" outlineLevel="2">
      <c r="A1594" s="238"/>
      <c r="B1594" s="212" t="s">
        <v>1041</v>
      </c>
      <c r="C1594" s="190" t="s">
        <v>123</v>
      </c>
      <c r="D1594" s="191"/>
      <c r="E1594" s="176"/>
      <c r="F1594" s="177"/>
      <c r="G1594" s="192"/>
      <c r="H1594" s="179"/>
      <c r="I1594" s="283" t="e">
        <f>IF(#REF!="",#REF!*#REF!,IF(#REF!=0,#REF!*#REF!,#REF!*#REF!*#REF!))</f>
        <v>#REF!</v>
      </c>
      <c r="J1594" s="180" t="e">
        <f>#REF!*#REF!</f>
        <v>#REF!</v>
      </c>
      <c r="K1594" s="178" t="e">
        <f>#REF!*mo</f>
        <v>#REF!</v>
      </c>
      <c r="L1594" s="178" t="e">
        <f t="shared" si="202"/>
        <v>#REF!</v>
      </c>
      <c r="M1594" s="178" t="e">
        <f>#REF!*#REF!</f>
        <v>#REF!</v>
      </c>
      <c r="N1594" s="178" t="e">
        <f>#REF!+K1594+#REF!</f>
        <v>#REF!</v>
      </c>
      <c r="O1594" s="181" t="e">
        <f t="shared" si="201"/>
        <v>#REF!</v>
      </c>
    </row>
    <row r="1595" spans="1:15" s="193" customFormat="1" outlineLevel="2">
      <c r="A1595" s="238"/>
      <c r="B1595" s="234"/>
      <c r="C1595" s="190"/>
      <c r="D1595" s="191"/>
      <c r="E1595" s="176"/>
      <c r="F1595" s="177"/>
      <c r="G1595" s="192"/>
      <c r="H1595" s="179"/>
      <c r="I1595" s="283" t="e">
        <f>IF(#REF!="",#REF!*#REF!,IF(#REF!=0,#REF!*#REF!,#REF!*#REF!*#REF!))</f>
        <v>#REF!</v>
      </c>
      <c r="J1595" s="180" t="e">
        <f>#REF!*#REF!</f>
        <v>#REF!</v>
      </c>
      <c r="K1595" s="178" t="e">
        <f>#REF!*mo</f>
        <v>#REF!</v>
      </c>
      <c r="L1595" s="178" t="e">
        <f t="shared" ref="L1595:L1610" si="203">J1595*mo</f>
        <v>#REF!</v>
      </c>
      <c r="M1595" s="178" t="e">
        <f>#REF!*#REF!</f>
        <v>#REF!</v>
      </c>
      <c r="N1595" s="178" t="e">
        <f>#REF!+K1595+#REF!</f>
        <v>#REF!</v>
      </c>
      <c r="O1595" s="181" t="e">
        <f t="shared" si="201"/>
        <v>#REF!</v>
      </c>
    </row>
    <row r="1596" spans="1:15" s="193" customFormat="1" outlineLevel="2">
      <c r="A1596" s="238"/>
      <c r="B1596" s="236" t="s">
        <v>1039</v>
      </c>
      <c r="C1596" s="190"/>
      <c r="D1596" s="191"/>
      <c r="E1596" s="176"/>
      <c r="F1596" s="177"/>
      <c r="G1596" s="192"/>
      <c r="H1596" s="179"/>
      <c r="I1596" s="283" t="e">
        <f>IF(#REF!="",#REF!*#REF!,IF(#REF!=0,#REF!*#REF!,#REF!*#REF!*#REF!))</f>
        <v>#REF!</v>
      </c>
      <c r="J1596" s="180" t="e">
        <f>#REF!*#REF!</f>
        <v>#REF!</v>
      </c>
      <c r="K1596" s="178" t="e">
        <f>#REF!*mo</f>
        <v>#REF!</v>
      </c>
      <c r="L1596" s="178" t="e">
        <f t="shared" si="203"/>
        <v>#REF!</v>
      </c>
      <c r="M1596" s="178" t="e">
        <f>#REF!*#REF!</f>
        <v>#REF!</v>
      </c>
      <c r="N1596" s="178" t="e">
        <f>#REF!+K1596+#REF!</f>
        <v>#REF!</v>
      </c>
      <c r="O1596" s="181" t="e">
        <f t="shared" si="201"/>
        <v>#REF!</v>
      </c>
    </row>
    <row r="1597" spans="1:15" s="193" customFormat="1" outlineLevel="2">
      <c r="A1597" s="238"/>
      <c r="B1597" s="212" t="s">
        <v>940</v>
      </c>
      <c r="C1597" s="190" t="s">
        <v>123</v>
      </c>
      <c r="D1597" s="191"/>
      <c r="E1597" s="176"/>
      <c r="F1597" s="177"/>
      <c r="G1597" s="192"/>
      <c r="H1597" s="179"/>
      <c r="I1597" s="283" t="e">
        <f>IF(#REF!="",#REF!*#REF!,IF(#REF!=0,#REF!*#REF!,#REF!*#REF!*#REF!))</f>
        <v>#REF!</v>
      </c>
      <c r="J1597" s="180" t="e">
        <f>#REF!*#REF!</f>
        <v>#REF!</v>
      </c>
      <c r="K1597" s="178" t="e">
        <f>#REF!*mo</f>
        <v>#REF!</v>
      </c>
      <c r="L1597" s="178" t="e">
        <f t="shared" si="203"/>
        <v>#REF!</v>
      </c>
      <c r="M1597" s="178" t="e">
        <f>#REF!*#REF!</f>
        <v>#REF!</v>
      </c>
      <c r="N1597" s="178" t="e">
        <f>#REF!+K1597+#REF!</f>
        <v>#REF!</v>
      </c>
      <c r="O1597" s="181" t="e">
        <f t="shared" si="201"/>
        <v>#REF!</v>
      </c>
    </row>
    <row r="1598" spans="1:15" s="193" customFormat="1" outlineLevel="2">
      <c r="A1598" s="238"/>
      <c r="B1598" s="212" t="s">
        <v>1049</v>
      </c>
      <c r="C1598" s="190" t="s">
        <v>123</v>
      </c>
      <c r="D1598" s="191"/>
      <c r="E1598" s="176"/>
      <c r="F1598" s="177"/>
      <c r="G1598" s="192"/>
      <c r="H1598" s="179"/>
      <c r="I1598" s="283" t="e">
        <f>IF(#REF!="",#REF!*#REF!,IF(#REF!=0,#REF!*#REF!,#REF!*#REF!*#REF!))</f>
        <v>#REF!</v>
      </c>
      <c r="J1598" s="180" t="e">
        <f>#REF!*#REF!</f>
        <v>#REF!</v>
      </c>
      <c r="K1598" s="178" t="e">
        <f>#REF!*mo</f>
        <v>#REF!</v>
      </c>
      <c r="L1598" s="178" t="e">
        <f t="shared" si="203"/>
        <v>#REF!</v>
      </c>
      <c r="M1598" s="178" t="e">
        <f>#REF!*#REF!</f>
        <v>#REF!</v>
      </c>
      <c r="N1598" s="178" t="e">
        <f>#REF!+K1598+#REF!</f>
        <v>#REF!</v>
      </c>
      <c r="O1598" s="181" t="e">
        <f t="shared" si="201"/>
        <v>#REF!</v>
      </c>
    </row>
    <row r="1599" spans="1:15" s="193" customFormat="1" outlineLevel="2">
      <c r="A1599" s="238"/>
      <c r="B1599" s="212" t="s">
        <v>1050</v>
      </c>
      <c r="C1599" s="190" t="s">
        <v>123</v>
      </c>
      <c r="D1599" s="191"/>
      <c r="E1599" s="176"/>
      <c r="F1599" s="177"/>
      <c r="G1599" s="192"/>
      <c r="H1599" s="179"/>
      <c r="I1599" s="283" t="e">
        <f>IF(#REF!="",#REF!*#REF!,IF(#REF!=0,#REF!*#REF!,#REF!*#REF!*#REF!))</f>
        <v>#REF!</v>
      </c>
      <c r="J1599" s="180" t="e">
        <f>#REF!*#REF!</f>
        <v>#REF!</v>
      </c>
      <c r="K1599" s="178" t="e">
        <f>#REF!*mo</f>
        <v>#REF!</v>
      </c>
      <c r="L1599" s="178" t="e">
        <f t="shared" si="203"/>
        <v>#REF!</v>
      </c>
      <c r="M1599" s="178" t="e">
        <f>#REF!*#REF!</f>
        <v>#REF!</v>
      </c>
      <c r="N1599" s="178" t="e">
        <f>#REF!+K1599+#REF!</f>
        <v>#REF!</v>
      </c>
      <c r="O1599" s="181" t="e">
        <f t="shared" si="201"/>
        <v>#REF!</v>
      </c>
    </row>
    <row r="1600" spans="1:15" s="193" customFormat="1" outlineLevel="2">
      <c r="A1600" s="238"/>
      <c r="B1600" s="212" t="s">
        <v>943</v>
      </c>
      <c r="C1600" s="190" t="s">
        <v>123</v>
      </c>
      <c r="D1600" s="191"/>
      <c r="E1600" s="176"/>
      <c r="F1600" s="177"/>
      <c r="G1600" s="192"/>
      <c r="H1600" s="179"/>
      <c r="I1600" s="283" t="e">
        <f>IF(#REF!="",#REF!*#REF!,IF(#REF!=0,#REF!*#REF!,#REF!*#REF!*#REF!))</f>
        <v>#REF!</v>
      </c>
      <c r="J1600" s="180" t="e">
        <f>#REF!*#REF!</f>
        <v>#REF!</v>
      </c>
      <c r="K1600" s="178" t="e">
        <f>#REF!*mo</f>
        <v>#REF!</v>
      </c>
      <c r="L1600" s="178" t="e">
        <f t="shared" si="203"/>
        <v>#REF!</v>
      </c>
      <c r="M1600" s="178" t="e">
        <f>#REF!*#REF!</f>
        <v>#REF!</v>
      </c>
      <c r="N1600" s="178" t="e">
        <f>#REF!+K1600+#REF!</f>
        <v>#REF!</v>
      </c>
      <c r="O1600" s="181" t="e">
        <f t="shared" si="201"/>
        <v>#REF!</v>
      </c>
    </row>
    <row r="1601" spans="1:15" s="193" customFormat="1" outlineLevel="2">
      <c r="A1601" s="238"/>
      <c r="B1601" s="212" t="s">
        <v>868</v>
      </c>
      <c r="C1601" s="190" t="s">
        <v>123</v>
      </c>
      <c r="D1601" s="191"/>
      <c r="E1601" s="176"/>
      <c r="F1601" s="177"/>
      <c r="G1601" s="192"/>
      <c r="H1601" s="179"/>
      <c r="I1601" s="283" t="e">
        <f>IF(#REF!="",#REF!*#REF!,IF(#REF!=0,#REF!*#REF!,#REF!*#REF!*#REF!))</f>
        <v>#REF!</v>
      </c>
      <c r="J1601" s="180" t="e">
        <f>#REF!*#REF!</f>
        <v>#REF!</v>
      </c>
      <c r="K1601" s="178" t="e">
        <f>#REF!*mo</f>
        <v>#REF!</v>
      </c>
      <c r="L1601" s="178" t="e">
        <f t="shared" si="203"/>
        <v>#REF!</v>
      </c>
      <c r="M1601" s="178" t="e">
        <f>#REF!*#REF!</f>
        <v>#REF!</v>
      </c>
      <c r="N1601" s="178" t="e">
        <f>#REF!+K1601+#REF!</f>
        <v>#REF!</v>
      </c>
      <c r="O1601" s="181" t="e">
        <f t="shared" si="201"/>
        <v>#REF!</v>
      </c>
    </row>
    <row r="1602" spans="1:15" s="193" customFormat="1" outlineLevel="2">
      <c r="A1602" s="238"/>
      <c r="B1602" s="212" t="s">
        <v>869</v>
      </c>
      <c r="C1602" s="190" t="s">
        <v>123</v>
      </c>
      <c r="D1602" s="191"/>
      <c r="E1602" s="176"/>
      <c r="F1602" s="177"/>
      <c r="G1602" s="192"/>
      <c r="H1602" s="179"/>
      <c r="I1602" s="283" t="e">
        <f>IF(#REF!="",#REF!*#REF!,IF(#REF!=0,#REF!*#REF!,#REF!*#REF!*#REF!))</f>
        <v>#REF!</v>
      </c>
      <c r="J1602" s="180" t="e">
        <f>#REF!*#REF!</f>
        <v>#REF!</v>
      </c>
      <c r="K1602" s="178" t="e">
        <f>#REF!*mo</f>
        <v>#REF!</v>
      </c>
      <c r="L1602" s="178" t="e">
        <f t="shared" si="203"/>
        <v>#REF!</v>
      </c>
      <c r="M1602" s="178" t="e">
        <f>#REF!*#REF!</f>
        <v>#REF!</v>
      </c>
      <c r="N1602" s="178" t="e">
        <f>#REF!+K1602+#REF!</f>
        <v>#REF!</v>
      </c>
      <c r="O1602" s="181" t="e">
        <f t="shared" si="201"/>
        <v>#REF!</v>
      </c>
    </row>
    <row r="1603" spans="1:15" s="193" customFormat="1" outlineLevel="2">
      <c r="A1603" s="238"/>
      <c r="B1603" s="212" t="s">
        <v>870</v>
      </c>
      <c r="C1603" s="190" t="s">
        <v>123</v>
      </c>
      <c r="D1603" s="191"/>
      <c r="E1603" s="176"/>
      <c r="F1603" s="177"/>
      <c r="G1603" s="192"/>
      <c r="H1603" s="179"/>
      <c r="I1603" s="283" t="e">
        <f>IF(#REF!="",#REF!*#REF!,IF(#REF!=0,#REF!*#REF!,#REF!*#REF!*#REF!))</f>
        <v>#REF!</v>
      </c>
      <c r="J1603" s="180" t="e">
        <f>#REF!*#REF!</f>
        <v>#REF!</v>
      </c>
      <c r="K1603" s="178" t="e">
        <f>#REF!*mo</f>
        <v>#REF!</v>
      </c>
      <c r="L1603" s="178" t="e">
        <f t="shared" si="203"/>
        <v>#REF!</v>
      </c>
      <c r="M1603" s="178" t="e">
        <f>#REF!*#REF!</f>
        <v>#REF!</v>
      </c>
      <c r="N1603" s="178" t="e">
        <f>#REF!+K1603+#REF!</f>
        <v>#REF!</v>
      </c>
      <c r="O1603" s="181" t="e">
        <f t="shared" si="201"/>
        <v>#REF!</v>
      </c>
    </row>
    <row r="1604" spans="1:15" s="193" customFormat="1" outlineLevel="2">
      <c r="A1604" s="238"/>
      <c r="B1604" s="212" t="s">
        <v>871</v>
      </c>
      <c r="C1604" s="190" t="s">
        <v>123</v>
      </c>
      <c r="D1604" s="191"/>
      <c r="E1604" s="176"/>
      <c r="F1604" s="177"/>
      <c r="G1604" s="192"/>
      <c r="H1604" s="179"/>
      <c r="I1604" s="283" t="e">
        <f>IF(#REF!="",#REF!*#REF!,IF(#REF!=0,#REF!*#REF!,#REF!*#REF!*#REF!))</f>
        <v>#REF!</v>
      </c>
      <c r="J1604" s="180" t="e">
        <f>#REF!*#REF!</f>
        <v>#REF!</v>
      </c>
      <c r="K1604" s="178" t="e">
        <f>#REF!*mo</f>
        <v>#REF!</v>
      </c>
      <c r="L1604" s="178" t="e">
        <f t="shared" si="203"/>
        <v>#REF!</v>
      </c>
      <c r="M1604" s="178" t="e">
        <f>#REF!*#REF!</f>
        <v>#REF!</v>
      </c>
      <c r="N1604" s="178" t="e">
        <f>#REF!+K1604+#REF!</f>
        <v>#REF!</v>
      </c>
      <c r="O1604" s="181" t="e">
        <f t="shared" si="201"/>
        <v>#REF!</v>
      </c>
    </row>
    <row r="1605" spans="1:15" s="193" customFormat="1" outlineLevel="2">
      <c r="A1605" s="238"/>
      <c r="B1605" s="212" t="s">
        <v>1041</v>
      </c>
      <c r="C1605" s="190" t="s">
        <v>123</v>
      </c>
      <c r="D1605" s="191"/>
      <c r="E1605" s="176"/>
      <c r="F1605" s="177"/>
      <c r="G1605" s="192"/>
      <c r="H1605" s="179"/>
      <c r="I1605" s="283" t="e">
        <f>IF(#REF!="",#REF!*#REF!,IF(#REF!=0,#REF!*#REF!,#REF!*#REF!*#REF!))</f>
        <v>#REF!</v>
      </c>
      <c r="J1605" s="180" t="e">
        <f>#REF!*#REF!</f>
        <v>#REF!</v>
      </c>
      <c r="K1605" s="178" t="e">
        <f>#REF!*mo</f>
        <v>#REF!</v>
      </c>
      <c r="L1605" s="178" t="e">
        <f t="shared" si="203"/>
        <v>#REF!</v>
      </c>
      <c r="M1605" s="178" t="e">
        <f>#REF!*#REF!</f>
        <v>#REF!</v>
      </c>
      <c r="N1605" s="178" t="e">
        <f>#REF!+K1605+#REF!</f>
        <v>#REF!</v>
      </c>
      <c r="O1605" s="181" t="e">
        <f t="shared" si="201"/>
        <v>#REF!</v>
      </c>
    </row>
    <row r="1606" spans="1:15" s="193" customFormat="1" ht="12" customHeight="1" outlineLevel="2">
      <c r="A1606" s="238"/>
      <c r="B1606" s="234"/>
      <c r="C1606" s="190"/>
      <c r="D1606" s="191"/>
      <c r="E1606" s="176"/>
      <c r="F1606" s="177"/>
      <c r="G1606" s="192"/>
      <c r="H1606" s="179"/>
      <c r="I1606" s="283" t="e">
        <f>IF(#REF!="",#REF!*#REF!,IF(#REF!=0,#REF!*#REF!,#REF!*#REF!*#REF!))</f>
        <v>#REF!</v>
      </c>
      <c r="J1606" s="180" t="e">
        <f>#REF!*#REF!</f>
        <v>#REF!</v>
      </c>
      <c r="K1606" s="178" t="e">
        <f>#REF!*mo</f>
        <v>#REF!</v>
      </c>
      <c r="L1606" s="178" t="e">
        <f t="shared" si="203"/>
        <v>#REF!</v>
      </c>
      <c r="M1606" s="178" t="e">
        <f>#REF!*#REF!</f>
        <v>#REF!</v>
      </c>
      <c r="N1606" s="178" t="e">
        <f>#REF!+K1606+#REF!</f>
        <v>#REF!</v>
      </c>
      <c r="O1606" s="181" t="e">
        <f t="shared" si="201"/>
        <v>#REF!</v>
      </c>
    </row>
    <row r="1607" spans="1:15" s="193" customFormat="1" outlineLevel="2">
      <c r="A1607" s="238"/>
      <c r="B1607" s="212" t="s">
        <v>1023</v>
      </c>
      <c r="C1607" s="190" t="s">
        <v>123</v>
      </c>
      <c r="D1607" s="191"/>
      <c r="E1607" s="176"/>
      <c r="F1607" s="177"/>
      <c r="G1607" s="192"/>
      <c r="H1607" s="179"/>
      <c r="I1607" s="283" t="e">
        <f>IF(#REF!="",#REF!*#REF!,IF(#REF!=0,#REF!*#REF!,#REF!*#REF!*#REF!))</f>
        <v>#REF!</v>
      </c>
      <c r="J1607" s="180" t="e">
        <f>#REF!*#REF!</f>
        <v>#REF!</v>
      </c>
      <c r="K1607" s="178" t="e">
        <f>#REF!*mo</f>
        <v>#REF!</v>
      </c>
      <c r="L1607" s="178" t="e">
        <f t="shared" si="203"/>
        <v>#REF!</v>
      </c>
      <c r="M1607" s="178" t="e">
        <f>#REF!*#REF!</f>
        <v>#REF!</v>
      </c>
      <c r="N1607" s="178" t="e">
        <f>#REF!+K1607+#REF!</f>
        <v>#REF!</v>
      </c>
      <c r="O1607" s="181" t="e">
        <f t="shared" si="201"/>
        <v>#REF!</v>
      </c>
    </row>
    <row r="1608" spans="1:15" s="193" customFormat="1" outlineLevel="2">
      <c r="A1608" s="155"/>
      <c r="B1608" s="156"/>
      <c r="C1608" s="190"/>
      <c r="D1608" s="191"/>
      <c r="E1608" s="176"/>
      <c r="F1608" s="177"/>
      <c r="G1608" s="192"/>
      <c r="H1608" s="179"/>
      <c r="I1608" s="283" t="e">
        <f>IF(#REF!="",#REF!*#REF!,IF(#REF!=0,#REF!*#REF!,#REF!*#REF!*#REF!))</f>
        <v>#REF!</v>
      </c>
      <c r="J1608" s="180" t="e">
        <f>#REF!*#REF!</f>
        <v>#REF!</v>
      </c>
      <c r="K1608" s="178" t="e">
        <f>#REF!*mo</f>
        <v>#REF!</v>
      </c>
      <c r="L1608" s="178" t="e">
        <f t="shared" si="203"/>
        <v>#REF!</v>
      </c>
      <c r="M1608" s="178" t="e">
        <f>#REF!*#REF!</f>
        <v>#REF!</v>
      </c>
      <c r="N1608" s="178" t="e">
        <f>#REF!+K1608+#REF!</f>
        <v>#REF!</v>
      </c>
      <c r="O1608" s="181" t="e">
        <f t="shared" si="201"/>
        <v>#REF!</v>
      </c>
    </row>
    <row r="1609" spans="1:15" s="193" customFormat="1" outlineLevel="1">
      <c r="A1609" s="155"/>
      <c r="B1609" s="198" t="str">
        <f>"Total "&amp;B1553</f>
        <v>Total EAUX VANNES</v>
      </c>
      <c r="C1609" s="190"/>
      <c r="D1609" s="191"/>
      <c r="E1609" s="176"/>
      <c r="F1609" s="177"/>
      <c r="G1609" s="192"/>
      <c r="H1609" s="179">
        <f>SUM(G1554:G1609)</f>
        <v>0</v>
      </c>
      <c r="I1609" s="283" t="e">
        <f>IF(#REF!="",#REF!*#REF!,IF(#REF!=0,#REF!*#REF!,#REF!*#REF!*#REF!))</f>
        <v>#REF!</v>
      </c>
      <c r="J1609" s="180" t="e">
        <f>#REF!*#REF!</f>
        <v>#REF!</v>
      </c>
      <c r="K1609" s="178" t="e">
        <f>#REF!*mo</f>
        <v>#REF!</v>
      </c>
      <c r="L1609" s="178" t="e">
        <f t="shared" si="203"/>
        <v>#REF!</v>
      </c>
      <c r="M1609" s="178" t="e">
        <f>#REF!*#REF!</f>
        <v>#REF!</v>
      </c>
      <c r="N1609" s="178" t="e">
        <f>#REF!+K1609+#REF!</f>
        <v>#REF!</v>
      </c>
      <c r="O1609" s="181" t="e">
        <f t="shared" si="201"/>
        <v>#REF!</v>
      </c>
    </row>
    <row r="1610" spans="1:15" s="193" customFormat="1" outlineLevel="1">
      <c r="A1610" s="155"/>
      <c r="B1610" s="198"/>
      <c r="C1610" s="190"/>
      <c r="D1610" s="191"/>
      <c r="E1610" s="176"/>
      <c r="F1610" s="177"/>
      <c r="G1610" s="192"/>
      <c r="H1610" s="235"/>
      <c r="I1610" s="283" t="e">
        <f>IF(#REF!="",#REF!*#REF!,IF(#REF!=0,#REF!*#REF!,#REF!*#REF!*#REF!))</f>
        <v>#REF!</v>
      </c>
      <c r="J1610" s="180" t="e">
        <f>#REF!*#REF!</f>
        <v>#REF!</v>
      </c>
      <c r="K1610" s="178" t="e">
        <f>#REF!*mo</f>
        <v>#REF!</v>
      </c>
      <c r="L1610" s="178" t="e">
        <f t="shared" si="203"/>
        <v>#REF!</v>
      </c>
      <c r="M1610" s="178" t="e">
        <f>#REF!*#REF!</f>
        <v>#REF!</v>
      </c>
      <c r="N1610" s="178" t="e">
        <f>#REF!+K1610+#REF!</f>
        <v>#REF!</v>
      </c>
      <c r="O1610" s="181" t="e">
        <f t="shared" si="201"/>
        <v>#REF!</v>
      </c>
    </row>
    <row r="1611" spans="1:15" s="209" customFormat="1" outlineLevel="1">
      <c r="A1611" s="157" t="str">
        <f>A1492&amp;".3"</f>
        <v>7.3</v>
      </c>
      <c r="B1611" s="158" t="s">
        <v>1056</v>
      </c>
      <c r="C1611" s="195"/>
      <c r="D1611" s="170"/>
      <c r="E1611" s="176"/>
      <c r="F1611" s="177"/>
      <c r="G1611" s="192"/>
      <c r="H1611" s="196"/>
      <c r="I1611" s="283" t="e">
        <f>IF(#REF!="",#REF!*#REF!,IF(#REF!=0,#REF!*#REF!,#REF!*#REF!*#REF!))</f>
        <v>#REF!</v>
      </c>
      <c r="J1611" s="180" t="e">
        <f>#REF!*#REF!</f>
        <v>#REF!</v>
      </c>
      <c r="K1611" s="178" t="e">
        <f>#REF!*mo</f>
        <v>#REF!</v>
      </c>
      <c r="L1611" s="178" t="e">
        <f t="shared" si="202"/>
        <v>#REF!</v>
      </c>
      <c r="M1611" s="178" t="e">
        <f>#REF!*#REF!</f>
        <v>#REF!</v>
      </c>
      <c r="N1611" s="178" t="e">
        <f>#REF!+K1611+#REF!</f>
        <v>#REF!</v>
      </c>
      <c r="O1611" s="181" t="e">
        <f t="shared" si="201"/>
        <v>#REF!</v>
      </c>
    </row>
    <row r="1612" spans="1:15" s="193" customFormat="1" outlineLevel="1">
      <c r="A1612" s="240" t="str">
        <f>$A$725&amp;".1"</f>
        <v>.1</v>
      </c>
      <c r="B1612" s="241" t="s">
        <v>1057</v>
      </c>
      <c r="C1612" s="190"/>
      <c r="D1612" s="191"/>
      <c r="E1612" s="176"/>
      <c r="F1612" s="177"/>
      <c r="G1612" s="192">
        <f>SUM(F1613:F1637)</f>
        <v>0</v>
      </c>
      <c r="H1612" s="179"/>
      <c r="I1612" s="283" t="e">
        <f>IF(#REF!="",#REF!*#REF!,IF(#REF!=0,#REF!*#REF!,#REF!*#REF!*#REF!))</f>
        <v>#REF!</v>
      </c>
      <c r="J1612" s="180" t="e">
        <f>#REF!*#REF!</f>
        <v>#REF!</v>
      </c>
      <c r="K1612" s="178" t="e">
        <f>#REF!*mo</f>
        <v>#REF!</v>
      </c>
      <c r="L1612" s="178" t="e">
        <f t="shared" si="202"/>
        <v>#REF!</v>
      </c>
      <c r="M1612" s="178" t="e">
        <f>#REF!*#REF!</f>
        <v>#REF!</v>
      </c>
      <c r="N1612" s="178" t="e">
        <f>#REF!+K1612+#REF!</f>
        <v>#REF!</v>
      </c>
      <c r="O1612" s="181" t="e">
        <f t="shared" si="201"/>
        <v>#REF!</v>
      </c>
    </row>
    <row r="1613" spans="1:15" s="193" customFormat="1" outlineLevel="2">
      <c r="A1613" s="238"/>
      <c r="B1613" s="241"/>
      <c r="C1613" s="190"/>
      <c r="D1613" s="191"/>
      <c r="E1613" s="176"/>
      <c r="F1613" s="177"/>
      <c r="G1613" s="192"/>
      <c r="H1613" s="179"/>
      <c r="I1613" s="283" t="e">
        <f>IF(#REF!="",#REF!*#REF!,IF(#REF!=0,#REF!*#REF!,#REF!*#REF!*#REF!))</f>
        <v>#REF!</v>
      </c>
      <c r="J1613" s="180" t="e">
        <f>#REF!*#REF!</f>
        <v>#REF!</v>
      </c>
      <c r="K1613" s="178" t="e">
        <f>#REF!*mo</f>
        <v>#REF!</v>
      </c>
      <c r="L1613" s="178" t="e">
        <f t="shared" si="202"/>
        <v>#REF!</v>
      </c>
      <c r="M1613" s="178" t="e">
        <f>#REF!*#REF!</f>
        <v>#REF!</v>
      </c>
      <c r="N1613" s="178" t="e">
        <f>#REF!+K1613+#REF!</f>
        <v>#REF!</v>
      </c>
      <c r="O1613" s="181" t="e">
        <f t="shared" si="201"/>
        <v>#REF!</v>
      </c>
    </row>
    <row r="1614" spans="1:15" s="193" customFormat="1" outlineLevel="2">
      <c r="A1614" s="238"/>
      <c r="B1614" s="236" t="s">
        <v>1048</v>
      </c>
      <c r="C1614" s="190"/>
      <c r="D1614" s="191"/>
      <c r="E1614" s="176"/>
      <c r="F1614" s="177"/>
      <c r="G1614" s="192"/>
      <c r="H1614" s="179"/>
      <c r="I1614" s="283" t="e">
        <f>IF(#REF!="",#REF!*#REF!,IF(#REF!=0,#REF!*#REF!,#REF!*#REF!*#REF!))</f>
        <v>#REF!</v>
      </c>
      <c r="J1614" s="180" t="e">
        <f>#REF!*#REF!</f>
        <v>#REF!</v>
      </c>
      <c r="K1614" s="178" t="e">
        <f>#REF!*mo</f>
        <v>#REF!</v>
      </c>
      <c r="L1614" s="178" t="e">
        <f t="shared" si="202"/>
        <v>#REF!</v>
      </c>
      <c r="M1614" s="178" t="e">
        <f>#REF!*#REF!</f>
        <v>#REF!</v>
      </c>
      <c r="N1614" s="178" t="e">
        <f>#REF!+K1614+#REF!</f>
        <v>#REF!</v>
      </c>
      <c r="O1614" s="181" t="e">
        <f t="shared" si="201"/>
        <v>#REF!</v>
      </c>
    </row>
    <row r="1615" spans="1:15" s="193" customFormat="1" outlineLevel="2">
      <c r="A1615" s="238"/>
      <c r="B1615" s="212" t="s">
        <v>940</v>
      </c>
      <c r="C1615" s="190" t="s">
        <v>123</v>
      </c>
      <c r="D1615" s="191"/>
      <c r="E1615" s="176"/>
      <c r="F1615" s="177"/>
      <c r="G1615" s="192"/>
      <c r="H1615" s="179"/>
      <c r="I1615" s="283" t="e">
        <f>IF(#REF!="",#REF!*#REF!,IF(#REF!=0,#REF!*#REF!,#REF!*#REF!*#REF!))</f>
        <v>#REF!</v>
      </c>
      <c r="J1615" s="180" t="e">
        <f>#REF!*#REF!</f>
        <v>#REF!</v>
      </c>
      <c r="K1615" s="178" t="e">
        <f>#REF!*mo</f>
        <v>#REF!</v>
      </c>
      <c r="L1615" s="178" t="e">
        <f t="shared" si="202"/>
        <v>#REF!</v>
      </c>
      <c r="M1615" s="178" t="e">
        <f>#REF!*#REF!</f>
        <v>#REF!</v>
      </c>
      <c r="N1615" s="178" t="e">
        <f>#REF!+K1615+#REF!</f>
        <v>#REF!</v>
      </c>
      <c r="O1615" s="181" t="e">
        <f t="shared" si="201"/>
        <v>#REF!</v>
      </c>
    </row>
    <row r="1616" spans="1:15" s="193" customFormat="1" outlineLevel="2">
      <c r="A1616" s="238"/>
      <c r="B1616" s="212" t="s">
        <v>1049</v>
      </c>
      <c r="C1616" s="190" t="s">
        <v>123</v>
      </c>
      <c r="D1616" s="191"/>
      <c r="E1616" s="176"/>
      <c r="F1616" s="177"/>
      <c r="G1616" s="192"/>
      <c r="H1616" s="179"/>
      <c r="I1616" s="283" t="e">
        <f>IF(#REF!="",#REF!*#REF!,IF(#REF!=0,#REF!*#REF!,#REF!*#REF!*#REF!))</f>
        <v>#REF!</v>
      </c>
      <c r="J1616" s="180" t="e">
        <f>#REF!*#REF!</f>
        <v>#REF!</v>
      </c>
      <c r="K1616" s="178" t="e">
        <f>#REF!*mo</f>
        <v>#REF!</v>
      </c>
      <c r="L1616" s="178" t="e">
        <f t="shared" si="202"/>
        <v>#REF!</v>
      </c>
      <c r="M1616" s="178" t="e">
        <f>#REF!*#REF!</f>
        <v>#REF!</v>
      </c>
      <c r="N1616" s="178" t="e">
        <f>#REF!+K1616+#REF!</f>
        <v>#REF!</v>
      </c>
      <c r="O1616" s="181" t="e">
        <f t="shared" si="201"/>
        <v>#REF!</v>
      </c>
    </row>
    <row r="1617" spans="1:15" s="193" customFormat="1" outlineLevel="2">
      <c r="A1617" s="238"/>
      <c r="B1617" s="212" t="s">
        <v>1050</v>
      </c>
      <c r="C1617" s="190" t="s">
        <v>123</v>
      </c>
      <c r="D1617" s="191"/>
      <c r="E1617" s="176"/>
      <c r="F1617" s="177"/>
      <c r="G1617" s="192"/>
      <c r="H1617" s="179"/>
      <c r="I1617" s="283" t="e">
        <f>IF(#REF!="",#REF!*#REF!,IF(#REF!=0,#REF!*#REF!,#REF!*#REF!*#REF!))</f>
        <v>#REF!</v>
      </c>
      <c r="J1617" s="180" t="e">
        <f>#REF!*#REF!</f>
        <v>#REF!</v>
      </c>
      <c r="K1617" s="178" t="e">
        <f>#REF!*mo</f>
        <v>#REF!</v>
      </c>
      <c r="L1617" s="178" t="e">
        <f t="shared" si="202"/>
        <v>#REF!</v>
      </c>
      <c r="M1617" s="178" t="e">
        <f>#REF!*#REF!</f>
        <v>#REF!</v>
      </c>
      <c r="N1617" s="178" t="e">
        <f>#REF!+K1617+#REF!</f>
        <v>#REF!</v>
      </c>
      <c r="O1617" s="181" t="e">
        <f t="shared" si="201"/>
        <v>#REF!</v>
      </c>
    </row>
    <row r="1618" spans="1:15" s="193" customFormat="1" outlineLevel="2">
      <c r="A1618" s="238"/>
      <c r="B1618" s="212" t="s">
        <v>943</v>
      </c>
      <c r="C1618" s="190" t="s">
        <v>123</v>
      </c>
      <c r="D1618" s="191"/>
      <c r="E1618" s="176"/>
      <c r="F1618" s="177"/>
      <c r="G1618" s="192"/>
      <c r="H1618" s="179"/>
      <c r="I1618" s="283" t="e">
        <f>IF(#REF!="",#REF!*#REF!,IF(#REF!=0,#REF!*#REF!,#REF!*#REF!*#REF!))</f>
        <v>#REF!</v>
      </c>
      <c r="J1618" s="180" t="e">
        <f>#REF!*#REF!</f>
        <v>#REF!</v>
      </c>
      <c r="K1618" s="178" t="e">
        <f>#REF!*mo</f>
        <v>#REF!</v>
      </c>
      <c r="L1618" s="178" t="e">
        <f t="shared" si="202"/>
        <v>#REF!</v>
      </c>
      <c r="M1618" s="178" t="e">
        <f>#REF!*#REF!</f>
        <v>#REF!</v>
      </c>
      <c r="N1618" s="178" t="e">
        <f>#REF!+K1618+#REF!</f>
        <v>#REF!</v>
      </c>
      <c r="O1618" s="181" t="e">
        <f t="shared" si="201"/>
        <v>#REF!</v>
      </c>
    </row>
    <row r="1619" spans="1:15" s="193" customFormat="1" outlineLevel="2">
      <c r="A1619" s="238"/>
      <c r="B1619" s="212" t="s">
        <v>868</v>
      </c>
      <c r="C1619" s="190" t="s">
        <v>123</v>
      </c>
      <c r="D1619" s="191"/>
      <c r="E1619" s="176"/>
      <c r="F1619" s="177"/>
      <c r="G1619" s="192"/>
      <c r="H1619" s="179"/>
      <c r="I1619" s="283" t="e">
        <f>IF(#REF!="",#REF!*#REF!,IF(#REF!=0,#REF!*#REF!,#REF!*#REF!*#REF!))</f>
        <v>#REF!</v>
      </c>
      <c r="J1619" s="180" t="e">
        <f>#REF!*#REF!</f>
        <v>#REF!</v>
      </c>
      <c r="K1619" s="178" t="e">
        <f>#REF!*mo</f>
        <v>#REF!</v>
      </c>
      <c r="L1619" s="178" t="e">
        <f t="shared" si="202"/>
        <v>#REF!</v>
      </c>
      <c r="M1619" s="178" t="e">
        <f>#REF!*#REF!</f>
        <v>#REF!</v>
      </c>
      <c r="N1619" s="178" t="e">
        <f>#REF!+K1619+#REF!</f>
        <v>#REF!</v>
      </c>
      <c r="O1619" s="181" t="e">
        <f t="shared" si="201"/>
        <v>#REF!</v>
      </c>
    </row>
    <row r="1620" spans="1:15" s="193" customFormat="1" outlineLevel="2">
      <c r="A1620" s="238"/>
      <c r="B1620" s="212" t="s">
        <v>869</v>
      </c>
      <c r="C1620" s="190" t="s">
        <v>123</v>
      </c>
      <c r="D1620" s="191"/>
      <c r="E1620" s="176"/>
      <c r="F1620" s="177"/>
      <c r="G1620" s="192"/>
      <c r="H1620" s="179"/>
      <c r="I1620" s="283" t="e">
        <f>IF(#REF!="",#REF!*#REF!,IF(#REF!=0,#REF!*#REF!,#REF!*#REF!*#REF!))</f>
        <v>#REF!</v>
      </c>
      <c r="J1620" s="180" t="e">
        <f>#REF!*#REF!</f>
        <v>#REF!</v>
      </c>
      <c r="K1620" s="178" t="e">
        <f>#REF!*mo</f>
        <v>#REF!</v>
      </c>
      <c r="L1620" s="178" t="e">
        <f t="shared" si="202"/>
        <v>#REF!</v>
      </c>
      <c r="M1620" s="178" t="e">
        <f>#REF!*#REF!</f>
        <v>#REF!</v>
      </c>
      <c r="N1620" s="178" t="e">
        <f>#REF!+K1620+#REF!</f>
        <v>#REF!</v>
      </c>
      <c r="O1620" s="181" t="e">
        <f t="shared" si="201"/>
        <v>#REF!</v>
      </c>
    </row>
    <row r="1621" spans="1:15" s="193" customFormat="1" outlineLevel="2">
      <c r="A1621" s="238"/>
      <c r="B1621" s="212" t="s">
        <v>870</v>
      </c>
      <c r="C1621" s="190" t="s">
        <v>123</v>
      </c>
      <c r="D1621" s="191"/>
      <c r="E1621" s="176"/>
      <c r="F1621" s="177"/>
      <c r="G1621" s="192"/>
      <c r="H1621" s="179"/>
      <c r="I1621" s="283" t="e">
        <f>IF(#REF!="",#REF!*#REF!,IF(#REF!=0,#REF!*#REF!,#REF!*#REF!*#REF!))</f>
        <v>#REF!</v>
      </c>
      <c r="J1621" s="180" t="e">
        <f>#REF!*#REF!</f>
        <v>#REF!</v>
      </c>
      <c r="K1621" s="178" t="e">
        <f>#REF!*mo</f>
        <v>#REF!</v>
      </c>
      <c r="L1621" s="178" t="e">
        <f t="shared" si="202"/>
        <v>#REF!</v>
      </c>
      <c r="M1621" s="178" t="e">
        <f>#REF!*#REF!</f>
        <v>#REF!</v>
      </c>
      <c r="N1621" s="178" t="e">
        <f>#REF!+K1621+#REF!</f>
        <v>#REF!</v>
      </c>
      <c r="O1621" s="181" t="e">
        <f t="shared" si="201"/>
        <v>#REF!</v>
      </c>
    </row>
    <row r="1622" spans="1:15" s="193" customFormat="1" outlineLevel="2">
      <c r="A1622" s="238"/>
      <c r="B1622" s="212" t="s">
        <v>871</v>
      </c>
      <c r="C1622" s="190" t="s">
        <v>123</v>
      </c>
      <c r="D1622" s="191"/>
      <c r="E1622" s="176"/>
      <c r="F1622" s="177"/>
      <c r="G1622" s="192"/>
      <c r="H1622" s="179"/>
      <c r="I1622" s="283" t="e">
        <f>IF(#REF!="",#REF!*#REF!,IF(#REF!=0,#REF!*#REF!,#REF!*#REF!*#REF!))</f>
        <v>#REF!</v>
      </c>
      <c r="J1622" s="180" t="e">
        <f>#REF!*#REF!</f>
        <v>#REF!</v>
      </c>
      <c r="K1622" s="178" t="e">
        <f>#REF!*mo</f>
        <v>#REF!</v>
      </c>
      <c r="L1622" s="178" t="e">
        <f t="shared" si="202"/>
        <v>#REF!</v>
      </c>
      <c r="M1622" s="178" t="e">
        <f>#REF!*#REF!</f>
        <v>#REF!</v>
      </c>
      <c r="N1622" s="178" t="e">
        <f>#REF!+K1622+#REF!</f>
        <v>#REF!</v>
      </c>
      <c r="O1622" s="181" t="e">
        <f t="shared" si="201"/>
        <v>#REF!</v>
      </c>
    </row>
    <row r="1623" spans="1:15" s="193" customFormat="1" outlineLevel="2">
      <c r="A1623" s="238"/>
      <c r="B1623" s="234"/>
      <c r="C1623" s="190"/>
      <c r="D1623" s="191"/>
      <c r="E1623" s="176"/>
      <c r="F1623" s="177"/>
      <c r="G1623" s="192"/>
      <c r="H1623" s="179"/>
      <c r="I1623" s="283" t="e">
        <f>IF(#REF!="",#REF!*#REF!,IF(#REF!=0,#REF!*#REF!,#REF!*#REF!*#REF!))</f>
        <v>#REF!</v>
      </c>
      <c r="J1623" s="180" t="e">
        <f>#REF!*#REF!</f>
        <v>#REF!</v>
      </c>
      <c r="K1623" s="178" t="e">
        <f>#REF!*mo</f>
        <v>#REF!</v>
      </c>
      <c r="L1623" s="178" t="e">
        <f t="shared" ref="L1623:L1663" si="204">J1623*mo</f>
        <v>#REF!</v>
      </c>
      <c r="M1623" s="178" t="e">
        <f>#REF!*#REF!</f>
        <v>#REF!</v>
      </c>
      <c r="N1623" s="178" t="e">
        <f>#REF!+K1623+#REF!</f>
        <v>#REF!</v>
      </c>
      <c r="O1623" s="181" t="e">
        <f t="shared" si="201"/>
        <v>#REF!</v>
      </c>
    </row>
    <row r="1624" spans="1:15" s="193" customFormat="1" outlineLevel="2">
      <c r="A1624" s="238"/>
      <c r="B1624" s="236" t="s">
        <v>1039</v>
      </c>
      <c r="C1624" s="190"/>
      <c r="D1624" s="191"/>
      <c r="E1624" s="176"/>
      <c r="F1624" s="177"/>
      <c r="G1624" s="192"/>
      <c r="H1624" s="179"/>
      <c r="I1624" s="283" t="e">
        <f>IF(#REF!="",#REF!*#REF!,IF(#REF!=0,#REF!*#REF!,#REF!*#REF!*#REF!))</f>
        <v>#REF!</v>
      </c>
      <c r="J1624" s="180" t="e">
        <f>#REF!*#REF!</f>
        <v>#REF!</v>
      </c>
      <c r="K1624" s="178" t="e">
        <f>#REF!*mo</f>
        <v>#REF!</v>
      </c>
      <c r="L1624" s="178" t="e">
        <f t="shared" si="204"/>
        <v>#REF!</v>
      </c>
      <c r="M1624" s="178" t="e">
        <f>#REF!*#REF!</f>
        <v>#REF!</v>
      </c>
      <c r="N1624" s="178" t="e">
        <f>#REF!+K1624+#REF!</f>
        <v>#REF!</v>
      </c>
      <c r="O1624" s="181" t="e">
        <f t="shared" si="201"/>
        <v>#REF!</v>
      </c>
    </row>
    <row r="1625" spans="1:15" s="193" customFormat="1" outlineLevel="2">
      <c r="A1625" s="238"/>
      <c r="B1625" s="212" t="s">
        <v>940</v>
      </c>
      <c r="C1625" s="190" t="s">
        <v>123</v>
      </c>
      <c r="D1625" s="191"/>
      <c r="E1625" s="176"/>
      <c r="F1625" s="177"/>
      <c r="G1625" s="192"/>
      <c r="H1625" s="179"/>
      <c r="I1625" s="283" t="e">
        <f>IF(#REF!="",#REF!*#REF!,IF(#REF!=0,#REF!*#REF!,#REF!*#REF!*#REF!))</f>
        <v>#REF!</v>
      </c>
      <c r="J1625" s="180" t="e">
        <f>#REF!*#REF!</f>
        <v>#REF!</v>
      </c>
      <c r="K1625" s="178" t="e">
        <f>#REF!*mo</f>
        <v>#REF!</v>
      </c>
      <c r="L1625" s="178" t="e">
        <f t="shared" si="204"/>
        <v>#REF!</v>
      </c>
      <c r="M1625" s="178" t="e">
        <f>#REF!*#REF!</f>
        <v>#REF!</v>
      </c>
      <c r="N1625" s="178" t="e">
        <f>#REF!+K1625+#REF!</f>
        <v>#REF!</v>
      </c>
      <c r="O1625" s="181" t="e">
        <f t="shared" si="201"/>
        <v>#REF!</v>
      </c>
    </row>
    <row r="1626" spans="1:15" s="193" customFormat="1" outlineLevel="2">
      <c r="A1626" s="238"/>
      <c r="B1626" s="212" t="s">
        <v>1049</v>
      </c>
      <c r="C1626" s="190" t="s">
        <v>123</v>
      </c>
      <c r="D1626" s="191"/>
      <c r="E1626" s="176"/>
      <c r="F1626" s="177"/>
      <c r="G1626" s="192"/>
      <c r="H1626" s="179"/>
      <c r="I1626" s="283" t="e">
        <f>IF(#REF!="",#REF!*#REF!,IF(#REF!=0,#REF!*#REF!,#REF!*#REF!*#REF!))</f>
        <v>#REF!</v>
      </c>
      <c r="J1626" s="180" t="e">
        <f>#REF!*#REF!</f>
        <v>#REF!</v>
      </c>
      <c r="K1626" s="178" t="e">
        <f>#REF!*mo</f>
        <v>#REF!</v>
      </c>
      <c r="L1626" s="178" t="e">
        <f t="shared" si="204"/>
        <v>#REF!</v>
      </c>
      <c r="M1626" s="178" t="e">
        <f>#REF!*#REF!</f>
        <v>#REF!</v>
      </c>
      <c r="N1626" s="178" t="e">
        <f>#REF!+K1626+#REF!</f>
        <v>#REF!</v>
      </c>
      <c r="O1626" s="181" t="e">
        <f t="shared" si="201"/>
        <v>#REF!</v>
      </c>
    </row>
    <row r="1627" spans="1:15" s="193" customFormat="1" outlineLevel="2">
      <c r="A1627" s="238"/>
      <c r="B1627" s="212" t="s">
        <v>1050</v>
      </c>
      <c r="C1627" s="190" t="s">
        <v>123</v>
      </c>
      <c r="D1627" s="191"/>
      <c r="E1627" s="176"/>
      <c r="F1627" s="177"/>
      <c r="G1627" s="192"/>
      <c r="H1627" s="179"/>
      <c r="I1627" s="283" t="e">
        <f>IF(#REF!="",#REF!*#REF!,IF(#REF!=0,#REF!*#REF!,#REF!*#REF!*#REF!))</f>
        <v>#REF!</v>
      </c>
      <c r="J1627" s="180" t="e">
        <f>#REF!*#REF!</f>
        <v>#REF!</v>
      </c>
      <c r="K1627" s="178" t="e">
        <f>#REF!*mo</f>
        <v>#REF!</v>
      </c>
      <c r="L1627" s="178" t="e">
        <f t="shared" si="204"/>
        <v>#REF!</v>
      </c>
      <c r="M1627" s="178" t="e">
        <f>#REF!*#REF!</f>
        <v>#REF!</v>
      </c>
      <c r="N1627" s="178" t="e">
        <f>#REF!+K1627+#REF!</f>
        <v>#REF!</v>
      </c>
      <c r="O1627" s="181" t="e">
        <f t="shared" si="201"/>
        <v>#REF!</v>
      </c>
    </row>
    <row r="1628" spans="1:15" s="193" customFormat="1" outlineLevel="2">
      <c r="A1628" s="238"/>
      <c r="B1628" s="212" t="s">
        <v>943</v>
      </c>
      <c r="C1628" s="190" t="s">
        <v>123</v>
      </c>
      <c r="D1628" s="191"/>
      <c r="E1628" s="176"/>
      <c r="F1628" s="177"/>
      <c r="G1628" s="192"/>
      <c r="H1628" s="179"/>
      <c r="I1628" s="283" t="e">
        <f>IF(#REF!="",#REF!*#REF!,IF(#REF!=0,#REF!*#REF!,#REF!*#REF!*#REF!))</f>
        <v>#REF!</v>
      </c>
      <c r="J1628" s="180" t="e">
        <f>#REF!*#REF!</f>
        <v>#REF!</v>
      </c>
      <c r="K1628" s="178" t="e">
        <f>#REF!*mo</f>
        <v>#REF!</v>
      </c>
      <c r="L1628" s="178" t="e">
        <f t="shared" si="204"/>
        <v>#REF!</v>
      </c>
      <c r="M1628" s="178" t="e">
        <f>#REF!*#REF!</f>
        <v>#REF!</v>
      </c>
      <c r="N1628" s="178" t="e">
        <f>#REF!+K1628+#REF!</f>
        <v>#REF!</v>
      </c>
      <c r="O1628" s="181" t="e">
        <f t="shared" si="201"/>
        <v>#REF!</v>
      </c>
    </row>
    <row r="1629" spans="1:15" s="193" customFormat="1" outlineLevel="2">
      <c r="A1629" s="238"/>
      <c r="B1629" s="212" t="s">
        <v>868</v>
      </c>
      <c r="C1629" s="190" t="s">
        <v>123</v>
      </c>
      <c r="D1629" s="191"/>
      <c r="E1629" s="176"/>
      <c r="F1629" s="177"/>
      <c r="G1629" s="192"/>
      <c r="H1629" s="179"/>
      <c r="I1629" s="283" t="e">
        <f>IF(#REF!="",#REF!*#REF!,IF(#REF!=0,#REF!*#REF!,#REF!*#REF!*#REF!))</f>
        <v>#REF!</v>
      </c>
      <c r="J1629" s="180" t="e">
        <f>#REF!*#REF!</f>
        <v>#REF!</v>
      </c>
      <c r="K1629" s="178" t="e">
        <f>#REF!*mo</f>
        <v>#REF!</v>
      </c>
      <c r="L1629" s="178" t="e">
        <f t="shared" si="204"/>
        <v>#REF!</v>
      </c>
      <c r="M1629" s="178" t="e">
        <f>#REF!*#REF!</f>
        <v>#REF!</v>
      </c>
      <c r="N1629" s="178" t="e">
        <f>#REF!+K1629+#REF!</f>
        <v>#REF!</v>
      </c>
      <c r="O1629" s="181" t="e">
        <f t="shared" si="201"/>
        <v>#REF!</v>
      </c>
    </row>
    <row r="1630" spans="1:15" s="193" customFormat="1" outlineLevel="2">
      <c r="A1630" s="238"/>
      <c r="B1630" s="212" t="s">
        <v>869</v>
      </c>
      <c r="C1630" s="190" t="s">
        <v>123</v>
      </c>
      <c r="D1630" s="191"/>
      <c r="E1630" s="176"/>
      <c r="F1630" s="177"/>
      <c r="G1630" s="192"/>
      <c r="H1630" s="179"/>
      <c r="I1630" s="283" t="e">
        <f>IF(#REF!="",#REF!*#REF!,IF(#REF!=0,#REF!*#REF!,#REF!*#REF!*#REF!))</f>
        <v>#REF!</v>
      </c>
      <c r="J1630" s="180" t="e">
        <f>#REF!*#REF!</f>
        <v>#REF!</v>
      </c>
      <c r="K1630" s="178" t="e">
        <f>#REF!*mo</f>
        <v>#REF!</v>
      </c>
      <c r="L1630" s="178" t="e">
        <f t="shared" si="204"/>
        <v>#REF!</v>
      </c>
      <c r="M1630" s="178" t="e">
        <f>#REF!*#REF!</f>
        <v>#REF!</v>
      </c>
      <c r="N1630" s="178" t="e">
        <f>#REF!+K1630+#REF!</f>
        <v>#REF!</v>
      </c>
      <c r="O1630" s="181" t="e">
        <f t="shared" si="201"/>
        <v>#REF!</v>
      </c>
    </row>
    <row r="1631" spans="1:15" s="193" customFormat="1" outlineLevel="2">
      <c r="A1631" s="238"/>
      <c r="B1631" s="212" t="s">
        <v>870</v>
      </c>
      <c r="C1631" s="190" t="s">
        <v>123</v>
      </c>
      <c r="D1631" s="191"/>
      <c r="E1631" s="176"/>
      <c r="F1631" s="177"/>
      <c r="G1631" s="192"/>
      <c r="H1631" s="179"/>
      <c r="I1631" s="283" t="e">
        <f>IF(#REF!="",#REF!*#REF!,IF(#REF!=0,#REF!*#REF!,#REF!*#REF!*#REF!))</f>
        <v>#REF!</v>
      </c>
      <c r="J1631" s="180" t="e">
        <f>#REF!*#REF!</f>
        <v>#REF!</v>
      </c>
      <c r="K1631" s="178" t="e">
        <f>#REF!*mo</f>
        <v>#REF!</v>
      </c>
      <c r="L1631" s="178" t="e">
        <f t="shared" si="204"/>
        <v>#REF!</v>
      </c>
      <c r="M1631" s="178" t="e">
        <f>#REF!*#REF!</f>
        <v>#REF!</v>
      </c>
      <c r="N1631" s="178" t="e">
        <f>#REF!+K1631+#REF!</f>
        <v>#REF!</v>
      </c>
      <c r="O1631" s="181" t="e">
        <f t="shared" si="201"/>
        <v>#REF!</v>
      </c>
    </row>
    <row r="1632" spans="1:15" s="193" customFormat="1" outlineLevel="2">
      <c r="A1632" s="238"/>
      <c r="B1632" s="212" t="s">
        <v>871</v>
      </c>
      <c r="C1632" s="190" t="s">
        <v>123</v>
      </c>
      <c r="D1632" s="191"/>
      <c r="E1632" s="176"/>
      <c r="F1632" s="177"/>
      <c r="G1632" s="192"/>
      <c r="H1632" s="179"/>
      <c r="I1632" s="283" t="e">
        <f>IF(#REF!="",#REF!*#REF!,IF(#REF!=0,#REF!*#REF!,#REF!*#REF!*#REF!))</f>
        <v>#REF!</v>
      </c>
      <c r="J1632" s="180" t="e">
        <f>#REF!*#REF!</f>
        <v>#REF!</v>
      </c>
      <c r="K1632" s="178" t="e">
        <f>#REF!*mo</f>
        <v>#REF!</v>
      </c>
      <c r="L1632" s="178" t="e">
        <f t="shared" si="204"/>
        <v>#REF!</v>
      </c>
      <c r="M1632" s="178" t="e">
        <f>#REF!*#REF!</f>
        <v>#REF!</v>
      </c>
      <c r="N1632" s="178" t="e">
        <f>#REF!+K1632+#REF!</f>
        <v>#REF!</v>
      </c>
      <c r="O1632" s="181" t="e">
        <f t="shared" si="201"/>
        <v>#REF!</v>
      </c>
    </row>
    <row r="1633" spans="1:15" s="193" customFormat="1" outlineLevel="2">
      <c r="A1633" s="238"/>
      <c r="B1633" s="234"/>
      <c r="C1633" s="190"/>
      <c r="D1633" s="191"/>
      <c r="E1633" s="176"/>
      <c r="F1633" s="177"/>
      <c r="G1633" s="192"/>
      <c r="H1633" s="179"/>
      <c r="I1633" s="283" t="e">
        <f>IF(#REF!="",#REF!*#REF!,IF(#REF!=0,#REF!*#REF!,#REF!*#REF!*#REF!))</f>
        <v>#REF!</v>
      </c>
      <c r="J1633" s="180" t="e">
        <f>#REF!*#REF!</f>
        <v>#REF!</v>
      </c>
      <c r="K1633" s="178" t="e">
        <f>#REF!*mo</f>
        <v>#REF!</v>
      </c>
      <c r="L1633" s="178" t="e">
        <f t="shared" si="204"/>
        <v>#REF!</v>
      </c>
      <c r="M1633" s="178" t="e">
        <f>#REF!*#REF!</f>
        <v>#REF!</v>
      </c>
      <c r="N1633" s="178" t="e">
        <f>#REF!+K1633+#REF!</f>
        <v>#REF!</v>
      </c>
      <c r="O1633" s="181" t="e">
        <f t="shared" si="201"/>
        <v>#REF!</v>
      </c>
    </row>
    <row r="1634" spans="1:15" s="193" customFormat="1" outlineLevel="2">
      <c r="A1634" s="238"/>
      <c r="B1634" s="212" t="s">
        <v>1058</v>
      </c>
      <c r="C1634" s="190" t="s">
        <v>801</v>
      </c>
      <c r="D1634" s="191"/>
      <c r="E1634" s="176"/>
      <c r="F1634" s="177"/>
      <c r="G1634" s="192"/>
      <c r="H1634" s="179"/>
      <c r="I1634" s="283" t="e">
        <f>IF(#REF!="",#REF!*#REF!,IF(#REF!=0,#REF!*#REF!,#REF!*#REF!*#REF!))</f>
        <v>#REF!</v>
      </c>
      <c r="J1634" s="180" t="e">
        <f>#REF!*#REF!</f>
        <v>#REF!</v>
      </c>
      <c r="K1634" s="178" t="e">
        <f>#REF!*mo</f>
        <v>#REF!</v>
      </c>
      <c r="L1634" s="178" t="e">
        <f t="shared" si="204"/>
        <v>#REF!</v>
      </c>
      <c r="M1634" s="178" t="e">
        <f>#REF!*#REF!</f>
        <v>#REF!</v>
      </c>
      <c r="N1634" s="178" t="e">
        <f>#REF!+K1634+#REF!</f>
        <v>#REF!</v>
      </c>
      <c r="O1634" s="181" t="e">
        <f t="shared" si="201"/>
        <v>#REF!</v>
      </c>
    </row>
    <row r="1635" spans="1:15" s="193" customFormat="1" outlineLevel="2">
      <c r="A1635" s="240"/>
      <c r="B1635" s="233"/>
      <c r="C1635" s="190"/>
      <c r="D1635" s="191"/>
      <c r="E1635" s="176"/>
      <c r="F1635" s="177"/>
      <c r="G1635" s="192"/>
      <c r="H1635" s="179"/>
      <c r="I1635" s="283" t="e">
        <f>IF(#REF!="",#REF!*#REF!,IF(#REF!=0,#REF!*#REF!,#REF!*#REF!*#REF!))</f>
        <v>#REF!</v>
      </c>
      <c r="J1635" s="180" t="e">
        <f>#REF!*#REF!</f>
        <v>#REF!</v>
      </c>
      <c r="K1635" s="178" t="e">
        <f>#REF!*mo</f>
        <v>#REF!</v>
      </c>
      <c r="L1635" s="178" t="e">
        <f t="shared" si="204"/>
        <v>#REF!</v>
      </c>
      <c r="M1635" s="178" t="e">
        <f>#REF!*#REF!</f>
        <v>#REF!</v>
      </c>
      <c r="N1635" s="178" t="e">
        <f>#REF!+K1635+#REF!</f>
        <v>#REF!</v>
      </c>
      <c r="O1635" s="181" t="e">
        <f t="shared" si="201"/>
        <v>#REF!</v>
      </c>
    </row>
    <row r="1636" spans="1:15" s="193" customFormat="1" outlineLevel="2">
      <c r="A1636" s="238"/>
      <c r="B1636" s="212" t="s">
        <v>1059</v>
      </c>
      <c r="C1636" s="190" t="s">
        <v>947</v>
      </c>
      <c r="D1636" s="191"/>
      <c r="E1636" s="176"/>
      <c r="F1636" s="177"/>
      <c r="G1636" s="192"/>
      <c r="H1636" s="179"/>
      <c r="I1636" s="283" t="e">
        <f>IF(#REF!="",#REF!*#REF!,IF(#REF!=0,#REF!*#REF!,#REF!*#REF!*#REF!))</f>
        <v>#REF!</v>
      </c>
      <c r="J1636" s="180" t="e">
        <f>#REF!*#REF!</f>
        <v>#REF!</v>
      </c>
      <c r="K1636" s="178" t="e">
        <f>#REF!*mo</f>
        <v>#REF!</v>
      </c>
      <c r="L1636" s="178" t="e">
        <f t="shared" si="204"/>
        <v>#REF!</v>
      </c>
      <c r="M1636" s="178" t="e">
        <f>#REF!*#REF!</f>
        <v>#REF!</v>
      </c>
      <c r="N1636" s="178" t="e">
        <f>#REF!+K1636+#REF!</f>
        <v>#REF!</v>
      </c>
      <c r="O1636" s="181" t="e">
        <f t="shared" si="201"/>
        <v>#REF!</v>
      </c>
    </row>
    <row r="1637" spans="1:15" s="193" customFormat="1" outlineLevel="2">
      <c r="A1637" s="238"/>
      <c r="B1637" s="212"/>
      <c r="C1637" s="190"/>
      <c r="D1637" s="191"/>
      <c r="E1637" s="176"/>
      <c r="F1637" s="177"/>
      <c r="G1637" s="192"/>
      <c r="H1637" s="179"/>
      <c r="I1637" s="283" t="e">
        <f>IF(#REF!="",#REF!*#REF!,IF(#REF!=0,#REF!*#REF!,#REF!*#REF!*#REF!))</f>
        <v>#REF!</v>
      </c>
      <c r="J1637" s="180" t="e">
        <f>#REF!*#REF!</f>
        <v>#REF!</v>
      </c>
      <c r="K1637" s="178" t="e">
        <f>#REF!*mo</f>
        <v>#REF!</v>
      </c>
      <c r="L1637" s="178" t="e">
        <f t="shared" ref="L1637" si="205">J1637*mo</f>
        <v>#REF!</v>
      </c>
      <c r="M1637" s="178" t="e">
        <f>#REF!*#REF!</f>
        <v>#REF!</v>
      </c>
      <c r="N1637" s="178" t="e">
        <f>#REF!+K1637+#REF!</f>
        <v>#REF!</v>
      </c>
      <c r="O1637" s="181" t="e">
        <f t="shared" ref="O1637:O1692" si="206">M1637+L1637+I1637</f>
        <v>#REF!</v>
      </c>
    </row>
    <row r="1638" spans="1:15" s="193" customFormat="1" outlineLevel="1">
      <c r="A1638" s="240" t="str">
        <f>$A$725&amp;".2"</f>
        <v>.2</v>
      </c>
      <c r="B1638" s="210" t="s">
        <v>1060</v>
      </c>
      <c r="C1638" s="190"/>
      <c r="D1638" s="191"/>
      <c r="E1638" s="176"/>
      <c r="F1638" s="177"/>
      <c r="G1638" s="192">
        <f>SUM(F1639:F1664)</f>
        <v>0</v>
      </c>
      <c r="H1638" s="179"/>
      <c r="I1638" s="283" t="e">
        <f>IF(#REF!="",#REF!*#REF!,IF(#REF!=0,#REF!*#REF!,#REF!*#REF!*#REF!))</f>
        <v>#REF!</v>
      </c>
      <c r="J1638" s="180" t="e">
        <f>#REF!*#REF!</f>
        <v>#REF!</v>
      </c>
      <c r="K1638" s="178" t="e">
        <f>#REF!*mo</f>
        <v>#REF!</v>
      </c>
      <c r="L1638" s="178" t="e">
        <f t="shared" si="204"/>
        <v>#REF!</v>
      </c>
      <c r="M1638" s="178" t="e">
        <f>#REF!*#REF!</f>
        <v>#REF!</v>
      </c>
      <c r="N1638" s="178" t="e">
        <f>#REF!+K1638+#REF!</f>
        <v>#REF!</v>
      </c>
      <c r="O1638" s="181" t="e">
        <f t="shared" si="206"/>
        <v>#REF!</v>
      </c>
    </row>
    <row r="1639" spans="1:15" s="193" customFormat="1" outlineLevel="2">
      <c r="A1639" s="240"/>
      <c r="B1639" s="233"/>
      <c r="C1639" s="190"/>
      <c r="D1639" s="191"/>
      <c r="E1639" s="176"/>
      <c r="F1639" s="177"/>
      <c r="G1639" s="192"/>
      <c r="H1639" s="179"/>
      <c r="I1639" s="283" t="e">
        <f>IF(#REF!="",#REF!*#REF!,IF(#REF!=0,#REF!*#REF!,#REF!*#REF!*#REF!))</f>
        <v>#REF!</v>
      </c>
      <c r="J1639" s="180" t="e">
        <f>#REF!*#REF!</f>
        <v>#REF!</v>
      </c>
      <c r="K1639" s="178" t="e">
        <f>#REF!*mo</f>
        <v>#REF!</v>
      </c>
      <c r="L1639" s="178" t="e">
        <f t="shared" si="204"/>
        <v>#REF!</v>
      </c>
      <c r="M1639" s="178" t="e">
        <f>#REF!*#REF!</f>
        <v>#REF!</v>
      </c>
      <c r="N1639" s="178" t="e">
        <f>#REF!+K1639+#REF!</f>
        <v>#REF!</v>
      </c>
      <c r="O1639" s="181" t="e">
        <f t="shared" si="206"/>
        <v>#REF!</v>
      </c>
    </row>
    <row r="1640" spans="1:15" s="193" customFormat="1" outlineLevel="2">
      <c r="A1640" s="238"/>
      <c r="B1640" s="236" t="s">
        <v>1048</v>
      </c>
      <c r="C1640" s="190"/>
      <c r="D1640" s="191"/>
      <c r="E1640" s="176"/>
      <c r="F1640" s="177"/>
      <c r="G1640" s="192"/>
      <c r="H1640" s="179"/>
      <c r="I1640" s="283" t="e">
        <f>IF(#REF!="",#REF!*#REF!,IF(#REF!=0,#REF!*#REF!,#REF!*#REF!*#REF!))</f>
        <v>#REF!</v>
      </c>
      <c r="J1640" s="180" t="e">
        <f>#REF!*#REF!</f>
        <v>#REF!</v>
      </c>
      <c r="K1640" s="178" t="e">
        <f>#REF!*mo</f>
        <v>#REF!</v>
      </c>
      <c r="L1640" s="178" t="e">
        <f t="shared" si="204"/>
        <v>#REF!</v>
      </c>
      <c r="M1640" s="178" t="e">
        <f>#REF!*#REF!</f>
        <v>#REF!</v>
      </c>
      <c r="N1640" s="178" t="e">
        <f>#REF!+K1640+#REF!</f>
        <v>#REF!</v>
      </c>
      <c r="O1640" s="181" t="e">
        <f t="shared" si="206"/>
        <v>#REF!</v>
      </c>
    </row>
    <row r="1641" spans="1:15" s="193" customFormat="1" outlineLevel="2">
      <c r="A1641" s="238"/>
      <c r="B1641" s="212" t="s">
        <v>940</v>
      </c>
      <c r="C1641" s="190" t="s">
        <v>123</v>
      </c>
      <c r="D1641" s="191"/>
      <c r="E1641" s="176"/>
      <c r="F1641" s="177"/>
      <c r="G1641" s="192"/>
      <c r="H1641" s="179"/>
      <c r="I1641" s="283" t="e">
        <f>IF(#REF!="",#REF!*#REF!,IF(#REF!=0,#REF!*#REF!,#REF!*#REF!*#REF!))</f>
        <v>#REF!</v>
      </c>
      <c r="J1641" s="180" t="e">
        <f>#REF!*#REF!</f>
        <v>#REF!</v>
      </c>
      <c r="K1641" s="178" t="e">
        <f>#REF!*mo</f>
        <v>#REF!</v>
      </c>
      <c r="L1641" s="178" t="e">
        <f t="shared" si="204"/>
        <v>#REF!</v>
      </c>
      <c r="M1641" s="178" t="e">
        <f>#REF!*#REF!</f>
        <v>#REF!</v>
      </c>
      <c r="N1641" s="178" t="e">
        <f>#REF!+K1641+#REF!</f>
        <v>#REF!</v>
      </c>
      <c r="O1641" s="181" t="e">
        <f t="shared" si="206"/>
        <v>#REF!</v>
      </c>
    </row>
    <row r="1642" spans="1:15" s="193" customFormat="1" outlineLevel="2">
      <c r="A1642" s="238"/>
      <c r="B1642" s="212" t="s">
        <v>1049</v>
      </c>
      <c r="C1642" s="190" t="s">
        <v>123</v>
      </c>
      <c r="D1642" s="191"/>
      <c r="E1642" s="176"/>
      <c r="F1642" s="177"/>
      <c r="G1642" s="192"/>
      <c r="H1642" s="179"/>
      <c r="I1642" s="283" t="e">
        <f>IF(#REF!="",#REF!*#REF!,IF(#REF!=0,#REF!*#REF!,#REF!*#REF!*#REF!))</f>
        <v>#REF!</v>
      </c>
      <c r="J1642" s="180" t="e">
        <f>#REF!*#REF!</f>
        <v>#REF!</v>
      </c>
      <c r="K1642" s="178" t="e">
        <f>#REF!*mo</f>
        <v>#REF!</v>
      </c>
      <c r="L1642" s="178" t="e">
        <f t="shared" si="204"/>
        <v>#REF!</v>
      </c>
      <c r="M1642" s="178" t="e">
        <f>#REF!*#REF!</f>
        <v>#REF!</v>
      </c>
      <c r="N1642" s="178" t="e">
        <f>#REF!+K1642+#REF!</f>
        <v>#REF!</v>
      </c>
      <c r="O1642" s="181" t="e">
        <f t="shared" si="206"/>
        <v>#REF!</v>
      </c>
    </row>
    <row r="1643" spans="1:15" s="193" customFormat="1" outlineLevel="2">
      <c r="A1643" s="238"/>
      <c r="B1643" s="212" t="s">
        <v>1050</v>
      </c>
      <c r="C1643" s="190" t="s">
        <v>123</v>
      </c>
      <c r="D1643" s="191"/>
      <c r="E1643" s="176"/>
      <c r="F1643" s="177"/>
      <c r="G1643" s="192"/>
      <c r="H1643" s="179"/>
      <c r="I1643" s="283" t="e">
        <f>IF(#REF!="",#REF!*#REF!,IF(#REF!=0,#REF!*#REF!,#REF!*#REF!*#REF!))</f>
        <v>#REF!</v>
      </c>
      <c r="J1643" s="180" t="e">
        <f>#REF!*#REF!</f>
        <v>#REF!</v>
      </c>
      <c r="K1643" s="178" t="e">
        <f>#REF!*mo</f>
        <v>#REF!</v>
      </c>
      <c r="L1643" s="178" t="e">
        <f t="shared" si="204"/>
        <v>#REF!</v>
      </c>
      <c r="M1643" s="178" t="e">
        <f>#REF!*#REF!</f>
        <v>#REF!</v>
      </c>
      <c r="N1643" s="178" t="e">
        <f>#REF!+K1643+#REF!</f>
        <v>#REF!</v>
      </c>
      <c r="O1643" s="181" t="e">
        <f t="shared" si="206"/>
        <v>#REF!</v>
      </c>
    </row>
    <row r="1644" spans="1:15" s="193" customFormat="1" outlineLevel="2">
      <c r="A1644" s="238"/>
      <c r="B1644" s="212" t="s">
        <v>943</v>
      </c>
      <c r="C1644" s="190" t="s">
        <v>123</v>
      </c>
      <c r="D1644" s="191"/>
      <c r="E1644" s="176"/>
      <c r="F1644" s="177"/>
      <c r="G1644" s="192"/>
      <c r="H1644" s="179"/>
      <c r="I1644" s="283" t="e">
        <f>IF(#REF!="",#REF!*#REF!,IF(#REF!=0,#REF!*#REF!,#REF!*#REF!*#REF!))</f>
        <v>#REF!</v>
      </c>
      <c r="J1644" s="180" t="e">
        <f>#REF!*#REF!</f>
        <v>#REF!</v>
      </c>
      <c r="K1644" s="178" t="e">
        <f>#REF!*mo</f>
        <v>#REF!</v>
      </c>
      <c r="L1644" s="178" t="e">
        <f t="shared" si="204"/>
        <v>#REF!</v>
      </c>
      <c r="M1644" s="178" t="e">
        <f>#REF!*#REF!</f>
        <v>#REF!</v>
      </c>
      <c r="N1644" s="178" t="e">
        <f>#REF!+K1644+#REF!</f>
        <v>#REF!</v>
      </c>
      <c r="O1644" s="181" t="e">
        <f t="shared" si="206"/>
        <v>#REF!</v>
      </c>
    </row>
    <row r="1645" spans="1:15" s="193" customFormat="1" outlineLevel="2">
      <c r="A1645" s="238"/>
      <c r="B1645" s="212" t="s">
        <v>868</v>
      </c>
      <c r="C1645" s="190" t="s">
        <v>123</v>
      </c>
      <c r="D1645" s="191"/>
      <c r="E1645" s="176"/>
      <c r="F1645" s="177"/>
      <c r="G1645" s="192"/>
      <c r="H1645" s="179"/>
      <c r="I1645" s="283" t="e">
        <f>IF(#REF!="",#REF!*#REF!,IF(#REF!=0,#REF!*#REF!,#REF!*#REF!*#REF!))</f>
        <v>#REF!</v>
      </c>
      <c r="J1645" s="180" t="e">
        <f>#REF!*#REF!</f>
        <v>#REF!</v>
      </c>
      <c r="K1645" s="178" t="e">
        <f>#REF!*mo</f>
        <v>#REF!</v>
      </c>
      <c r="L1645" s="178" t="e">
        <f t="shared" si="204"/>
        <v>#REF!</v>
      </c>
      <c r="M1645" s="178" t="e">
        <f>#REF!*#REF!</f>
        <v>#REF!</v>
      </c>
      <c r="N1645" s="178" t="e">
        <f>#REF!+K1645+#REF!</f>
        <v>#REF!</v>
      </c>
      <c r="O1645" s="181" t="e">
        <f t="shared" si="206"/>
        <v>#REF!</v>
      </c>
    </row>
    <row r="1646" spans="1:15" s="193" customFormat="1" outlineLevel="2">
      <c r="A1646" s="238"/>
      <c r="B1646" s="212" t="s">
        <v>869</v>
      </c>
      <c r="C1646" s="190" t="s">
        <v>123</v>
      </c>
      <c r="D1646" s="191"/>
      <c r="E1646" s="176"/>
      <c r="F1646" s="177"/>
      <c r="G1646" s="192"/>
      <c r="H1646" s="179"/>
      <c r="I1646" s="283" t="e">
        <f>IF(#REF!="",#REF!*#REF!,IF(#REF!=0,#REF!*#REF!,#REF!*#REF!*#REF!))</f>
        <v>#REF!</v>
      </c>
      <c r="J1646" s="180" t="e">
        <f>#REF!*#REF!</f>
        <v>#REF!</v>
      </c>
      <c r="K1646" s="178" t="e">
        <f>#REF!*mo</f>
        <v>#REF!</v>
      </c>
      <c r="L1646" s="178" t="e">
        <f t="shared" si="204"/>
        <v>#REF!</v>
      </c>
      <c r="M1646" s="178" t="e">
        <f>#REF!*#REF!</f>
        <v>#REF!</v>
      </c>
      <c r="N1646" s="178" t="e">
        <f>#REF!+K1646+#REF!</f>
        <v>#REF!</v>
      </c>
      <c r="O1646" s="181" t="e">
        <f t="shared" si="206"/>
        <v>#REF!</v>
      </c>
    </row>
    <row r="1647" spans="1:15" s="193" customFormat="1" outlineLevel="2">
      <c r="A1647" s="238"/>
      <c r="B1647" s="212" t="s">
        <v>870</v>
      </c>
      <c r="C1647" s="190" t="s">
        <v>123</v>
      </c>
      <c r="D1647" s="191"/>
      <c r="E1647" s="176"/>
      <c r="F1647" s="177"/>
      <c r="G1647" s="192"/>
      <c r="H1647" s="179"/>
      <c r="I1647" s="283" t="e">
        <f>IF(#REF!="",#REF!*#REF!,IF(#REF!=0,#REF!*#REF!,#REF!*#REF!*#REF!))</f>
        <v>#REF!</v>
      </c>
      <c r="J1647" s="180" t="e">
        <f>#REF!*#REF!</f>
        <v>#REF!</v>
      </c>
      <c r="K1647" s="178" t="e">
        <f>#REF!*mo</f>
        <v>#REF!</v>
      </c>
      <c r="L1647" s="178" t="e">
        <f t="shared" si="204"/>
        <v>#REF!</v>
      </c>
      <c r="M1647" s="178" t="e">
        <f>#REF!*#REF!</f>
        <v>#REF!</v>
      </c>
      <c r="N1647" s="178" t="e">
        <f>#REF!+K1647+#REF!</f>
        <v>#REF!</v>
      </c>
      <c r="O1647" s="181" t="e">
        <f t="shared" si="206"/>
        <v>#REF!</v>
      </c>
    </row>
    <row r="1648" spans="1:15" s="193" customFormat="1" outlineLevel="2">
      <c r="A1648" s="238"/>
      <c r="B1648" s="212" t="s">
        <v>871</v>
      </c>
      <c r="C1648" s="190" t="s">
        <v>123</v>
      </c>
      <c r="D1648" s="191"/>
      <c r="E1648" s="176"/>
      <c r="F1648" s="177"/>
      <c r="G1648" s="192"/>
      <c r="H1648" s="179"/>
      <c r="I1648" s="283" t="e">
        <f>IF(#REF!="",#REF!*#REF!,IF(#REF!=0,#REF!*#REF!,#REF!*#REF!*#REF!))</f>
        <v>#REF!</v>
      </c>
      <c r="J1648" s="180" t="e">
        <f>#REF!*#REF!</f>
        <v>#REF!</v>
      </c>
      <c r="K1648" s="178" t="e">
        <f>#REF!*mo</f>
        <v>#REF!</v>
      </c>
      <c r="L1648" s="178" t="e">
        <f t="shared" si="204"/>
        <v>#REF!</v>
      </c>
      <c r="M1648" s="178" t="e">
        <f>#REF!*#REF!</f>
        <v>#REF!</v>
      </c>
      <c r="N1648" s="178" t="e">
        <f>#REF!+K1648+#REF!</f>
        <v>#REF!</v>
      </c>
      <c r="O1648" s="181" t="e">
        <f t="shared" si="206"/>
        <v>#REF!</v>
      </c>
    </row>
    <row r="1649" spans="1:15" s="193" customFormat="1" outlineLevel="2">
      <c r="A1649" s="238"/>
      <c r="B1649" s="212" t="s">
        <v>1041</v>
      </c>
      <c r="C1649" s="190" t="s">
        <v>123</v>
      </c>
      <c r="D1649" s="191"/>
      <c r="E1649" s="176"/>
      <c r="F1649" s="177"/>
      <c r="G1649" s="192"/>
      <c r="H1649" s="179"/>
      <c r="I1649" s="283" t="e">
        <f>IF(#REF!="",#REF!*#REF!,IF(#REF!=0,#REF!*#REF!,#REF!*#REF!*#REF!))</f>
        <v>#REF!</v>
      </c>
      <c r="J1649" s="180" t="e">
        <f>#REF!*#REF!</f>
        <v>#REF!</v>
      </c>
      <c r="K1649" s="178" t="e">
        <f>#REF!*mo</f>
        <v>#REF!</v>
      </c>
      <c r="L1649" s="178" t="e">
        <f t="shared" si="204"/>
        <v>#REF!</v>
      </c>
      <c r="M1649" s="178" t="e">
        <f>#REF!*#REF!</f>
        <v>#REF!</v>
      </c>
      <c r="N1649" s="178" t="e">
        <f>#REF!+K1649+#REF!</f>
        <v>#REF!</v>
      </c>
      <c r="O1649" s="181" t="e">
        <f t="shared" si="206"/>
        <v>#REF!</v>
      </c>
    </row>
    <row r="1650" spans="1:15" s="193" customFormat="1" outlineLevel="2">
      <c r="A1650" s="238"/>
      <c r="B1650" s="234"/>
      <c r="C1650" s="190"/>
      <c r="D1650" s="191"/>
      <c r="E1650" s="176"/>
      <c r="F1650" s="177"/>
      <c r="G1650" s="192"/>
      <c r="H1650" s="179"/>
      <c r="I1650" s="283" t="e">
        <f>IF(#REF!="",#REF!*#REF!,IF(#REF!=0,#REF!*#REF!,#REF!*#REF!*#REF!))</f>
        <v>#REF!</v>
      </c>
      <c r="J1650" s="180" t="e">
        <f>#REF!*#REF!</f>
        <v>#REF!</v>
      </c>
      <c r="K1650" s="178" t="e">
        <f>#REF!*mo</f>
        <v>#REF!</v>
      </c>
      <c r="L1650" s="178" t="e">
        <f t="shared" si="204"/>
        <v>#REF!</v>
      </c>
      <c r="M1650" s="178" t="e">
        <f>#REF!*#REF!</f>
        <v>#REF!</v>
      </c>
      <c r="N1650" s="178" t="e">
        <f>#REF!+K1650+#REF!</f>
        <v>#REF!</v>
      </c>
      <c r="O1650" s="181" t="e">
        <f t="shared" si="206"/>
        <v>#REF!</v>
      </c>
    </row>
    <row r="1651" spans="1:15" s="193" customFormat="1" outlineLevel="2">
      <c r="A1651" s="238"/>
      <c r="B1651" s="236" t="s">
        <v>1039</v>
      </c>
      <c r="C1651" s="190"/>
      <c r="D1651" s="191"/>
      <c r="E1651" s="176"/>
      <c r="F1651" s="177"/>
      <c r="G1651" s="192"/>
      <c r="H1651" s="179"/>
      <c r="I1651" s="283" t="e">
        <f>IF(#REF!="",#REF!*#REF!,IF(#REF!=0,#REF!*#REF!,#REF!*#REF!*#REF!))</f>
        <v>#REF!</v>
      </c>
      <c r="J1651" s="180" t="e">
        <f>#REF!*#REF!</f>
        <v>#REF!</v>
      </c>
      <c r="K1651" s="178" t="e">
        <f>#REF!*mo</f>
        <v>#REF!</v>
      </c>
      <c r="L1651" s="178" t="e">
        <f t="shared" si="204"/>
        <v>#REF!</v>
      </c>
      <c r="M1651" s="178" t="e">
        <f>#REF!*#REF!</f>
        <v>#REF!</v>
      </c>
      <c r="N1651" s="178" t="e">
        <f>#REF!+K1651+#REF!</f>
        <v>#REF!</v>
      </c>
      <c r="O1651" s="181" t="e">
        <f t="shared" si="206"/>
        <v>#REF!</v>
      </c>
    </row>
    <row r="1652" spans="1:15" s="193" customFormat="1" outlineLevel="2">
      <c r="A1652" s="238"/>
      <c r="B1652" s="212" t="s">
        <v>940</v>
      </c>
      <c r="C1652" s="190" t="s">
        <v>123</v>
      </c>
      <c r="D1652" s="191"/>
      <c r="E1652" s="176"/>
      <c r="F1652" s="177"/>
      <c r="G1652" s="192"/>
      <c r="H1652" s="179"/>
      <c r="I1652" s="283" t="e">
        <f>IF(#REF!="",#REF!*#REF!,IF(#REF!=0,#REF!*#REF!,#REF!*#REF!*#REF!))</f>
        <v>#REF!</v>
      </c>
      <c r="J1652" s="180" t="e">
        <f>#REF!*#REF!</f>
        <v>#REF!</v>
      </c>
      <c r="K1652" s="178" t="e">
        <f>#REF!*mo</f>
        <v>#REF!</v>
      </c>
      <c r="L1652" s="178" t="e">
        <f t="shared" si="204"/>
        <v>#REF!</v>
      </c>
      <c r="M1652" s="178" t="e">
        <f>#REF!*#REF!</f>
        <v>#REF!</v>
      </c>
      <c r="N1652" s="178" t="e">
        <f>#REF!+K1652+#REF!</f>
        <v>#REF!</v>
      </c>
      <c r="O1652" s="181" t="e">
        <f t="shared" si="206"/>
        <v>#REF!</v>
      </c>
    </row>
    <row r="1653" spans="1:15" s="193" customFormat="1" outlineLevel="2">
      <c r="A1653" s="238"/>
      <c r="B1653" s="212" t="s">
        <v>1049</v>
      </c>
      <c r="C1653" s="190" t="s">
        <v>123</v>
      </c>
      <c r="D1653" s="191"/>
      <c r="E1653" s="176"/>
      <c r="F1653" s="177"/>
      <c r="G1653" s="192"/>
      <c r="H1653" s="179"/>
      <c r="I1653" s="283" t="e">
        <f>IF(#REF!="",#REF!*#REF!,IF(#REF!=0,#REF!*#REF!,#REF!*#REF!*#REF!))</f>
        <v>#REF!</v>
      </c>
      <c r="J1653" s="180" t="e">
        <f>#REF!*#REF!</f>
        <v>#REF!</v>
      </c>
      <c r="K1653" s="178" t="e">
        <f>#REF!*mo</f>
        <v>#REF!</v>
      </c>
      <c r="L1653" s="178" t="e">
        <f t="shared" si="204"/>
        <v>#REF!</v>
      </c>
      <c r="M1653" s="178" t="e">
        <f>#REF!*#REF!</f>
        <v>#REF!</v>
      </c>
      <c r="N1653" s="178" t="e">
        <f>#REF!+K1653+#REF!</f>
        <v>#REF!</v>
      </c>
      <c r="O1653" s="181" t="e">
        <f t="shared" si="206"/>
        <v>#REF!</v>
      </c>
    </row>
    <row r="1654" spans="1:15" s="193" customFormat="1" outlineLevel="2">
      <c r="A1654" s="238"/>
      <c r="B1654" s="212" t="s">
        <v>1050</v>
      </c>
      <c r="C1654" s="190" t="s">
        <v>123</v>
      </c>
      <c r="D1654" s="191"/>
      <c r="E1654" s="176"/>
      <c r="F1654" s="177"/>
      <c r="G1654" s="192"/>
      <c r="H1654" s="179"/>
      <c r="I1654" s="283" t="e">
        <f>IF(#REF!="",#REF!*#REF!,IF(#REF!=0,#REF!*#REF!,#REF!*#REF!*#REF!))</f>
        <v>#REF!</v>
      </c>
      <c r="J1654" s="180" t="e">
        <f>#REF!*#REF!</f>
        <v>#REF!</v>
      </c>
      <c r="K1654" s="178" t="e">
        <f>#REF!*mo</f>
        <v>#REF!</v>
      </c>
      <c r="L1654" s="178" t="e">
        <f t="shared" si="204"/>
        <v>#REF!</v>
      </c>
      <c r="M1654" s="178" t="e">
        <f>#REF!*#REF!</f>
        <v>#REF!</v>
      </c>
      <c r="N1654" s="178" t="e">
        <f>#REF!+K1654+#REF!</f>
        <v>#REF!</v>
      </c>
      <c r="O1654" s="181" t="e">
        <f t="shared" si="206"/>
        <v>#REF!</v>
      </c>
    </row>
    <row r="1655" spans="1:15" s="193" customFormat="1" outlineLevel="2">
      <c r="A1655" s="238"/>
      <c r="B1655" s="212" t="s">
        <v>943</v>
      </c>
      <c r="C1655" s="190" t="s">
        <v>123</v>
      </c>
      <c r="D1655" s="191"/>
      <c r="E1655" s="176"/>
      <c r="F1655" s="177"/>
      <c r="G1655" s="192"/>
      <c r="H1655" s="179"/>
      <c r="I1655" s="283" t="e">
        <f>IF(#REF!="",#REF!*#REF!,IF(#REF!=0,#REF!*#REF!,#REF!*#REF!*#REF!))</f>
        <v>#REF!</v>
      </c>
      <c r="J1655" s="180" t="e">
        <f>#REF!*#REF!</f>
        <v>#REF!</v>
      </c>
      <c r="K1655" s="178" t="e">
        <f>#REF!*mo</f>
        <v>#REF!</v>
      </c>
      <c r="L1655" s="178" t="e">
        <f t="shared" si="204"/>
        <v>#REF!</v>
      </c>
      <c r="M1655" s="178" t="e">
        <f>#REF!*#REF!</f>
        <v>#REF!</v>
      </c>
      <c r="N1655" s="178" t="e">
        <f>#REF!+K1655+#REF!</f>
        <v>#REF!</v>
      </c>
      <c r="O1655" s="181" t="e">
        <f t="shared" si="206"/>
        <v>#REF!</v>
      </c>
    </row>
    <row r="1656" spans="1:15" s="193" customFormat="1" outlineLevel="2">
      <c r="A1656" s="238"/>
      <c r="B1656" s="212" t="s">
        <v>868</v>
      </c>
      <c r="C1656" s="190" t="s">
        <v>123</v>
      </c>
      <c r="D1656" s="191"/>
      <c r="E1656" s="176"/>
      <c r="F1656" s="177"/>
      <c r="G1656" s="192"/>
      <c r="H1656" s="179"/>
      <c r="I1656" s="283" t="e">
        <f>IF(#REF!="",#REF!*#REF!,IF(#REF!=0,#REF!*#REF!,#REF!*#REF!*#REF!))</f>
        <v>#REF!</v>
      </c>
      <c r="J1656" s="180" t="e">
        <f>#REF!*#REF!</f>
        <v>#REF!</v>
      </c>
      <c r="K1656" s="178" t="e">
        <f>#REF!*mo</f>
        <v>#REF!</v>
      </c>
      <c r="L1656" s="178" t="e">
        <f t="shared" si="204"/>
        <v>#REF!</v>
      </c>
      <c r="M1656" s="178" t="e">
        <f>#REF!*#REF!</f>
        <v>#REF!</v>
      </c>
      <c r="N1656" s="178" t="e">
        <f>#REF!+K1656+#REF!</f>
        <v>#REF!</v>
      </c>
      <c r="O1656" s="181" t="e">
        <f t="shared" si="206"/>
        <v>#REF!</v>
      </c>
    </row>
    <row r="1657" spans="1:15" s="193" customFormat="1" outlineLevel="2">
      <c r="A1657" s="238"/>
      <c r="B1657" s="212" t="s">
        <v>869</v>
      </c>
      <c r="C1657" s="190" t="s">
        <v>123</v>
      </c>
      <c r="D1657" s="191"/>
      <c r="E1657" s="176"/>
      <c r="F1657" s="177"/>
      <c r="G1657" s="192"/>
      <c r="H1657" s="179"/>
      <c r="I1657" s="283" t="e">
        <f>IF(#REF!="",#REF!*#REF!,IF(#REF!=0,#REF!*#REF!,#REF!*#REF!*#REF!))</f>
        <v>#REF!</v>
      </c>
      <c r="J1657" s="180" t="e">
        <f>#REF!*#REF!</f>
        <v>#REF!</v>
      </c>
      <c r="K1657" s="178" t="e">
        <f>#REF!*mo</f>
        <v>#REF!</v>
      </c>
      <c r="L1657" s="178" t="e">
        <f t="shared" si="204"/>
        <v>#REF!</v>
      </c>
      <c r="M1657" s="178" t="e">
        <f>#REF!*#REF!</f>
        <v>#REF!</v>
      </c>
      <c r="N1657" s="178" t="e">
        <f>#REF!+K1657+#REF!</f>
        <v>#REF!</v>
      </c>
      <c r="O1657" s="181" t="e">
        <f t="shared" si="206"/>
        <v>#REF!</v>
      </c>
    </row>
    <row r="1658" spans="1:15" s="193" customFormat="1" outlineLevel="2">
      <c r="A1658" s="238"/>
      <c r="B1658" s="212" t="s">
        <v>870</v>
      </c>
      <c r="C1658" s="190" t="s">
        <v>123</v>
      </c>
      <c r="D1658" s="191"/>
      <c r="E1658" s="176"/>
      <c r="F1658" s="177"/>
      <c r="G1658" s="192"/>
      <c r="H1658" s="179"/>
      <c r="I1658" s="283" t="e">
        <f>IF(#REF!="",#REF!*#REF!,IF(#REF!=0,#REF!*#REF!,#REF!*#REF!*#REF!))</f>
        <v>#REF!</v>
      </c>
      <c r="J1658" s="180" t="e">
        <f>#REF!*#REF!</f>
        <v>#REF!</v>
      </c>
      <c r="K1658" s="178" t="e">
        <f>#REF!*mo</f>
        <v>#REF!</v>
      </c>
      <c r="L1658" s="178" t="e">
        <f t="shared" si="204"/>
        <v>#REF!</v>
      </c>
      <c r="M1658" s="178" t="e">
        <f>#REF!*#REF!</f>
        <v>#REF!</v>
      </c>
      <c r="N1658" s="178" t="e">
        <f>#REF!+K1658+#REF!</f>
        <v>#REF!</v>
      </c>
      <c r="O1658" s="181" t="e">
        <f t="shared" si="206"/>
        <v>#REF!</v>
      </c>
    </row>
    <row r="1659" spans="1:15" s="193" customFormat="1" outlineLevel="2">
      <c r="A1659" s="238"/>
      <c r="B1659" s="212" t="s">
        <v>871</v>
      </c>
      <c r="C1659" s="190" t="s">
        <v>123</v>
      </c>
      <c r="D1659" s="191"/>
      <c r="E1659" s="176"/>
      <c r="F1659" s="177"/>
      <c r="G1659" s="192"/>
      <c r="H1659" s="179"/>
      <c r="I1659" s="283" t="e">
        <f>IF(#REF!="",#REF!*#REF!,IF(#REF!=0,#REF!*#REF!,#REF!*#REF!*#REF!))</f>
        <v>#REF!</v>
      </c>
      <c r="J1659" s="180" t="e">
        <f>#REF!*#REF!</f>
        <v>#REF!</v>
      </c>
      <c r="K1659" s="178" t="e">
        <f>#REF!*mo</f>
        <v>#REF!</v>
      </c>
      <c r="L1659" s="178" t="e">
        <f t="shared" si="204"/>
        <v>#REF!</v>
      </c>
      <c r="M1659" s="178" t="e">
        <f>#REF!*#REF!</f>
        <v>#REF!</v>
      </c>
      <c r="N1659" s="178" t="e">
        <f>#REF!+K1659+#REF!</f>
        <v>#REF!</v>
      </c>
      <c r="O1659" s="181" t="e">
        <f t="shared" si="206"/>
        <v>#REF!</v>
      </c>
    </row>
    <row r="1660" spans="1:15" s="193" customFormat="1" outlineLevel="2">
      <c r="A1660" s="238"/>
      <c r="B1660" s="212" t="s">
        <v>1041</v>
      </c>
      <c r="C1660" s="190" t="s">
        <v>123</v>
      </c>
      <c r="D1660" s="191"/>
      <c r="E1660" s="176"/>
      <c r="F1660" s="177"/>
      <c r="G1660" s="192"/>
      <c r="H1660" s="179"/>
      <c r="I1660" s="283" t="e">
        <f>IF(#REF!="",#REF!*#REF!,IF(#REF!=0,#REF!*#REF!,#REF!*#REF!*#REF!))</f>
        <v>#REF!</v>
      </c>
      <c r="J1660" s="180" t="e">
        <f>#REF!*#REF!</f>
        <v>#REF!</v>
      </c>
      <c r="K1660" s="178" t="e">
        <f>#REF!*mo</f>
        <v>#REF!</v>
      </c>
      <c r="L1660" s="178" t="e">
        <f t="shared" si="204"/>
        <v>#REF!</v>
      </c>
      <c r="M1660" s="178" t="e">
        <f>#REF!*#REF!</f>
        <v>#REF!</v>
      </c>
      <c r="N1660" s="178" t="e">
        <f>#REF!+K1660+#REF!</f>
        <v>#REF!</v>
      </c>
      <c r="O1660" s="181" t="e">
        <f t="shared" si="206"/>
        <v>#REF!</v>
      </c>
    </row>
    <row r="1661" spans="1:15" s="193" customFormat="1" ht="12" customHeight="1" outlineLevel="2">
      <c r="A1661" s="238"/>
      <c r="B1661" s="234"/>
      <c r="C1661" s="190"/>
      <c r="D1661" s="191"/>
      <c r="E1661" s="176"/>
      <c r="F1661" s="177"/>
      <c r="G1661" s="192"/>
      <c r="H1661" s="179"/>
      <c r="I1661" s="283" t="e">
        <f>IF(#REF!="",#REF!*#REF!,IF(#REF!=0,#REF!*#REF!,#REF!*#REF!*#REF!))</f>
        <v>#REF!</v>
      </c>
      <c r="J1661" s="180" t="e">
        <f>#REF!*#REF!</f>
        <v>#REF!</v>
      </c>
      <c r="K1661" s="178" t="e">
        <f>#REF!*mo</f>
        <v>#REF!</v>
      </c>
      <c r="L1661" s="178" t="e">
        <f t="shared" si="204"/>
        <v>#REF!</v>
      </c>
      <c r="M1661" s="178" t="e">
        <f>#REF!*#REF!</f>
        <v>#REF!</v>
      </c>
      <c r="N1661" s="178" t="e">
        <f>#REF!+K1661+#REF!</f>
        <v>#REF!</v>
      </c>
      <c r="O1661" s="181" t="e">
        <f t="shared" si="206"/>
        <v>#REF!</v>
      </c>
    </row>
    <row r="1662" spans="1:15" s="193" customFormat="1" outlineLevel="2">
      <c r="A1662" s="238"/>
      <c r="B1662" s="212" t="s">
        <v>1023</v>
      </c>
      <c r="C1662" s="190" t="s">
        <v>123</v>
      </c>
      <c r="D1662" s="191"/>
      <c r="E1662" s="176"/>
      <c r="F1662" s="177"/>
      <c r="G1662" s="192"/>
      <c r="H1662" s="179"/>
      <c r="I1662" s="283" t="e">
        <f>IF(#REF!="",#REF!*#REF!,IF(#REF!=0,#REF!*#REF!,#REF!*#REF!*#REF!))</f>
        <v>#REF!</v>
      </c>
      <c r="J1662" s="180" t="e">
        <f>#REF!*#REF!</f>
        <v>#REF!</v>
      </c>
      <c r="K1662" s="178" t="e">
        <f>#REF!*mo</f>
        <v>#REF!</v>
      </c>
      <c r="L1662" s="178" t="e">
        <f t="shared" si="204"/>
        <v>#REF!</v>
      </c>
      <c r="M1662" s="178" t="e">
        <f>#REF!*#REF!</f>
        <v>#REF!</v>
      </c>
      <c r="N1662" s="178" t="e">
        <f>#REF!+K1662+#REF!</f>
        <v>#REF!</v>
      </c>
      <c r="O1662" s="181" t="e">
        <f t="shared" si="206"/>
        <v>#REF!</v>
      </c>
    </row>
    <row r="1663" spans="1:15" s="193" customFormat="1" outlineLevel="2">
      <c r="A1663" s="155"/>
      <c r="B1663" s="156"/>
      <c r="C1663" s="190"/>
      <c r="D1663" s="191"/>
      <c r="E1663" s="176"/>
      <c r="F1663" s="177"/>
      <c r="G1663" s="192"/>
      <c r="H1663" s="179"/>
      <c r="I1663" s="283" t="e">
        <f>IF(#REF!="",#REF!*#REF!,IF(#REF!=0,#REF!*#REF!,#REF!*#REF!*#REF!))</f>
        <v>#REF!</v>
      </c>
      <c r="J1663" s="180" t="e">
        <f>#REF!*#REF!</f>
        <v>#REF!</v>
      </c>
      <c r="K1663" s="178" t="e">
        <f>#REF!*mo</f>
        <v>#REF!</v>
      </c>
      <c r="L1663" s="178" t="e">
        <f t="shared" si="204"/>
        <v>#REF!</v>
      </c>
      <c r="M1663" s="178" t="e">
        <f>#REF!*#REF!</f>
        <v>#REF!</v>
      </c>
      <c r="N1663" s="178" t="e">
        <f>#REF!+K1663+#REF!</f>
        <v>#REF!</v>
      </c>
      <c r="O1663" s="181" t="e">
        <f t="shared" si="206"/>
        <v>#REF!</v>
      </c>
    </row>
    <row r="1664" spans="1:15" s="193" customFormat="1" outlineLevel="2">
      <c r="A1664" s="238"/>
      <c r="B1664" s="237"/>
      <c r="C1664" s="190"/>
      <c r="D1664" s="191"/>
      <c r="E1664" s="176"/>
      <c r="F1664" s="177"/>
      <c r="G1664" s="192"/>
      <c r="H1664" s="179"/>
      <c r="I1664" s="283" t="e">
        <f>IF(#REF!="",#REF!*#REF!,IF(#REF!=0,#REF!*#REF!,#REF!*#REF!*#REF!))</f>
        <v>#REF!</v>
      </c>
      <c r="J1664" s="180" t="e">
        <f>#REF!*#REF!</f>
        <v>#REF!</v>
      </c>
      <c r="K1664" s="178" t="e">
        <f>#REF!*mo</f>
        <v>#REF!</v>
      </c>
      <c r="L1664" s="178" t="e">
        <f t="shared" si="202"/>
        <v>#REF!</v>
      </c>
      <c r="M1664" s="178" t="e">
        <f>#REF!*#REF!</f>
        <v>#REF!</v>
      </c>
      <c r="N1664" s="178" t="e">
        <f>#REF!+K1664+#REF!</f>
        <v>#REF!</v>
      </c>
      <c r="O1664" s="181" t="e">
        <f t="shared" si="206"/>
        <v>#REF!</v>
      </c>
    </row>
    <row r="1665" spans="1:15" s="193" customFormat="1" outlineLevel="1">
      <c r="A1665" s="240" t="str">
        <f>$A$725&amp;".2"</f>
        <v>.2</v>
      </c>
      <c r="B1665" s="210" t="s">
        <v>1061</v>
      </c>
      <c r="C1665" s="190"/>
      <c r="D1665" s="191"/>
      <c r="E1665" s="176"/>
      <c r="F1665" s="177"/>
      <c r="G1665" s="192">
        <f>SUM(F1666:F1692)</f>
        <v>0</v>
      </c>
      <c r="H1665" s="179"/>
      <c r="I1665" s="283" t="e">
        <f>IF(#REF!="",#REF!*#REF!,IF(#REF!=0,#REF!*#REF!,#REF!*#REF!*#REF!))</f>
        <v>#REF!</v>
      </c>
      <c r="J1665" s="180" t="e">
        <f>#REF!*#REF!</f>
        <v>#REF!</v>
      </c>
      <c r="K1665" s="178" t="e">
        <f>#REF!*mo</f>
        <v>#REF!</v>
      </c>
      <c r="L1665" s="178" t="e">
        <f t="shared" si="202"/>
        <v>#REF!</v>
      </c>
      <c r="M1665" s="178" t="e">
        <f>#REF!*#REF!</f>
        <v>#REF!</v>
      </c>
      <c r="N1665" s="178" t="e">
        <f>#REF!+K1665+#REF!</f>
        <v>#REF!</v>
      </c>
      <c r="O1665" s="181" t="e">
        <f t="shared" si="206"/>
        <v>#REF!</v>
      </c>
    </row>
    <row r="1666" spans="1:15" s="193" customFormat="1" outlineLevel="2">
      <c r="A1666" s="240"/>
      <c r="B1666" s="233"/>
      <c r="C1666" s="190"/>
      <c r="D1666" s="191"/>
      <c r="E1666" s="176"/>
      <c r="F1666" s="177"/>
      <c r="G1666" s="192"/>
      <c r="H1666" s="179"/>
      <c r="I1666" s="283" t="e">
        <f>IF(#REF!="",#REF!*#REF!,IF(#REF!=0,#REF!*#REF!,#REF!*#REF!*#REF!))</f>
        <v>#REF!</v>
      </c>
      <c r="J1666" s="180" t="e">
        <f>#REF!*#REF!</f>
        <v>#REF!</v>
      </c>
      <c r="K1666" s="178" t="e">
        <f>#REF!*mo</f>
        <v>#REF!</v>
      </c>
      <c r="L1666" s="178" t="e">
        <f t="shared" si="202"/>
        <v>#REF!</v>
      </c>
      <c r="M1666" s="178" t="e">
        <f>#REF!*#REF!</f>
        <v>#REF!</v>
      </c>
      <c r="N1666" s="178" t="e">
        <f>#REF!+K1666+#REF!</f>
        <v>#REF!</v>
      </c>
      <c r="O1666" s="181" t="e">
        <f t="shared" si="206"/>
        <v>#REF!</v>
      </c>
    </row>
    <row r="1667" spans="1:15" s="193" customFormat="1" outlineLevel="2">
      <c r="A1667" s="238"/>
      <c r="B1667" s="236" t="s">
        <v>1002</v>
      </c>
      <c r="C1667" s="190"/>
      <c r="D1667" s="191"/>
      <c r="E1667" s="176"/>
      <c r="F1667" s="177"/>
      <c r="G1667" s="192"/>
      <c r="H1667" s="179"/>
      <c r="I1667" s="283" t="e">
        <f>IF(#REF!="",#REF!*#REF!,IF(#REF!=0,#REF!*#REF!,#REF!*#REF!*#REF!))</f>
        <v>#REF!</v>
      </c>
      <c r="J1667" s="180" t="e">
        <f>#REF!*#REF!</f>
        <v>#REF!</v>
      </c>
      <c r="K1667" s="178" t="e">
        <f>#REF!*mo</f>
        <v>#REF!</v>
      </c>
      <c r="L1667" s="178" t="e">
        <f t="shared" si="202"/>
        <v>#REF!</v>
      </c>
      <c r="M1667" s="178" t="e">
        <f>#REF!*#REF!</f>
        <v>#REF!</v>
      </c>
      <c r="N1667" s="178" t="e">
        <f>#REF!+K1667+#REF!</f>
        <v>#REF!</v>
      </c>
      <c r="O1667" s="181" t="e">
        <f t="shared" si="206"/>
        <v>#REF!</v>
      </c>
    </row>
    <row r="1668" spans="1:15" s="193" customFormat="1" outlineLevel="2">
      <c r="A1668" s="238"/>
      <c r="B1668" s="212" t="s">
        <v>874</v>
      </c>
      <c r="C1668" s="190" t="s">
        <v>123</v>
      </c>
      <c r="D1668" s="191"/>
      <c r="E1668" s="176"/>
      <c r="F1668" s="177"/>
      <c r="G1668" s="192"/>
      <c r="H1668" s="179"/>
      <c r="I1668" s="283" t="e">
        <f>IF(#REF!="",#REF!*#REF!,IF(#REF!=0,#REF!*#REF!,#REF!*#REF!*#REF!))</f>
        <v>#REF!</v>
      </c>
      <c r="J1668" s="180" t="e">
        <f>#REF!*#REF!</f>
        <v>#REF!</v>
      </c>
      <c r="K1668" s="178" t="e">
        <f>#REF!*mo</f>
        <v>#REF!</v>
      </c>
      <c r="L1668" s="178" t="e">
        <f t="shared" si="202"/>
        <v>#REF!</v>
      </c>
      <c r="M1668" s="178" t="e">
        <f>#REF!*#REF!</f>
        <v>#REF!</v>
      </c>
      <c r="N1668" s="178" t="e">
        <f>#REF!+K1668+#REF!</f>
        <v>#REF!</v>
      </c>
      <c r="O1668" s="181" t="e">
        <f t="shared" si="206"/>
        <v>#REF!</v>
      </c>
    </row>
    <row r="1669" spans="1:15" s="193" customFormat="1" outlineLevel="2">
      <c r="A1669" s="238"/>
      <c r="B1669" s="212" t="s">
        <v>875</v>
      </c>
      <c r="C1669" s="190" t="s">
        <v>123</v>
      </c>
      <c r="D1669" s="191"/>
      <c r="E1669" s="176"/>
      <c r="F1669" s="177"/>
      <c r="G1669" s="192"/>
      <c r="H1669" s="179"/>
      <c r="I1669" s="283" t="e">
        <f>IF(#REF!="",#REF!*#REF!,IF(#REF!=0,#REF!*#REF!,#REF!*#REF!*#REF!))</f>
        <v>#REF!</v>
      </c>
      <c r="J1669" s="180" t="e">
        <f>#REF!*#REF!</f>
        <v>#REF!</v>
      </c>
      <c r="K1669" s="178" t="e">
        <f>#REF!*mo</f>
        <v>#REF!</v>
      </c>
      <c r="L1669" s="178" t="e">
        <f t="shared" si="202"/>
        <v>#REF!</v>
      </c>
      <c r="M1669" s="178" t="e">
        <f>#REF!*#REF!</f>
        <v>#REF!</v>
      </c>
      <c r="N1669" s="178" t="e">
        <f>#REF!+K1669+#REF!</f>
        <v>#REF!</v>
      </c>
      <c r="O1669" s="181" t="e">
        <f t="shared" si="206"/>
        <v>#REF!</v>
      </c>
    </row>
    <row r="1670" spans="1:15" s="193" customFormat="1" outlineLevel="2">
      <c r="A1670" s="238"/>
      <c r="B1670" s="212" t="s">
        <v>876</v>
      </c>
      <c r="C1670" s="190" t="s">
        <v>123</v>
      </c>
      <c r="D1670" s="191"/>
      <c r="E1670" s="176"/>
      <c r="F1670" s="177"/>
      <c r="G1670" s="192"/>
      <c r="H1670" s="179"/>
      <c r="I1670" s="283" t="e">
        <f>IF(#REF!="",#REF!*#REF!,IF(#REF!=0,#REF!*#REF!,#REF!*#REF!*#REF!))</f>
        <v>#REF!</v>
      </c>
      <c r="J1670" s="180" t="e">
        <f>#REF!*#REF!</f>
        <v>#REF!</v>
      </c>
      <c r="K1670" s="178" t="e">
        <f>#REF!*mo</f>
        <v>#REF!</v>
      </c>
      <c r="L1670" s="178" t="e">
        <f t="shared" si="202"/>
        <v>#REF!</v>
      </c>
      <c r="M1670" s="178" t="e">
        <f>#REF!*#REF!</f>
        <v>#REF!</v>
      </c>
      <c r="N1670" s="178" t="e">
        <f>#REF!+K1670+#REF!</f>
        <v>#REF!</v>
      </c>
      <c r="O1670" s="181" t="e">
        <f t="shared" si="206"/>
        <v>#REF!</v>
      </c>
    </row>
    <row r="1671" spans="1:15" s="193" customFormat="1" outlineLevel="2">
      <c r="A1671" s="238"/>
      <c r="B1671" s="212" t="s">
        <v>877</v>
      </c>
      <c r="C1671" s="190" t="s">
        <v>123</v>
      </c>
      <c r="D1671" s="191"/>
      <c r="E1671" s="176"/>
      <c r="F1671" s="177"/>
      <c r="G1671" s="192"/>
      <c r="H1671" s="179"/>
      <c r="I1671" s="283" t="e">
        <f>IF(#REF!="",#REF!*#REF!,IF(#REF!=0,#REF!*#REF!,#REF!*#REF!*#REF!))</f>
        <v>#REF!</v>
      </c>
      <c r="J1671" s="180" t="e">
        <f>#REF!*#REF!</f>
        <v>#REF!</v>
      </c>
      <c r="K1671" s="178" t="e">
        <f>#REF!*mo</f>
        <v>#REF!</v>
      </c>
      <c r="L1671" s="178" t="e">
        <f t="shared" si="202"/>
        <v>#REF!</v>
      </c>
      <c r="M1671" s="178" t="e">
        <f>#REF!*#REF!</f>
        <v>#REF!</v>
      </c>
      <c r="N1671" s="178" t="e">
        <f>#REF!+K1671+#REF!</f>
        <v>#REF!</v>
      </c>
      <c r="O1671" s="181" t="e">
        <f t="shared" si="206"/>
        <v>#REF!</v>
      </c>
    </row>
    <row r="1672" spans="1:15" s="193" customFormat="1" outlineLevel="2">
      <c r="A1672" s="238"/>
      <c r="B1672" s="212" t="s">
        <v>878</v>
      </c>
      <c r="C1672" s="190" t="s">
        <v>123</v>
      </c>
      <c r="D1672" s="191"/>
      <c r="E1672" s="176"/>
      <c r="F1672" s="177"/>
      <c r="G1672" s="192"/>
      <c r="H1672" s="179"/>
      <c r="I1672" s="283" t="e">
        <f>IF(#REF!="",#REF!*#REF!,IF(#REF!=0,#REF!*#REF!,#REF!*#REF!*#REF!))</f>
        <v>#REF!</v>
      </c>
      <c r="J1672" s="180" t="e">
        <f>#REF!*#REF!</f>
        <v>#REF!</v>
      </c>
      <c r="K1672" s="178" t="e">
        <f>#REF!*mo</f>
        <v>#REF!</v>
      </c>
      <c r="L1672" s="178" t="e">
        <f t="shared" si="202"/>
        <v>#REF!</v>
      </c>
      <c r="M1672" s="178" t="e">
        <f>#REF!*#REF!</f>
        <v>#REF!</v>
      </c>
      <c r="N1672" s="178" t="e">
        <f>#REF!+K1672+#REF!</f>
        <v>#REF!</v>
      </c>
      <c r="O1672" s="181" t="e">
        <f t="shared" si="206"/>
        <v>#REF!</v>
      </c>
    </row>
    <row r="1673" spans="1:15" s="193" customFormat="1" outlineLevel="2">
      <c r="A1673" s="238"/>
      <c r="B1673" s="212" t="s">
        <v>879</v>
      </c>
      <c r="C1673" s="190" t="s">
        <v>123</v>
      </c>
      <c r="D1673" s="191"/>
      <c r="E1673" s="176"/>
      <c r="F1673" s="177"/>
      <c r="G1673" s="192"/>
      <c r="H1673" s="179"/>
      <c r="I1673" s="283" t="e">
        <f>IF(#REF!="",#REF!*#REF!,IF(#REF!=0,#REF!*#REF!,#REF!*#REF!*#REF!))</f>
        <v>#REF!</v>
      </c>
      <c r="J1673" s="180" t="e">
        <f>#REF!*#REF!</f>
        <v>#REF!</v>
      </c>
      <c r="K1673" s="178" t="e">
        <f>#REF!*mo</f>
        <v>#REF!</v>
      </c>
      <c r="L1673" s="178" t="e">
        <f t="shared" si="202"/>
        <v>#REF!</v>
      </c>
      <c r="M1673" s="178" t="e">
        <f>#REF!*#REF!</f>
        <v>#REF!</v>
      </c>
      <c r="N1673" s="178" t="e">
        <f>#REF!+K1673+#REF!</f>
        <v>#REF!</v>
      </c>
      <c r="O1673" s="181" t="e">
        <f t="shared" si="206"/>
        <v>#REF!</v>
      </c>
    </row>
    <row r="1674" spans="1:15" s="193" customFormat="1" outlineLevel="2">
      <c r="A1674" s="238"/>
      <c r="B1674" s="212"/>
      <c r="C1674" s="190"/>
      <c r="D1674" s="191"/>
      <c r="E1674" s="176"/>
      <c r="F1674" s="177"/>
      <c r="G1674" s="192"/>
      <c r="H1674" s="179"/>
      <c r="I1674" s="283" t="e">
        <f>IF(#REF!="",#REF!*#REF!,IF(#REF!=0,#REF!*#REF!,#REF!*#REF!*#REF!))</f>
        <v>#REF!</v>
      </c>
      <c r="J1674" s="180" t="e">
        <f>#REF!*#REF!</f>
        <v>#REF!</v>
      </c>
      <c r="K1674" s="178" t="e">
        <f>#REF!*mo</f>
        <v>#REF!</v>
      </c>
      <c r="L1674" s="178" t="e">
        <f t="shared" si="202"/>
        <v>#REF!</v>
      </c>
      <c r="M1674" s="178" t="e">
        <f>#REF!*#REF!</f>
        <v>#REF!</v>
      </c>
      <c r="N1674" s="178" t="e">
        <f>#REF!+K1674+#REF!</f>
        <v>#REF!</v>
      </c>
      <c r="O1674" s="181" t="e">
        <f t="shared" si="206"/>
        <v>#REF!</v>
      </c>
    </row>
    <row r="1675" spans="1:15" s="193" customFormat="1" outlineLevel="2">
      <c r="A1675" s="238"/>
      <c r="B1675" s="236" t="s">
        <v>1062</v>
      </c>
      <c r="C1675" s="190"/>
      <c r="D1675" s="191"/>
      <c r="E1675" s="176"/>
      <c r="F1675" s="177"/>
      <c r="G1675" s="192"/>
      <c r="H1675" s="179"/>
      <c r="I1675" s="283" t="e">
        <f>IF(#REF!="",#REF!*#REF!,IF(#REF!=0,#REF!*#REF!,#REF!*#REF!*#REF!))</f>
        <v>#REF!</v>
      </c>
      <c r="J1675" s="180" t="e">
        <f>#REF!*#REF!</f>
        <v>#REF!</v>
      </c>
      <c r="K1675" s="178" t="e">
        <f>#REF!*mo</f>
        <v>#REF!</v>
      </c>
      <c r="L1675" s="178" t="e">
        <f t="shared" si="202"/>
        <v>#REF!</v>
      </c>
      <c r="M1675" s="178" t="e">
        <f>#REF!*#REF!</f>
        <v>#REF!</v>
      </c>
      <c r="N1675" s="178" t="e">
        <f>#REF!+K1675+#REF!</f>
        <v>#REF!</v>
      </c>
      <c r="O1675" s="181" t="e">
        <f t="shared" si="206"/>
        <v>#REF!</v>
      </c>
    </row>
    <row r="1676" spans="1:15" s="193" customFormat="1" outlineLevel="2">
      <c r="A1676" s="238"/>
      <c r="B1676" s="212" t="s">
        <v>996</v>
      </c>
      <c r="C1676" s="190"/>
      <c r="D1676" s="191"/>
      <c r="E1676" s="176"/>
      <c r="F1676" s="177"/>
      <c r="G1676" s="192"/>
      <c r="H1676" s="179"/>
      <c r="I1676" s="283"/>
      <c r="J1676" s="180"/>
      <c r="K1676" s="178"/>
      <c r="L1676" s="178"/>
      <c r="M1676" s="178"/>
      <c r="N1676" s="178"/>
      <c r="O1676" s="181"/>
    </row>
    <row r="1677" spans="1:15" s="193" customFormat="1" outlineLevel="2">
      <c r="A1677" s="238"/>
      <c r="B1677" s="212" t="s">
        <v>997</v>
      </c>
      <c r="C1677" s="190" t="s">
        <v>123</v>
      </c>
      <c r="D1677" s="191"/>
      <c r="E1677" s="176"/>
      <c r="F1677" s="177"/>
      <c r="G1677" s="192"/>
      <c r="H1677" s="179"/>
      <c r="I1677" s="283" t="e">
        <f>IF(#REF!="",#REF!*#REF!,IF(#REF!=0,#REF!*#REF!,#REF!*#REF!*#REF!))</f>
        <v>#REF!</v>
      </c>
      <c r="J1677" s="180" t="e">
        <f>#REF!*#REF!</f>
        <v>#REF!</v>
      </c>
      <c r="K1677" s="178" t="e">
        <f>#REF!*mo</f>
        <v>#REF!</v>
      </c>
      <c r="L1677" s="178" t="e">
        <f t="shared" si="202"/>
        <v>#REF!</v>
      </c>
      <c r="M1677" s="178" t="e">
        <f>#REF!*#REF!</f>
        <v>#REF!</v>
      </c>
      <c r="N1677" s="178" t="e">
        <f>#REF!+K1677+#REF!</f>
        <v>#REF!</v>
      </c>
      <c r="O1677" s="181" t="e">
        <f t="shared" si="206"/>
        <v>#REF!</v>
      </c>
    </row>
    <row r="1678" spans="1:15" s="193" customFormat="1" outlineLevel="2">
      <c r="A1678" s="238"/>
      <c r="B1678" s="212" t="s">
        <v>998</v>
      </c>
      <c r="C1678" s="190" t="s">
        <v>123</v>
      </c>
      <c r="D1678" s="191"/>
      <c r="E1678" s="176"/>
      <c r="F1678" s="177"/>
      <c r="G1678" s="192"/>
      <c r="H1678" s="179"/>
      <c r="I1678" s="283" t="e">
        <f>IF(#REF!="",#REF!*#REF!,IF(#REF!=0,#REF!*#REF!,#REF!*#REF!*#REF!))</f>
        <v>#REF!</v>
      </c>
      <c r="J1678" s="180" t="e">
        <f>#REF!*#REF!</f>
        <v>#REF!</v>
      </c>
      <c r="K1678" s="178" t="e">
        <f>#REF!*mo</f>
        <v>#REF!</v>
      </c>
      <c r="L1678" s="178" t="e">
        <f t="shared" si="202"/>
        <v>#REF!</v>
      </c>
      <c r="M1678" s="178" t="e">
        <f>#REF!*#REF!</f>
        <v>#REF!</v>
      </c>
      <c r="N1678" s="178" t="e">
        <f>#REF!+K1678+#REF!</f>
        <v>#REF!</v>
      </c>
      <c r="O1678" s="181" t="e">
        <f t="shared" si="206"/>
        <v>#REF!</v>
      </c>
    </row>
    <row r="1679" spans="1:15" s="193" customFormat="1" outlineLevel="2">
      <c r="A1679" s="238"/>
      <c r="B1679" s="212" t="s">
        <v>999</v>
      </c>
      <c r="C1679" s="190" t="s">
        <v>123</v>
      </c>
      <c r="D1679" s="191"/>
      <c r="E1679" s="176"/>
      <c r="F1679" s="177"/>
      <c r="G1679" s="192"/>
      <c r="H1679" s="179"/>
      <c r="I1679" s="283" t="e">
        <f>IF(#REF!="",#REF!*#REF!,IF(#REF!=0,#REF!*#REF!,#REF!*#REF!*#REF!))</f>
        <v>#REF!</v>
      </c>
      <c r="J1679" s="180" t="e">
        <f>#REF!*#REF!</f>
        <v>#REF!</v>
      </c>
      <c r="K1679" s="178" t="e">
        <f>#REF!*mo</f>
        <v>#REF!</v>
      </c>
      <c r="L1679" s="178" t="e">
        <f t="shared" si="202"/>
        <v>#REF!</v>
      </c>
      <c r="M1679" s="178" t="e">
        <f>#REF!*#REF!</f>
        <v>#REF!</v>
      </c>
      <c r="N1679" s="178" t="e">
        <f>#REF!+K1679+#REF!</f>
        <v>#REF!</v>
      </c>
      <c r="O1679" s="181" t="e">
        <f t="shared" si="206"/>
        <v>#REF!</v>
      </c>
    </row>
    <row r="1680" spans="1:15" s="193" customFormat="1" outlineLevel="2">
      <c r="A1680" s="238"/>
      <c r="B1680" s="212"/>
      <c r="C1680" s="190"/>
      <c r="D1680" s="191"/>
      <c r="E1680" s="176"/>
      <c r="F1680" s="177"/>
      <c r="G1680" s="192"/>
      <c r="H1680" s="179"/>
      <c r="I1680" s="283" t="e">
        <f>IF(#REF!="",#REF!*#REF!,IF(#REF!=0,#REF!*#REF!,#REF!*#REF!*#REF!))</f>
        <v>#REF!</v>
      </c>
      <c r="J1680" s="180" t="e">
        <f>#REF!*#REF!</f>
        <v>#REF!</v>
      </c>
      <c r="K1680" s="178" t="e">
        <f>#REF!*mo</f>
        <v>#REF!</v>
      </c>
      <c r="L1680" s="178" t="e">
        <f t="shared" si="202"/>
        <v>#REF!</v>
      </c>
      <c r="M1680" s="178" t="e">
        <f>#REF!*#REF!</f>
        <v>#REF!</v>
      </c>
      <c r="N1680" s="178" t="e">
        <f>#REF!+K1680+#REF!</f>
        <v>#REF!</v>
      </c>
      <c r="O1680" s="181" t="e">
        <f t="shared" si="206"/>
        <v>#REF!</v>
      </c>
    </row>
    <row r="1681" spans="1:15" s="193" customFormat="1" outlineLevel="2">
      <c r="A1681" s="238"/>
      <c r="B1681" s="212" t="s">
        <v>1054</v>
      </c>
      <c r="C1681" s="190" t="s">
        <v>795</v>
      </c>
      <c r="D1681" s="191"/>
      <c r="E1681" s="176"/>
      <c r="F1681" s="177"/>
      <c r="G1681" s="192"/>
      <c r="H1681" s="179"/>
      <c r="I1681" s="283" t="e">
        <f>IF(#REF!="",#REF!*#REF!,IF(#REF!=0,#REF!*#REF!,#REF!*#REF!*#REF!))</f>
        <v>#REF!</v>
      </c>
      <c r="J1681" s="180" t="e">
        <f>#REF!*#REF!</f>
        <v>#REF!</v>
      </c>
      <c r="K1681" s="178" t="e">
        <f>#REF!*mo</f>
        <v>#REF!</v>
      </c>
      <c r="L1681" s="178" t="e">
        <f t="shared" si="202"/>
        <v>#REF!</v>
      </c>
      <c r="M1681" s="178" t="e">
        <f>#REF!*#REF!</f>
        <v>#REF!</v>
      </c>
      <c r="N1681" s="178" t="e">
        <f>#REF!+K1681+#REF!</f>
        <v>#REF!</v>
      </c>
      <c r="O1681" s="181" t="e">
        <f t="shared" si="206"/>
        <v>#REF!</v>
      </c>
    </row>
    <row r="1682" spans="1:15" s="193" customFormat="1" outlineLevel="2">
      <c r="A1682" s="238"/>
      <c r="B1682" s="212" t="s">
        <v>1063</v>
      </c>
      <c r="C1682" s="190"/>
      <c r="D1682" s="191"/>
      <c r="E1682" s="176"/>
      <c r="F1682" s="177"/>
      <c r="G1682" s="192"/>
      <c r="H1682" s="179"/>
      <c r="I1682" s="283" t="e">
        <f>IF(#REF!="",#REF!*#REF!,IF(#REF!=0,#REF!*#REF!,#REF!*#REF!*#REF!))</f>
        <v>#REF!</v>
      </c>
      <c r="J1682" s="180" t="e">
        <f>#REF!*#REF!</f>
        <v>#REF!</v>
      </c>
      <c r="K1682" s="178" t="e">
        <f>#REF!*mo</f>
        <v>#REF!</v>
      </c>
      <c r="L1682" s="178" t="e">
        <f t="shared" ref="L1682:L1687" si="207">J1682*mo</f>
        <v>#REF!</v>
      </c>
      <c r="M1682" s="178" t="e">
        <f>#REF!*#REF!</f>
        <v>#REF!</v>
      </c>
      <c r="N1682" s="178" t="e">
        <f>#REF!+K1682+#REF!</f>
        <v>#REF!</v>
      </c>
      <c r="O1682" s="181" t="e">
        <f t="shared" si="206"/>
        <v>#REF!</v>
      </c>
    </row>
    <row r="1683" spans="1:15" s="193" customFormat="1" outlineLevel="2">
      <c r="A1683" s="238"/>
      <c r="B1683" s="212" t="s">
        <v>1064</v>
      </c>
      <c r="C1683" s="190"/>
      <c r="D1683" s="191"/>
      <c r="E1683" s="176"/>
      <c r="F1683" s="177"/>
      <c r="G1683" s="192"/>
      <c r="H1683" s="179"/>
      <c r="I1683" s="283" t="e">
        <f>IF(#REF!="",#REF!*#REF!,IF(#REF!=0,#REF!*#REF!,#REF!*#REF!*#REF!))</f>
        <v>#REF!</v>
      </c>
      <c r="J1683" s="180" t="e">
        <f>#REF!*#REF!</f>
        <v>#REF!</v>
      </c>
      <c r="K1683" s="178" t="e">
        <f>#REF!*mo</f>
        <v>#REF!</v>
      </c>
      <c r="L1683" s="178" t="e">
        <f t="shared" si="207"/>
        <v>#REF!</v>
      </c>
      <c r="M1683" s="178" t="e">
        <f>#REF!*#REF!</f>
        <v>#REF!</v>
      </c>
      <c r="N1683" s="178" t="e">
        <f>#REF!+K1683+#REF!</f>
        <v>#REF!</v>
      </c>
      <c r="O1683" s="181" t="e">
        <f t="shared" si="206"/>
        <v>#REF!</v>
      </c>
    </row>
    <row r="1684" spans="1:15" s="193" customFormat="1" outlineLevel="2">
      <c r="A1684" s="238"/>
      <c r="B1684" s="212" t="s">
        <v>1065</v>
      </c>
      <c r="C1684" s="190"/>
      <c r="D1684" s="191"/>
      <c r="E1684" s="176"/>
      <c r="F1684" s="177"/>
      <c r="G1684" s="192"/>
      <c r="H1684" s="179"/>
      <c r="I1684" s="283" t="e">
        <f>IF(#REF!="",#REF!*#REF!,IF(#REF!=0,#REF!*#REF!,#REF!*#REF!*#REF!))</f>
        <v>#REF!</v>
      </c>
      <c r="J1684" s="180" t="e">
        <f>#REF!*#REF!</f>
        <v>#REF!</v>
      </c>
      <c r="K1684" s="178" t="e">
        <f>#REF!*mo</f>
        <v>#REF!</v>
      </c>
      <c r="L1684" s="178" t="e">
        <f t="shared" si="207"/>
        <v>#REF!</v>
      </c>
      <c r="M1684" s="178" t="e">
        <f>#REF!*#REF!</f>
        <v>#REF!</v>
      </c>
      <c r="N1684" s="178" t="e">
        <f>#REF!+K1684+#REF!</f>
        <v>#REF!</v>
      </c>
      <c r="O1684" s="181" t="e">
        <f t="shared" si="206"/>
        <v>#REF!</v>
      </c>
    </row>
    <row r="1685" spans="1:15" s="193" customFormat="1" outlineLevel="2">
      <c r="A1685" s="238"/>
      <c r="B1685" s="212" t="s">
        <v>1066</v>
      </c>
      <c r="C1685" s="190"/>
      <c r="D1685" s="191"/>
      <c r="E1685" s="176"/>
      <c r="F1685" s="177"/>
      <c r="G1685" s="192"/>
      <c r="H1685" s="179"/>
      <c r="I1685" s="283" t="e">
        <f>IF(#REF!="",#REF!*#REF!,IF(#REF!=0,#REF!*#REF!,#REF!*#REF!*#REF!))</f>
        <v>#REF!</v>
      </c>
      <c r="J1685" s="180" t="e">
        <f>#REF!*#REF!</f>
        <v>#REF!</v>
      </c>
      <c r="K1685" s="178" t="e">
        <f>#REF!*mo</f>
        <v>#REF!</v>
      </c>
      <c r="L1685" s="178" t="e">
        <f t="shared" si="207"/>
        <v>#REF!</v>
      </c>
      <c r="M1685" s="178" t="e">
        <f>#REF!*#REF!</f>
        <v>#REF!</v>
      </c>
      <c r="N1685" s="178" t="e">
        <f>#REF!+K1685+#REF!</f>
        <v>#REF!</v>
      </c>
      <c r="O1685" s="181" t="e">
        <f t="shared" si="206"/>
        <v>#REF!</v>
      </c>
    </row>
    <row r="1686" spans="1:15" s="193" customFormat="1" outlineLevel="2">
      <c r="A1686" s="238"/>
      <c r="B1686" s="212"/>
      <c r="C1686" s="190"/>
      <c r="D1686" s="191"/>
      <c r="E1686" s="176"/>
      <c r="F1686" s="177"/>
      <c r="G1686" s="192"/>
      <c r="H1686" s="179"/>
      <c r="I1686" s="283" t="e">
        <f>IF(#REF!="",#REF!*#REF!,IF(#REF!=0,#REF!*#REF!,#REF!*#REF!*#REF!))</f>
        <v>#REF!</v>
      </c>
      <c r="J1686" s="180" t="e">
        <f>#REF!*#REF!</f>
        <v>#REF!</v>
      </c>
      <c r="K1686" s="178" t="e">
        <f>#REF!*mo</f>
        <v>#REF!</v>
      </c>
      <c r="L1686" s="178" t="e">
        <f t="shared" si="207"/>
        <v>#REF!</v>
      </c>
      <c r="M1686" s="178" t="e">
        <f>#REF!*#REF!</f>
        <v>#REF!</v>
      </c>
      <c r="N1686" s="178" t="e">
        <f>#REF!+K1686+#REF!</f>
        <v>#REF!</v>
      </c>
      <c r="O1686" s="181" t="e">
        <f t="shared" si="206"/>
        <v>#REF!</v>
      </c>
    </row>
    <row r="1687" spans="1:15" s="193" customFormat="1" outlineLevel="2">
      <c r="A1687" s="238"/>
      <c r="B1687" s="212" t="s">
        <v>1067</v>
      </c>
      <c r="C1687" s="190" t="s">
        <v>795</v>
      </c>
      <c r="D1687" s="191"/>
      <c r="E1687" s="176"/>
      <c r="F1687" s="177"/>
      <c r="G1687" s="192"/>
      <c r="H1687" s="179"/>
      <c r="I1687" s="283" t="e">
        <f>IF(#REF!="",#REF!*#REF!,IF(#REF!=0,#REF!*#REF!,#REF!*#REF!*#REF!))</f>
        <v>#REF!</v>
      </c>
      <c r="J1687" s="180" t="e">
        <f>#REF!*#REF!</f>
        <v>#REF!</v>
      </c>
      <c r="K1687" s="178" t="e">
        <f>#REF!*mo</f>
        <v>#REF!</v>
      </c>
      <c r="L1687" s="178" t="e">
        <f t="shared" si="207"/>
        <v>#REF!</v>
      </c>
      <c r="M1687" s="178" t="e">
        <f>#REF!*#REF!</f>
        <v>#REF!</v>
      </c>
      <c r="N1687" s="178" t="e">
        <f>#REF!+K1687+#REF!</f>
        <v>#REF!</v>
      </c>
      <c r="O1687" s="181" t="e">
        <f t="shared" si="206"/>
        <v>#REF!</v>
      </c>
    </row>
    <row r="1688" spans="1:15" s="193" customFormat="1" outlineLevel="2">
      <c r="A1688" s="238"/>
      <c r="B1688" s="212"/>
      <c r="C1688" s="190"/>
      <c r="D1688" s="191"/>
      <c r="E1688" s="176"/>
      <c r="F1688" s="177"/>
      <c r="G1688" s="192"/>
      <c r="H1688" s="179"/>
      <c r="I1688" s="283" t="e">
        <f>IF(#REF!="",#REF!*#REF!,IF(#REF!=0,#REF!*#REF!,#REF!*#REF!*#REF!))</f>
        <v>#REF!</v>
      </c>
      <c r="J1688" s="180" t="e">
        <f>#REF!*#REF!</f>
        <v>#REF!</v>
      </c>
      <c r="K1688" s="178" t="e">
        <f>#REF!*mo</f>
        <v>#REF!</v>
      </c>
      <c r="L1688" s="178" t="e">
        <f t="shared" si="202"/>
        <v>#REF!</v>
      </c>
      <c r="M1688" s="178" t="e">
        <f>#REF!*#REF!</f>
        <v>#REF!</v>
      </c>
      <c r="N1688" s="178" t="e">
        <f>#REF!+K1688+#REF!</f>
        <v>#REF!</v>
      </c>
      <c r="O1688" s="181" t="e">
        <f t="shared" si="206"/>
        <v>#REF!</v>
      </c>
    </row>
    <row r="1689" spans="1:15" s="193" customFormat="1" outlineLevel="2">
      <c r="A1689" s="238"/>
      <c r="B1689" s="212" t="s">
        <v>1068</v>
      </c>
      <c r="C1689" s="190" t="s">
        <v>795</v>
      </c>
      <c r="D1689" s="191"/>
      <c r="E1689" s="176"/>
      <c r="F1689" s="177"/>
      <c r="G1689" s="192"/>
      <c r="H1689" s="179"/>
      <c r="I1689" s="283" t="e">
        <f>IF(#REF!="",#REF!*#REF!,IF(#REF!=0,#REF!*#REF!,#REF!*#REF!*#REF!))</f>
        <v>#REF!</v>
      </c>
      <c r="J1689" s="180" t="e">
        <f>#REF!*#REF!</f>
        <v>#REF!</v>
      </c>
      <c r="K1689" s="178" t="e">
        <f>#REF!*mo</f>
        <v>#REF!</v>
      </c>
      <c r="L1689" s="178" t="e">
        <f t="shared" si="202"/>
        <v>#REF!</v>
      </c>
      <c r="M1689" s="178" t="e">
        <f>#REF!*#REF!</f>
        <v>#REF!</v>
      </c>
      <c r="N1689" s="178" t="e">
        <f>#REF!+K1689+#REF!</f>
        <v>#REF!</v>
      </c>
      <c r="O1689" s="181" t="e">
        <f t="shared" si="206"/>
        <v>#REF!</v>
      </c>
    </row>
    <row r="1690" spans="1:15" s="193" customFormat="1" outlineLevel="2">
      <c r="A1690" s="238"/>
      <c r="B1690" s="234"/>
      <c r="C1690" s="190"/>
      <c r="D1690" s="191"/>
      <c r="E1690" s="176"/>
      <c r="F1690" s="177"/>
      <c r="G1690" s="192"/>
      <c r="H1690" s="179"/>
      <c r="I1690" s="283" t="e">
        <f>IF(#REF!="",#REF!*#REF!,IF(#REF!=0,#REF!*#REF!,#REF!*#REF!*#REF!))</f>
        <v>#REF!</v>
      </c>
      <c r="J1690" s="180" t="e">
        <f>#REF!*#REF!</f>
        <v>#REF!</v>
      </c>
      <c r="K1690" s="178" t="e">
        <f>#REF!*mo</f>
        <v>#REF!</v>
      </c>
      <c r="L1690" s="178" t="e">
        <f t="shared" si="202"/>
        <v>#REF!</v>
      </c>
      <c r="M1690" s="178" t="e">
        <f>#REF!*#REF!</f>
        <v>#REF!</v>
      </c>
      <c r="N1690" s="178" t="e">
        <f>#REF!+K1690+#REF!</f>
        <v>#REF!</v>
      </c>
      <c r="O1690" s="181" t="e">
        <f t="shared" si="206"/>
        <v>#REF!</v>
      </c>
    </row>
    <row r="1691" spans="1:15" s="193" customFormat="1" outlineLevel="1">
      <c r="A1691" s="155"/>
      <c r="B1691" s="198" t="str">
        <f>"Total "&amp;B1611</f>
        <v>Total EAUX PLUVIALES</v>
      </c>
      <c r="C1691" s="190"/>
      <c r="D1691" s="191"/>
      <c r="E1691" s="176"/>
      <c r="F1691" s="177"/>
      <c r="G1691" s="192"/>
      <c r="H1691" s="179">
        <f>SUM(G1612:G1692)</f>
        <v>0</v>
      </c>
      <c r="I1691" s="283" t="e">
        <f>IF(#REF!="",#REF!*#REF!,IF(#REF!=0,#REF!*#REF!,#REF!*#REF!*#REF!))</f>
        <v>#REF!</v>
      </c>
      <c r="J1691" s="180" t="e">
        <f>#REF!*#REF!</f>
        <v>#REF!</v>
      </c>
      <c r="K1691" s="178" t="e">
        <f>#REF!*mo</f>
        <v>#REF!</v>
      </c>
      <c r="L1691" s="178" t="e">
        <f t="shared" si="202"/>
        <v>#REF!</v>
      </c>
      <c r="M1691" s="178" t="e">
        <f>#REF!*#REF!</f>
        <v>#REF!</v>
      </c>
      <c r="N1691" s="178" t="e">
        <f>#REF!+K1691+#REF!</f>
        <v>#REF!</v>
      </c>
      <c r="O1691" s="181" t="e">
        <f t="shared" si="206"/>
        <v>#REF!</v>
      </c>
    </row>
    <row r="1692" spans="1:15" s="193" customFormat="1" outlineLevel="1">
      <c r="A1692" s="155"/>
      <c r="B1692" s="156"/>
      <c r="C1692" s="190"/>
      <c r="D1692" s="191"/>
      <c r="E1692" s="176"/>
      <c r="F1692" s="177"/>
      <c r="G1692" s="192"/>
      <c r="H1692" s="179"/>
      <c r="I1692" s="283" t="e">
        <f>IF(#REF!="",#REF!*#REF!,IF(#REF!=0,#REF!*#REF!,#REF!*#REF!*#REF!))</f>
        <v>#REF!</v>
      </c>
      <c r="J1692" s="180" t="e">
        <f>#REF!*#REF!</f>
        <v>#REF!</v>
      </c>
      <c r="K1692" s="178" t="e">
        <f>#REF!*mo</f>
        <v>#REF!</v>
      </c>
      <c r="L1692" s="178" t="e">
        <f t="shared" si="202"/>
        <v>#REF!</v>
      </c>
      <c r="M1692" s="178" t="e">
        <f>#REF!*#REF!</f>
        <v>#REF!</v>
      </c>
      <c r="N1692" s="178" t="e">
        <f>#REF!+K1692+#REF!</f>
        <v>#REF!</v>
      </c>
      <c r="O1692" s="181" t="e">
        <f t="shared" si="206"/>
        <v>#REF!</v>
      </c>
    </row>
    <row r="1693" spans="1:15" s="194" customFormat="1" ht="10.050000000000001" customHeight="1">
      <c r="A1693" s="153">
        <v>8</v>
      </c>
      <c r="B1693" s="154" t="s">
        <v>1069</v>
      </c>
      <c r="C1693" s="182"/>
      <c r="D1693" s="183"/>
      <c r="E1693" s="184"/>
      <c r="F1693" s="185"/>
      <c r="G1693" s="186"/>
      <c r="H1693" s="187">
        <f>SUM(H1694:H1739)</f>
        <v>0</v>
      </c>
      <c r="I1693" s="282" t="e">
        <f>IF(#REF!="",#REF!*#REF!,IF(#REF!=0,#REF!*#REF!,#REF!*#REF!*#REF!))</f>
        <v>#REF!</v>
      </c>
      <c r="J1693" s="188"/>
      <c r="K1693" s="186"/>
      <c r="L1693" s="186"/>
      <c r="M1693" s="186"/>
      <c r="N1693" s="186"/>
      <c r="O1693" s="187"/>
    </row>
    <row r="1694" spans="1:15" s="193" customFormat="1" outlineLevel="1">
      <c r="A1694" s="155"/>
      <c r="B1694" s="156"/>
      <c r="C1694" s="190"/>
      <c r="D1694" s="191"/>
      <c r="E1694" s="176"/>
      <c r="F1694" s="177"/>
      <c r="G1694" s="192"/>
      <c r="H1694" s="179"/>
      <c r="I1694" s="283" t="e">
        <f>IF(#REF!="",#REF!*#REF!,IF(#REF!=0,#REF!*#REF!,#REF!*#REF!*#REF!))</f>
        <v>#REF!</v>
      </c>
      <c r="J1694" s="180" t="e">
        <f>#REF!*#REF!</f>
        <v>#REF!</v>
      </c>
      <c r="K1694" s="178" t="e">
        <f>#REF!*mo</f>
        <v>#REF!</v>
      </c>
      <c r="L1694" s="178" t="e">
        <f>J1694*mo</f>
        <v>#REF!</v>
      </c>
      <c r="M1694" s="178" t="e">
        <f>#REF!*#REF!</f>
        <v>#REF!</v>
      </c>
      <c r="N1694" s="178" t="e">
        <f>#REF!+K1694+#REF!</f>
        <v>#REF!</v>
      </c>
      <c r="O1694" s="181" t="e">
        <f>M1694+L1694+I1694</f>
        <v>#REF!</v>
      </c>
    </row>
    <row r="1695" spans="1:15" s="209" customFormat="1" outlineLevel="1">
      <c r="A1695" s="157" t="str">
        <f>A1693&amp;".1"</f>
        <v>8.1</v>
      </c>
      <c r="B1695" s="158" t="s">
        <v>1070</v>
      </c>
      <c r="C1695" s="195"/>
      <c r="D1695" s="170"/>
      <c r="E1695" s="176"/>
      <c r="F1695" s="177"/>
      <c r="G1695" s="192">
        <f>SUM(F1695:F1706)</f>
        <v>0</v>
      </c>
      <c r="H1695" s="196"/>
      <c r="I1695" s="283" t="e">
        <f>IF(#REF!="",#REF!*#REF!,IF(#REF!=0,#REF!*#REF!,#REF!*#REF!*#REF!))</f>
        <v>#REF!</v>
      </c>
      <c r="J1695" s="180" t="e">
        <f>#REF!*#REF!</f>
        <v>#REF!</v>
      </c>
      <c r="K1695" s="178" t="e">
        <f>#REF!*mo</f>
        <v>#REF!</v>
      </c>
      <c r="L1695" s="178" t="e">
        <f t="shared" ref="L1695:L1706" si="208">J1695*mo</f>
        <v>#REF!</v>
      </c>
      <c r="M1695" s="178" t="e">
        <f>#REF!*#REF!</f>
        <v>#REF!</v>
      </c>
      <c r="N1695" s="178" t="e">
        <f>#REF!+K1695+#REF!</f>
        <v>#REF!</v>
      </c>
      <c r="O1695" s="181" t="e">
        <f t="shared" ref="O1695:O1758" si="209">M1695+L1695+I1695</f>
        <v>#REF!</v>
      </c>
    </row>
    <row r="1696" spans="1:15" s="193" customFormat="1" outlineLevel="2">
      <c r="A1696" s="155"/>
      <c r="B1696" s="156"/>
      <c r="C1696" s="190"/>
      <c r="D1696" s="191"/>
      <c r="E1696" s="176"/>
      <c r="F1696" s="177"/>
      <c r="G1696" s="192"/>
      <c r="H1696" s="179"/>
      <c r="I1696" s="283" t="e">
        <f>IF(#REF!="",#REF!*#REF!,IF(#REF!=0,#REF!*#REF!,#REF!*#REF!*#REF!))</f>
        <v>#REF!</v>
      </c>
      <c r="J1696" s="180" t="e">
        <f>#REF!*#REF!</f>
        <v>#REF!</v>
      </c>
      <c r="K1696" s="178" t="e">
        <f>#REF!*mo</f>
        <v>#REF!</v>
      </c>
      <c r="L1696" s="178" t="e">
        <f t="shared" si="208"/>
        <v>#REF!</v>
      </c>
      <c r="M1696" s="178" t="e">
        <f>#REF!*#REF!</f>
        <v>#REF!</v>
      </c>
      <c r="N1696" s="178" t="e">
        <f>#REF!+K1696+#REF!</f>
        <v>#REF!</v>
      </c>
      <c r="O1696" s="181" t="e">
        <f t="shared" si="209"/>
        <v>#REF!</v>
      </c>
    </row>
    <row r="1697" spans="1:15" s="193" customFormat="1" outlineLevel="2">
      <c r="A1697" s="155"/>
      <c r="B1697" s="236" t="s">
        <v>1168</v>
      </c>
      <c r="C1697" s="190" t="s">
        <v>795</v>
      </c>
      <c r="D1697" s="191"/>
      <c r="E1697" s="176"/>
      <c r="F1697" s="177"/>
      <c r="G1697" s="192"/>
      <c r="H1697" s="179"/>
      <c r="I1697" s="283" t="e">
        <f>IF(#REF!="",#REF!*#REF!,IF(#REF!=0,#REF!*#REF!,#REF!*#REF!*#REF!))</f>
        <v>#REF!</v>
      </c>
      <c r="J1697" s="180" t="e">
        <f>#REF!*#REF!</f>
        <v>#REF!</v>
      </c>
      <c r="K1697" s="178" t="e">
        <f>#REF!*mo</f>
        <v>#REF!</v>
      </c>
      <c r="L1697" s="178" t="e">
        <f t="shared" si="208"/>
        <v>#REF!</v>
      </c>
      <c r="M1697" s="178" t="e">
        <f>#REF!*#REF!</f>
        <v>#REF!</v>
      </c>
      <c r="N1697" s="178" t="e">
        <f>#REF!+K1697+#REF!</f>
        <v>#REF!</v>
      </c>
      <c r="O1697" s="181" t="e">
        <f t="shared" si="209"/>
        <v>#REF!</v>
      </c>
    </row>
    <row r="1698" spans="1:15" s="193" customFormat="1" outlineLevel="2">
      <c r="A1698" s="155"/>
      <c r="B1698" s="236" t="s">
        <v>1072</v>
      </c>
      <c r="C1698" s="190" t="s">
        <v>795</v>
      </c>
      <c r="D1698" s="191"/>
      <c r="E1698" s="176"/>
      <c r="F1698" s="177"/>
      <c r="G1698" s="192"/>
      <c r="H1698" s="179"/>
      <c r="I1698" s="283" t="e">
        <f>IF(#REF!="",#REF!*#REF!,IF(#REF!=0,#REF!*#REF!,#REF!*#REF!*#REF!))</f>
        <v>#REF!</v>
      </c>
      <c r="J1698" s="180" t="e">
        <f>#REF!*#REF!</f>
        <v>#REF!</v>
      </c>
      <c r="K1698" s="178" t="e">
        <f>#REF!*mo</f>
        <v>#REF!</v>
      </c>
      <c r="L1698" s="178" t="e">
        <f t="shared" si="208"/>
        <v>#REF!</v>
      </c>
      <c r="M1698" s="178" t="e">
        <f>#REF!*#REF!</f>
        <v>#REF!</v>
      </c>
      <c r="N1698" s="178" t="e">
        <f>#REF!+K1698+#REF!</f>
        <v>#REF!</v>
      </c>
      <c r="O1698" s="181" t="e">
        <f t="shared" si="209"/>
        <v>#REF!</v>
      </c>
    </row>
    <row r="1699" spans="1:15" s="193" customFormat="1" outlineLevel="2">
      <c r="A1699" s="155"/>
      <c r="B1699" s="236" t="s">
        <v>1073</v>
      </c>
      <c r="C1699" s="190" t="s">
        <v>795</v>
      </c>
      <c r="D1699" s="191"/>
      <c r="E1699" s="176"/>
      <c r="F1699" s="177"/>
      <c r="G1699" s="192"/>
      <c r="H1699" s="179"/>
      <c r="I1699" s="283" t="e">
        <f>IF(#REF!="",#REF!*#REF!,IF(#REF!=0,#REF!*#REF!,#REF!*#REF!*#REF!))</f>
        <v>#REF!</v>
      </c>
      <c r="J1699" s="180" t="e">
        <f>#REF!*#REF!</f>
        <v>#REF!</v>
      </c>
      <c r="K1699" s="178" t="e">
        <f>#REF!*mo</f>
        <v>#REF!</v>
      </c>
      <c r="L1699" s="178" t="e">
        <f t="shared" si="208"/>
        <v>#REF!</v>
      </c>
      <c r="M1699" s="178" t="e">
        <f>#REF!*#REF!</f>
        <v>#REF!</v>
      </c>
      <c r="N1699" s="178" t="e">
        <f>#REF!+K1699+#REF!</f>
        <v>#REF!</v>
      </c>
      <c r="O1699" s="181" t="e">
        <f t="shared" si="209"/>
        <v>#REF!</v>
      </c>
    </row>
    <row r="1700" spans="1:15" s="193" customFormat="1" outlineLevel="2">
      <c r="A1700" s="155"/>
      <c r="B1700" s="236" t="s">
        <v>1074</v>
      </c>
      <c r="C1700" s="190" t="s">
        <v>795</v>
      </c>
      <c r="D1700" s="191"/>
      <c r="E1700" s="176"/>
      <c r="F1700" s="177"/>
      <c r="G1700" s="192"/>
      <c r="H1700" s="179"/>
      <c r="I1700" s="283" t="e">
        <f>IF(#REF!="",#REF!*#REF!,IF(#REF!=0,#REF!*#REF!,#REF!*#REF!*#REF!))</f>
        <v>#REF!</v>
      </c>
      <c r="J1700" s="180" t="e">
        <f>#REF!*#REF!</f>
        <v>#REF!</v>
      </c>
      <c r="K1700" s="178" t="e">
        <f>#REF!*mo</f>
        <v>#REF!</v>
      </c>
      <c r="L1700" s="178" t="e">
        <f t="shared" si="208"/>
        <v>#REF!</v>
      </c>
      <c r="M1700" s="178" t="e">
        <f>#REF!*#REF!</f>
        <v>#REF!</v>
      </c>
      <c r="N1700" s="178" t="e">
        <f>#REF!+K1700+#REF!</f>
        <v>#REF!</v>
      </c>
      <c r="O1700" s="181" t="e">
        <f t="shared" si="209"/>
        <v>#REF!</v>
      </c>
    </row>
    <row r="1701" spans="1:15" s="193" customFormat="1" outlineLevel="2">
      <c r="A1701" s="155"/>
      <c r="B1701" s="236" t="s">
        <v>1075</v>
      </c>
      <c r="C1701" s="190" t="s">
        <v>795</v>
      </c>
      <c r="D1701" s="191"/>
      <c r="E1701" s="176"/>
      <c r="F1701" s="177"/>
      <c r="G1701" s="192"/>
      <c r="H1701" s="179"/>
      <c r="I1701" s="283" t="e">
        <f>IF(#REF!="",#REF!*#REF!,IF(#REF!=0,#REF!*#REF!,#REF!*#REF!*#REF!))</f>
        <v>#REF!</v>
      </c>
      <c r="J1701" s="180" t="e">
        <f>#REF!*#REF!</f>
        <v>#REF!</v>
      </c>
      <c r="K1701" s="178" t="e">
        <f>#REF!*mo</f>
        <v>#REF!</v>
      </c>
      <c r="L1701" s="178" t="e">
        <f t="shared" si="208"/>
        <v>#REF!</v>
      </c>
      <c r="M1701" s="178" t="e">
        <f>#REF!*#REF!</f>
        <v>#REF!</v>
      </c>
      <c r="N1701" s="178" t="e">
        <f>#REF!+K1701+#REF!</f>
        <v>#REF!</v>
      </c>
      <c r="O1701" s="181" t="e">
        <f t="shared" si="209"/>
        <v>#REF!</v>
      </c>
    </row>
    <row r="1702" spans="1:15" s="193" customFormat="1" outlineLevel="2">
      <c r="A1702" s="155"/>
      <c r="B1702" s="236" t="s">
        <v>1076</v>
      </c>
      <c r="C1702" s="190" t="s">
        <v>795</v>
      </c>
      <c r="D1702" s="191"/>
      <c r="E1702" s="176"/>
      <c r="F1702" s="177"/>
      <c r="G1702" s="192"/>
      <c r="H1702" s="179"/>
      <c r="I1702" s="283" t="e">
        <f>IF(#REF!="",#REF!*#REF!,IF(#REF!=0,#REF!*#REF!,#REF!*#REF!*#REF!))</f>
        <v>#REF!</v>
      </c>
      <c r="J1702" s="180" t="e">
        <f>#REF!*#REF!</f>
        <v>#REF!</v>
      </c>
      <c r="K1702" s="178" t="e">
        <f>#REF!*mo</f>
        <v>#REF!</v>
      </c>
      <c r="L1702" s="178" t="e">
        <f t="shared" si="208"/>
        <v>#REF!</v>
      </c>
      <c r="M1702" s="178" t="e">
        <f>#REF!*#REF!</f>
        <v>#REF!</v>
      </c>
      <c r="N1702" s="178" t="e">
        <f>#REF!+K1702+#REF!</f>
        <v>#REF!</v>
      </c>
      <c r="O1702" s="181" t="e">
        <f t="shared" si="209"/>
        <v>#REF!</v>
      </c>
    </row>
    <row r="1703" spans="1:15" s="193" customFormat="1" outlineLevel="2">
      <c r="A1703" s="155"/>
      <c r="B1703" s="236" t="s">
        <v>1077</v>
      </c>
      <c r="C1703" s="190" t="s">
        <v>795</v>
      </c>
      <c r="D1703" s="191"/>
      <c r="E1703" s="176"/>
      <c r="F1703" s="177"/>
      <c r="G1703" s="192"/>
      <c r="H1703" s="179"/>
      <c r="I1703" s="283" t="e">
        <f>IF(#REF!="",#REF!*#REF!,IF(#REF!=0,#REF!*#REF!,#REF!*#REF!*#REF!))</f>
        <v>#REF!</v>
      </c>
      <c r="J1703" s="180" t="e">
        <f>#REF!*#REF!</f>
        <v>#REF!</v>
      </c>
      <c r="K1703" s="178" t="e">
        <f>#REF!*mo</f>
        <v>#REF!</v>
      </c>
      <c r="L1703" s="178" t="e">
        <f t="shared" si="208"/>
        <v>#REF!</v>
      </c>
      <c r="M1703" s="178" t="e">
        <f>#REF!*#REF!</f>
        <v>#REF!</v>
      </c>
      <c r="N1703" s="178" t="e">
        <f>#REF!+K1703+#REF!</f>
        <v>#REF!</v>
      </c>
      <c r="O1703" s="181" t="e">
        <f t="shared" si="209"/>
        <v>#REF!</v>
      </c>
    </row>
    <row r="1704" spans="1:15" s="193" customFormat="1" outlineLevel="2">
      <c r="A1704" s="155"/>
      <c r="B1704" s="236" t="s">
        <v>1078</v>
      </c>
      <c r="C1704" s="190" t="s">
        <v>795</v>
      </c>
      <c r="D1704" s="191"/>
      <c r="E1704" s="176"/>
      <c r="F1704" s="177"/>
      <c r="G1704" s="192"/>
      <c r="H1704" s="179"/>
      <c r="I1704" s="283" t="e">
        <f>IF(#REF!="",#REF!*#REF!,IF(#REF!=0,#REF!*#REF!,#REF!*#REF!*#REF!))</f>
        <v>#REF!</v>
      </c>
      <c r="J1704" s="180" t="e">
        <f>#REF!*#REF!</f>
        <v>#REF!</v>
      </c>
      <c r="K1704" s="178" t="e">
        <f>#REF!*mo</f>
        <v>#REF!</v>
      </c>
      <c r="L1704" s="178" t="e">
        <f t="shared" si="208"/>
        <v>#REF!</v>
      </c>
      <c r="M1704" s="178" t="e">
        <f>#REF!*#REF!</f>
        <v>#REF!</v>
      </c>
      <c r="N1704" s="178" t="e">
        <f>#REF!+K1704+#REF!</f>
        <v>#REF!</v>
      </c>
      <c r="O1704" s="181" t="e">
        <f t="shared" si="209"/>
        <v>#REF!</v>
      </c>
    </row>
    <row r="1705" spans="1:15" s="193" customFormat="1" outlineLevel="2">
      <c r="A1705" s="155"/>
      <c r="B1705" s="156"/>
      <c r="C1705" s="190"/>
      <c r="D1705" s="191"/>
      <c r="E1705" s="176"/>
      <c r="F1705" s="177"/>
      <c r="G1705" s="192"/>
      <c r="H1705" s="179"/>
      <c r="I1705" s="283" t="e">
        <f>IF(#REF!="",#REF!*#REF!,IF(#REF!=0,#REF!*#REF!,#REF!*#REF!*#REF!))</f>
        <v>#REF!</v>
      </c>
      <c r="J1705" s="180" t="e">
        <f>#REF!*#REF!</f>
        <v>#REF!</v>
      </c>
      <c r="K1705" s="178" t="e">
        <f>#REF!*mo</f>
        <v>#REF!</v>
      </c>
      <c r="L1705" s="178" t="e">
        <f t="shared" si="208"/>
        <v>#REF!</v>
      </c>
      <c r="M1705" s="178" t="e">
        <f>#REF!*#REF!</f>
        <v>#REF!</v>
      </c>
      <c r="N1705" s="178" t="e">
        <f>#REF!+K1705+#REF!</f>
        <v>#REF!</v>
      </c>
      <c r="O1705" s="181" t="e">
        <f t="shared" si="209"/>
        <v>#REF!</v>
      </c>
    </row>
    <row r="1706" spans="1:15" s="193" customFormat="1" outlineLevel="1">
      <c r="A1706" s="155"/>
      <c r="B1706" s="198" t="str">
        <f>"Total "&amp;B1695</f>
        <v>Total SANITAIRES</v>
      </c>
      <c r="C1706" s="190"/>
      <c r="D1706" s="191"/>
      <c r="E1706" s="176"/>
      <c r="F1706" s="177"/>
      <c r="G1706" s="192"/>
      <c r="H1706" s="179">
        <f>G1695</f>
        <v>0</v>
      </c>
      <c r="I1706" s="283" t="e">
        <f>IF(#REF!="",#REF!*#REF!,IF(#REF!=0,#REF!*#REF!,#REF!*#REF!*#REF!))</f>
        <v>#REF!</v>
      </c>
      <c r="J1706" s="180" t="e">
        <f>#REF!*#REF!</f>
        <v>#REF!</v>
      </c>
      <c r="K1706" s="178" t="e">
        <f>#REF!*mo</f>
        <v>#REF!</v>
      </c>
      <c r="L1706" s="178" t="e">
        <f t="shared" si="208"/>
        <v>#REF!</v>
      </c>
      <c r="M1706" s="178" t="e">
        <f>#REF!*#REF!</f>
        <v>#REF!</v>
      </c>
      <c r="N1706" s="178" t="e">
        <f>#REF!+K1706+#REF!</f>
        <v>#REF!</v>
      </c>
      <c r="O1706" s="181" t="e">
        <f t="shared" si="209"/>
        <v>#REF!</v>
      </c>
    </row>
    <row r="1707" spans="1:15" s="193" customFormat="1" outlineLevel="1">
      <c r="A1707" s="155"/>
      <c r="B1707" s="198"/>
      <c r="C1707" s="190"/>
      <c r="D1707" s="191"/>
      <c r="E1707" s="176"/>
      <c r="F1707" s="177"/>
      <c r="G1707" s="192"/>
      <c r="H1707" s="235"/>
      <c r="I1707" s="283"/>
      <c r="J1707" s="180"/>
      <c r="K1707" s="178"/>
      <c r="L1707" s="178"/>
      <c r="M1707" s="178"/>
      <c r="N1707" s="178"/>
      <c r="O1707" s="181"/>
    </row>
    <row r="1708" spans="1:15" s="193" customFormat="1" outlineLevel="1">
      <c r="A1708" s="157" t="str">
        <f>A1693&amp;".3"</f>
        <v>8.3</v>
      </c>
      <c r="B1708" s="210" t="s">
        <v>1079</v>
      </c>
      <c r="C1708" s="190"/>
      <c r="D1708" s="191"/>
      <c r="E1708" s="176"/>
      <c r="F1708" s="177"/>
      <c r="G1708" s="192"/>
      <c r="H1708" s="179"/>
      <c r="I1708" s="283" t="e">
        <f>IF(#REF!="",#REF!*#REF!,IF(#REF!=0,#REF!*#REF!,#REF!*#REF!*#REF!))</f>
        <v>#REF!</v>
      </c>
      <c r="J1708" s="180" t="e">
        <f>#REF!*#REF!</f>
        <v>#REF!</v>
      </c>
      <c r="K1708" s="178" t="e">
        <f>#REF!*mo</f>
        <v>#REF!</v>
      </c>
      <c r="L1708" s="178" t="e">
        <f t="shared" ref="L1708:L1773" si="210">J1708*mo</f>
        <v>#REF!</v>
      </c>
      <c r="M1708" s="178" t="e">
        <f>#REF!*#REF!</f>
        <v>#REF!</v>
      </c>
      <c r="N1708" s="178" t="e">
        <f>#REF!+K1708+#REF!</f>
        <v>#REF!</v>
      </c>
      <c r="O1708" s="181" t="e">
        <f t="shared" si="209"/>
        <v>#REF!</v>
      </c>
    </row>
    <row r="1709" spans="1:15" s="193" customFormat="1" outlineLevel="2">
      <c r="A1709" s="155"/>
      <c r="B1709" s="233"/>
      <c r="C1709" s="190"/>
      <c r="D1709" s="191"/>
      <c r="E1709" s="176"/>
      <c r="F1709" s="177"/>
      <c r="G1709" s="192">
        <f>SUM(F1709:F1719)</f>
        <v>0</v>
      </c>
      <c r="H1709" s="179"/>
      <c r="I1709" s="283" t="e">
        <f>IF(#REF!="",#REF!*#REF!,IF(#REF!=0,#REF!*#REF!,#REF!*#REF!*#REF!))</f>
        <v>#REF!</v>
      </c>
      <c r="J1709" s="180" t="e">
        <f>#REF!*#REF!</f>
        <v>#REF!</v>
      </c>
      <c r="K1709" s="178" t="e">
        <f>#REF!*mo</f>
        <v>#REF!</v>
      </c>
      <c r="L1709" s="178" t="e">
        <f t="shared" si="210"/>
        <v>#REF!</v>
      </c>
      <c r="M1709" s="178" t="e">
        <f>#REF!*#REF!</f>
        <v>#REF!</v>
      </c>
      <c r="N1709" s="178" t="e">
        <f>#REF!+K1709+#REF!</f>
        <v>#REF!</v>
      </c>
      <c r="O1709" s="181" t="e">
        <f t="shared" si="209"/>
        <v>#REF!</v>
      </c>
    </row>
    <row r="1710" spans="1:15" s="193" customFormat="1" outlineLevel="2">
      <c r="A1710" s="155"/>
      <c r="B1710" s="233" t="s">
        <v>1080</v>
      </c>
      <c r="C1710" s="190" t="s">
        <v>795</v>
      </c>
      <c r="D1710" s="191"/>
      <c r="E1710" s="176"/>
      <c r="F1710" s="177"/>
      <c r="G1710" s="192"/>
      <c r="H1710" s="179"/>
      <c r="I1710" s="283" t="e">
        <f>IF(#REF!="",#REF!*#REF!,IF(#REF!=0,#REF!*#REF!,#REF!*#REF!*#REF!))</f>
        <v>#REF!</v>
      </c>
      <c r="J1710" s="180" t="e">
        <f>#REF!*#REF!</f>
        <v>#REF!</v>
      </c>
      <c r="K1710" s="178" t="e">
        <f>#REF!*mo</f>
        <v>#REF!</v>
      </c>
      <c r="L1710" s="178" t="e">
        <f t="shared" si="210"/>
        <v>#REF!</v>
      </c>
      <c r="M1710" s="178" t="e">
        <f>#REF!*#REF!</f>
        <v>#REF!</v>
      </c>
      <c r="N1710" s="178" t="e">
        <f>#REF!+K1710+#REF!</f>
        <v>#REF!</v>
      </c>
      <c r="O1710" s="181" t="e">
        <f t="shared" si="209"/>
        <v>#REF!</v>
      </c>
    </row>
    <row r="1711" spans="1:15" s="193" customFormat="1" outlineLevel="2">
      <c r="A1711" s="155"/>
      <c r="B1711" s="233" t="s">
        <v>1081</v>
      </c>
      <c r="C1711" s="190" t="s">
        <v>801</v>
      </c>
      <c r="D1711" s="191"/>
      <c r="E1711" s="176"/>
      <c r="F1711" s="177"/>
      <c r="G1711" s="192"/>
      <c r="H1711" s="179"/>
      <c r="I1711" s="283" t="e">
        <f>IF(#REF!="",#REF!*#REF!,IF(#REF!=0,#REF!*#REF!,#REF!*#REF!*#REF!))</f>
        <v>#REF!</v>
      </c>
      <c r="J1711" s="180" t="e">
        <f>#REF!*#REF!</f>
        <v>#REF!</v>
      </c>
      <c r="K1711" s="178" t="e">
        <f>#REF!*mo</f>
        <v>#REF!</v>
      </c>
      <c r="L1711" s="178" t="e">
        <f t="shared" si="210"/>
        <v>#REF!</v>
      </c>
      <c r="M1711" s="178" t="e">
        <f>#REF!*#REF!</f>
        <v>#REF!</v>
      </c>
      <c r="N1711" s="178" t="e">
        <f>#REF!+K1711+#REF!</f>
        <v>#REF!</v>
      </c>
      <c r="O1711" s="181" t="e">
        <f t="shared" si="209"/>
        <v>#REF!</v>
      </c>
    </row>
    <row r="1712" spans="1:15" s="193" customFormat="1" outlineLevel="2">
      <c r="A1712" s="155"/>
      <c r="B1712" s="233" t="s">
        <v>1082</v>
      </c>
      <c r="C1712" s="190" t="s">
        <v>795</v>
      </c>
      <c r="D1712" s="191"/>
      <c r="E1712" s="176"/>
      <c r="F1712" s="177"/>
      <c r="G1712" s="192"/>
      <c r="H1712" s="179"/>
      <c r="I1712" s="283" t="e">
        <f>IF(#REF!="",#REF!*#REF!,IF(#REF!=0,#REF!*#REF!,#REF!*#REF!*#REF!))</f>
        <v>#REF!</v>
      </c>
      <c r="J1712" s="180" t="e">
        <f>#REF!*#REF!</f>
        <v>#REF!</v>
      </c>
      <c r="K1712" s="178" t="e">
        <f>#REF!*mo</f>
        <v>#REF!</v>
      </c>
      <c r="L1712" s="178" t="e">
        <f t="shared" si="210"/>
        <v>#REF!</v>
      </c>
      <c r="M1712" s="178" t="e">
        <f>#REF!*#REF!</f>
        <v>#REF!</v>
      </c>
      <c r="N1712" s="178" t="e">
        <f>#REF!+K1712+#REF!</f>
        <v>#REF!</v>
      </c>
      <c r="O1712" s="181" t="e">
        <f t="shared" si="209"/>
        <v>#REF!</v>
      </c>
    </row>
    <row r="1713" spans="1:15" s="193" customFormat="1" outlineLevel="2">
      <c r="A1713" s="155"/>
      <c r="B1713" s="233" t="s">
        <v>1083</v>
      </c>
      <c r="C1713" s="190" t="s">
        <v>795</v>
      </c>
      <c r="D1713" s="191"/>
      <c r="E1713" s="176"/>
      <c r="F1713" s="177"/>
      <c r="G1713" s="192"/>
      <c r="H1713" s="179"/>
      <c r="I1713" s="283" t="e">
        <f>IF(#REF!="",#REF!*#REF!,IF(#REF!=0,#REF!*#REF!,#REF!*#REF!*#REF!))</f>
        <v>#REF!</v>
      </c>
      <c r="J1713" s="180" t="e">
        <f>#REF!*#REF!</f>
        <v>#REF!</v>
      </c>
      <c r="K1713" s="178" t="e">
        <f>#REF!*mo</f>
        <v>#REF!</v>
      </c>
      <c r="L1713" s="178" t="e">
        <f t="shared" si="210"/>
        <v>#REF!</v>
      </c>
      <c r="M1713" s="178" t="e">
        <f>#REF!*#REF!</f>
        <v>#REF!</v>
      </c>
      <c r="N1713" s="178" t="e">
        <f>#REF!+K1713+#REF!</f>
        <v>#REF!</v>
      </c>
      <c r="O1713" s="181" t="e">
        <f t="shared" si="209"/>
        <v>#REF!</v>
      </c>
    </row>
    <row r="1714" spans="1:15" s="193" customFormat="1" outlineLevel="2">
      <c r="A1714" s="155"/>
      <c r="B1714" s="233" t="s">
        <v>1084</v>
      </c>
      <c r="C1714" s="190" t="s">
        <v>795</v>
      </c>
      <c r="D1714" s="191"/>
      <c r="E1714" s="176"/>
      <c r="F1714" s="177"/>
      <c r="G1714" s="192"/>
      <c r="H1714" s="179"/>
      <c r="I1714" s="283" t="e">
        <f>IF(#REF!="",#REF!*#REF!,IF(#REF!=0,#REF!*#REF!,#REF!*#REF!*#REF!))</f>
        <v>#REF!</v>
      </c>
      <c r="J1714" s="180" t="e">
        <f>#REF!*#REF!</f>
        <v>#REF!</v>
      </c>
      <c r="K1714" s="178" t="e">
        <f>#REF!*mo</f>
        <v>#REF!</v>
      </c>
      <c r="L1714" s="178" t="e">
        <f t="shared" si="210"/>
        <v>#REF!</v>
      </c>
      <c r="M1714" s="178" t="e">
        <f>#REF!*#REF!</f>
        <v>#REF!</v>
      </c>
      <c r="N1714" s="178" t="e">
        <f>#REF!+K1714+#REF!</f>
        <v>#REF!</v>
      </c>
      <c r="O1714" s="181" t="e">
        <f t="shared" si="209"/>
        <v>#REF!</v>
      </c>
    </row>
    <row r="1715" spans="1:15" s="193" customFormat="1" outlineLevel="2">
      <c r="A1715" s="155"/>
      <c r="B1715" s="233" t="s">
        <v>1169</v>
      </c>
      <c r="C1715" s="190" t="s">
        <v>795</v>
      </c>
      <c r="D1715" s="191"/>
      <c r="E1715" s="176"/>
      <c r="F1715" s="177"/>
      <c r="G1715" s="192"/>
      <c r="H1715" s="179"/>
      <c r="I1715" s="283" t="e">
        <f>IF(#REF!="",#REF!*#REF!,IF(#REF!=0,#REF!*#REF!,#REF!*#REF!*#REF!))</f>
        <v>#REF!</v>
      </c>
      <c r="J1715" s="180" t="e">
        <f>#REF!*#REF!</f>
        <v>#REF!</v>
      </c>
      <c r="K1715" s="178" t="e">
        <f>#REF!*mo</f>
        <v>#REF!</v>
      </c>
      <c r="L1715" s="178" t="e">
        <f t="shared" si="210"/>
        <v>#REF!</v>
      </c>
      <c r="M1715" s="178" t="e">
        <f>#REF!*#REF!</f>
        <v>#REF!</v>
      </c>
      <c r="N1715" s="178" t="e">
        <f>#REF!+K1715+#REF!</f>
        <v>#REF!</v>
      </c>
      <c r="O1715" s="181" t="e">
        <f t="shared" si="209"/>
        <v>#REF!</v>
      </c>
    </row>
    <row r="1716" spans="1:15" s="193" customFormat="1" outlineLevel="2">
      <c r="A1716" s="155"/>
      <c r="B1716" s="233" t="s">
        <v>1086</v>
      </c>
      <c r="C1716" s="190" t="s">
        <v>801</v>
      </c>
      <c r="D1716" s="191"/>
      <c r="E1716" s="176"/>
      <c r="F1716" s="177"/>
      <c r="G1716" s="192"/>
      <c r="H1716" s="179"/>
      <c r="I1716" s="283" t="e">
        <f>IF(#REF!="",#REF!*#REF!,IF(#REF!=0,#REF!*#REF!,#REF!*#REF!*#REF!))</f>
        <v>#REF!</v>
      </c>
      <c r="J1716" s="180" t="e">
        <f>#REF!*#REF!</f>
        <v>#REF!</v>
      </c>
      <c r="K1716" s="178" t="e">
        <f>#REF!*mo</f>
        <v>#REF!</v>
      </c>
      <c r="L1716" s="178" t="e">
        <f t="shared" si="210"/>
        <v>#REF!</v>
      </c>
      <c r="M1716" s="178" t="e">
        <f>#REF!*#REF!</f>
        <v>#REF!</v>
      </c>
      <c r="N1716" s="178" t="e">
        <f>#REF!+K1716+#REF!</f>
        <v>#REF!</v>
      </c>
      <c r="O1716" s="181" t="e">
        <f t="shared" si="209"/>
        <v>#REF!</v>
      </c>
    </row>
    <row r="1717" spans="1:15" s="193" customFormat="1" outlineLevel="2">
      <c r="A1717" s="155"/>
      <c r="B1717" s="233" t="s">
        <v>1087</v>
      </c>
      <c r="C1717" s="190" t="s">
        <v>795</v>
      </c>
      <c r="D1717" s="191"/>
      <c r="E1717" s="176"/>
      <c r="F1717" s="177"/>
      <c r="G1717" s="192"/>
      <c r="H1717" s="179"/>
      <c r="I1717" s="283" t="e">
        <f>IF(#REF!="",#REF!*#REF!,IF(#REF!=0,#REF!*#REF!,#REF!*#REF!*#REF!))</f>
        <v>#REF!</v>
      </c>
      <c r="J1717" s="180" t="e">
        <f>#REF!*#REF!</f>
        <v>#REF!</v>
      </c>
      <c r="K1717" s="178" t="e">
        <f>#REF!*mo</f>
        <v>#REF!</v>
      </c>
      <c r="L1717" s="178" t="e">
        <f t="shared" ref="L1717" si="211">J1717*mo</f>
        <v>#REF!</v>
      </c>
      <c r="M1717" s="178" t="e">
        <f>#REF!*#REF!</f>
        <v>#REF!</v>
      </c>
      <c r="N1717" s="178" t="e">
        <f>#REF!+K1717+#REF!</f>
        <v>#REF!</v>
      </c>
      <c r="O1717" s="181" t="e">
        <f t="shared" si="209"/>
        <v>#REF!</v>
      </c>
    </row>
    <row r="1718" spans="1:15" s="193" customFormat="1" outlineLevel="2">
      <c r="A1718" s="155"/>
      <c r="B1718" s="233" t="s">
        <v>1088</v>
      </c>
      <c r="C1718" s="190" t="s">
        <v>795</v>
      </c>
      <c r="D1718" s="191"/>
      <c r="E1718" s="176"/>
      <c r="F1718" s="177"/>
      <c r="G1718" s="192"/>
      <c r="H1718" s="179"/>
      <c r="I1718" s="283" t="e">
        <f>IF(#REF!="",#REF!*#REF!,IF(#REF!=0,#REF!*#REF!,#REF!*#REF!*#REF!))</f>
        <v>#REF!</v>
      </c>
      <c r="J1718" s="180" t="e">
        <f>#REF!*#REF!</f>
        <v>#REF!</v>
      </c>
      <c r="K1718" s="178" t="e">
        <f>#REF!*mo</f>
        <v>#REF!</v>
      </c>
      <c r="L1718" s="178" t="e">
        <f t="shared" ref="L1718" si="212">J1718*mo</f>
        <v>#REF!</v>
      </c>
      <c r="M1718" s="178" t="e">
        <f>#REF!*#REF!</f>
        <v>#REF!</v>
      </c>
      <c r="N1718" s="178" t="e">
        <f>#REF!+K1718+#REF!</f>
        <v>#REF!</v>
      </c>
      <c r="O1718" s="181" t="e">
        <f t="shared" si="209"/>
        <v>#REF!</v>
      </c>
    </row>
    <row r="1719" spans="1:15" s="193" customFormat="1" outlineLevel="2">
      <c r="A1719" s="155"/>
      <c r="B1719" s="233" t="s">
        <v>1075</v>
      </c>
      <c r="C1719" s="190" t="s">
        <v>795</v>
      </c>
      <c r="D1719" s="191"/>
      <c r="E1719" s="176"/>
      <c r="F1719" s="177"/>
      <c r="G1719" s="192"/>
      <c r="H1719" s="179"/>
      <c r="I1719" s="283" t="e">
        <f>IF(#REF!="",#REF!*#REF!,IF(#REF!=0,#REF!*#REF!,#REF!*#REF!*#REF!))</f>
        <v>#REF!</v>
      </c>
      <c r="J1719" s="180" t="e">
        <f>#REF!*#REF!</f>
        <v>#REF!</v>
      </c>
      <c r="K1719" s="178" t="e">
        <f>#REF!*mo</f>
        <v>#REF!</v>
      </c>
      <c r="L1719" s="178" t="e">
        <f t="shared" si="210"/>
        <v>#REF!</v>
      </c>
      <c r="M1719" s="178" t="e">
        <f>#REF!*#REF!</f>
        <v>#REF!</v>
      </c>
      <c r="N1719" s="178" t="e">
        <f>#REF!+K1719+#REF!</f>
        <v>#REF!</v>
      </c>
      <c r="O1719" s="181" t="e">
        <f t="shared" si="209"/>
        <v>#REF!</v>
      </c>
    </row>
    <row r="1720" spans="1:15" s="193" customFormat="1" outlineLevel="1">
      <c r="A1720" s="155"/>
      <c r="B1720" s="198" t="str">
        <f>"Total "&amp;B1708</f>
        <v>Total SALLE DE BAIN</v>
      </c>
      <c r="C1720" s="190"/>
      <c r="D1720" s="191"/>
      <c r="E1720" s="176"/>
      <c r="F1720" s="177"/>
      <c r="G1720" s="192"/>
      <c r="H1720" s="179">
        <f>SUM(G1709:G1720)</f>
        <v>0</v>
      </c>
      <c r="I1720" s="283" t="e">
        <f>IF(#REF!="",#REF!*#REF!,IF(#REF!=0,#REF!*#REF!,#REF!*#REF!*#REF!))</f>
        <v>#REF!</v>
      </c>
      <c r="J1720" s="180" t="e">
        <f>#REF!*#REF!</f>
        <v>#REF!</v>
      </c>
      <c r="K1720" s="178" t="e">
        <f>#REF!*mo</f>
        <v>#REF!</v>
      </c>
      <c r="L1720" s="178" t="e">
        <f t="shared" si="210"/>
        <v>#REF!</v>
      </c>
      <c r="M1720" s="178" t="e">
        <f>#REF!*#REF!</f>
        <v>#REF!</v>
      </c>
      <c r="N1720" s="178" t="e">
        <f>#REF!+K1720+#REF!</f>
        <v>#REF!</v>
      </c>
      <c r="O1720" s="181" t="e">
        <f t="shared" si="209"/>
        <v>#REF!</v>
      </c>
    </row>
    <row r="1721" spans="1:15" s="193" customFormat="1" outlineLevel="1">
      <c r="A1721" s="155"/>
      <c r="B1721" s="248"/>
      <c r="C1721" s="190"/>
      <c r="D1721" s="191"/>
      <c r="E1721" s="176"/>
      <c r="F1721" s="177"/>
      <c r="G1721" s="192"/>
      <c r="H1721" s="179"/>
      <c r="I1721" s="283" t="e">
        <f>IF(#REF!="",#REF!*#REF!,IF(#REF!=0,#REF!*#REF!,#REF!*#REF!*#REF!))</f>
        <v>#REF!</v>
      </c>
      <c r="J1721" s="180" t="e">
        <f>#REF!*#REF!</f>
        <v>#REF!</v>
      </c>
      <c r="K1721" s="178" t="e">
        <f>#REF!*mo</f>
        <v>#REF!</v>
      </c>
      <c r="L1721" s="178" t="e">
        <f t="shared" si="210"/>
        <v>#REF!</v>
      </c>
      <c r="M1721" s="178" t="e">
        <f>#REF!*#REF!</f>
        <v>#REF!</v>
      </c>
      <c r="N1721" s="178" t="e">
        <f>#REF!+K1721+#REF!</f>
        <v>#REF!</v>
      </c>
      <c r="O1721" s="181" t="e">
        <f t="shared" si="209"/>
        <v>#REF!</v>
      </c>
    </row>
    <row r="1722" spans="1:15" s="193" customFormat="1" outlineLevel="1">
      <c r="A1722" s="157" t="str">
        <f>A1693&amp;".4"</f>
        <v>8.4</v>
      </c>
      <c r="B1722" s="210" t="s">
        <v>1089</v>
      </c>
      <c r="C1722" s="190"/>
      <c r="D1722" s="191"/>
      <c r="E1722" s="176"/>
      <c r="F1722" s="177"/>
      <c r="G1722" s="192">
        <f>SUM(F1722:F1728)</f>
        <v>0</v>
      </c>
      <c r="H1722" s="179"/>
      <c r="I1722" s="283" t="e">
        <f>IF(#REF!="",#REF!*#REF!,IF(#REF!=0,#REF!*#REF!,#REF!*#REF!*#REF!))</f>
        <v>#REF!</v>
      </c>
      <c r="J1722" s="180" t="e">
        <f>#REF!*#REF!</f>
        <v>#REF!</v>
      </c>
      <c r="K1722" s="178" t="e">
        <f>#REF!*mo</f>
        <v>#REF!</v>
      </c>
      <c r="L1722" s="178" t="e">
        <f t="shared" si="210"/>
        <v>#REF!</v>
      </c>
      <c r="M1722" s="178" t="e">
        <f>#REF!*#REF!</f>
        <v>#REF!</v>
      </c>
      <c r="N1722" s="178" t="e">
        <f>#REF!+K1722+#REF!</f>
        <v>#REF!</v>
      </c>
      <c r="O1722" s="181" t="e">
        <f t="shared" si="209"/>
        <v>#REF!</v>
      </c>
    </row>
    <row r="1723" spans="1:15" s="193" customFormat="1" outlineLevel="2">
      <c r="A1723" s="155"/>
      <c r="B1723" s="233"/>
      <c r="C1723" s="190"/>
      <c r="D1723" s="191"/>
      <c r="E1723" s="176"/>
      <c r="F1723" s="177"/>
      <c r="G1723" s="192"/>
      <c r="H1723" s="179"/>
      <c r="I1723" s="283" t="e">
        <f>IF(#REF!="",#REF!*#REF!,IF(#REF!=0,#REF!*#REF!,#REF!*#REF!*#REF!))</f>
        <v>#REF!</v>
      </c>
      <c r="J1723" s="180" t="e">
        <f>#REF!*#REF!</f>
        <v>#REF!</v>
      </c>
      <c r="K1723" s="178" t="e">
        <f>#REF!*mo</f>
        <v>#REF!</v>
      </c>
      <c r="L1723" s="178" t="e">
        <f t="shared" si="210"/>
        <v>#REF!</v>
      </c>
      <c r="M1723" s="178" t="e">
        <f>#REF!*#REF!</f>
        <v>#REF!</v>
      </c>
      <c r="N1723" s="178" t="e">
        <f>#REF!+K1723+#REF!</f>
        <v>#REF!</v>
      </c>
      <c r="O1723" s="181" t="e">
        <f t="shared" si="209"/>
        <v>#REF!</v>
      </c>
    </row>
    <row r="1724" spans="1:15" s="193" customFormat="1" outlineLevel="2">
      <c r="A1724" s="155"/>
      <c r="B1724" s="233" t="s">
        <v>1090</v>
      </c>
      <c r="C1724" s="190" t="s">
        <v>795</v>
      </c>
      <c r="D1724" s="191"/>
      <c r="E1724" s="176"/>
      <c r="F1724" s="177"/>
      <c r="G1724" s="192"/>
      <c r="H1724" s="179"/>
      <c r="I1724" s="283" t="e">
        <f>IF(#REF!="",#REF!*#REF!,IF(#REF!=0,#REF!*#REF!,#REF!*#REF!*#REF!))</f>
        <v>#REF!</v>
      </c>
      <c r="J1724" s="180" t="e">
        <f>#REF!*#REF!</f>
        <v>#REF!</v>
      </c>
      <c r="K1724" s="178" t="e">
        <f>#REF!*mo</f>
        <v>#REF!</v>
      </c>
      <c r="L1724" s="178" t="e">
        <f t="shared" si="210"/>
        <v>#REF!</v>
      </c>
      <c r="M1724" s="178" t="e">
        <f>#REF!*#REF!</f>
        <v>#REF!</v>
      </c>
      <c r="N1724" s="178" t="e">
        <f>#REF!+K1724+#REF!</f>
        <v>#REF!</v>
      </c>
      <c r="O1724" s="181" t="e">
        <f t="shared" si="209"/>
        <v>#REF!</v>
      </c>
    </row>
    <row r="1725" spans="1:15" s="193" customFormat="1" outlineLevel="2">
      <c r="A1725" s="155"/>
      <c r="B1725" s="233" t="s">
        <v>1091</v>
      </c>
      <c r="C1725" s="190" t="s">
        <v>801</v>
      </c>
      <c r="D1725" s="191"/>
      <c r="E1725" s="176"/>
      <c r="F1725" s="177"/>
      <c r="G1725" s="192"/>
      <c r="H1725" s="179"/>
      <c r="I1725" s="283" t="e">
        <f>IF(#REF!="",#REF!*#REF!,IF(#REF!=0,#REF!*#REF!,#REF!*#REF!*#REF!))</f>
        <v>#REF!</v>
      </c>
      <c r="J1725" s="180" t="e">
        <f>#REF!*#REF!</f>
        <v>#REF!</v>
      </c>
      <c r="K1725" s="178" t="e">
        <f>#REF!*mo</f>
        <v>#REF!</v>
      </c>
      <c r="L1725" s="178" t="e">
        <f t="shared" si="210"/>
        <v>#REF!</v>
      </c>
      <c r="M1725" s="178" t="e">
        <f>#REF!*#REF!</f>
        <v>#REF!</v>
      </c>
      <c r="N1725" s="178" t="e">
        <f>#REF!+K1725+#REF!</f>
        <v>#REF!</v>
      </c>
      <c r="O1725" s="181" t="e">
        <f t="shared" si="209"/>
        <v>#REF!</v>
      </c>
    </row>
    <row r="1726" spans="1:15" s="193" customFormat="1" outlineLevel="2">
      <c r="A1726" s="155"/>
      <c r="B1726" s="233" t="s">
        <v>1092</v>
      </c>
      <c r="C1726" s="190" t="s">
        <v>795</v>
      </c>
      <c r="D1726" s="191"/>
      <c r="E1726" s="176"/>
      <c r="F1726" s="177"/>
      <c r="G1726" s="192"/>
      <c r="H1726" s="179"/>
      <c r="I1726" s="283" t="e">
        <f>IF(#REF!="",#REF!*#REF!,IF(#REF!=0,#REF!*#REF!,#REF!*#REF!*#REF!))</f>
        <v>#REF!</v>
      </c>
      <c r="J1726" s="180" t="e">
        <f>#REF!*#REF!</f>
        <v>#REF!</v>
      </c>
      <c r="K1726" s="178" t="e">
        <f>#REF!*mo</f>
        <v>#REF!</v>
      </c>
      <c r="L1726" s="178" t="e">
        <f t="shared" ref="L1726" si="213">J1726*mo</f>
        <v>#REF!</v>
      </c>
      <c r="M1726" s="178" t="e">
        <f>#REF!*#REF!</f>
        <v>#REF!</v>
      </c>
      <c r="N1726" s="178" t="e">
        <f>#REF!+K1726+#REF!</f>
        <v>#REF!</v>
      </c>
      <c r="O1726" s="181" t="e">
        <f t="shared" si="209"/>
        <v>#REF!</v>
      </c>
    </row>
    <row r="1727" spans="1:15" s="193" customFormat="1" outlineLevel="2">
      <c r="A1727" s="155"/>
      <c r="B1727" s="233" t="s">
        <v>1093</v>
      </c>
      <c r="C1727" s="190" t="s">
        <v>795</v>
      </c>
      <c r="D1727" s="191"/>
      <c r="E1727" s="176"/>
      <c r="F1727" s="177"/>
      <c r="G1727" s="192"/>
      <c r="H1727" s="179"/>
      <c r="I1727" s="283" t="e">
        <f>IF(#REF!="",#REF!*#REF!,IF(#REF!=0,#REF!*#REF!,#REF!*#REF!*#REF!))</f>
        <v>#REF!</v>
      </c>
      <c r="J1727" s="180" t="e">
        <f>#REF!*#REF!</f>
        <v>#REF!</v>
      </c>
      <c r="K1727" s="178" t="e">
        <f>#REF!*mo</f>
        <v>#REF!</v>
      </c>
      <c r="L1727" s="178" t="e">
        <f t="shared" si="210"/>
        <v>#REF!</v>
      </c>
      <c r="M1727" s="178" t="e">
        <f>#REF!*#REF!</f>
        <v>#REF!</v>
      </c>
      <c r="N1727" s="178" t="e">
        <f>#REF!+K1727+#REF!</f>
        <v>#REF!</v>
      </c>
      <c r="O1727" s="181" t="e">
        <f t="shared" si="209"/>
        <v>#REF!</v>
      </c>
    </row>
    <row r="1728" spans="1:15" s="193" customFormat="1" outlineLevel="2">
      <c r="A1728" s="155"/>
      <c r="B1728" s="233" t="s">
        <v>1094</v>
      </c>
      <c r="C1728" s="190" t="s">
        <v>795</v>
      </c>
      <c r="D1728" s="191"/>
      <c r="E1728" s="176"/>
      <c r="F1728" s="177"/>
      <c r="G1728" s="192"/>
      <c r="H1728" s="179"/>
      <c r="I1728" s="283" t="e">
        <f>IF(#REF!="",#REF!*#REF!,IF(#REF!=0,#REF!*#REF!,#REF!*#REF!*#REF!))</f>
        <v>#REF!</v>
      </c>
      <c r="J1728" s="180" t="e">
        <f>#REF!*#REF!</f>
        <v>#REF!</v>
      </c>
      <c r="K1728" s="178" t="e">
        <f>#REF!*mo</f>
        <v>#REF!</v>
      </c>
      <c r="L1728" s="178" t="e">
        <f t="shared" si="210"/>
        <v>#REF!</v>
      </c>
      <c r="M1728" s="178" t="e">
        <f>#REF!*#REF!</f>
        <v>#REF!</v>
      </c>
      <c r="N1728" s="178" t="e">
        <f>#REF!+K1728+#REF!</f>
        <v>#REF!</v>
      </c>
      <c r="O1728" s="181" t="e">
        <f t="shared" si="209"/>
        <v>#REF!</v>
      </c>
    </row>
    <row r="1729" spans="1:15" s="193" customFormat="1" outlineLevel="2">
      <c r="A1729" s="157"/>
      <c r="B1729" s="233" t="s">
        <v>1095</v>
      </c>
      <c r="C1729" s="190" t="s">
        <v>795</v>
      </c>
      <c r="D1729" s="191"/>
      <c r="E1729" s="176"/>
      <c r="F1729" s="177"/>
      <c r="G1729" s="192"/>
      <c r="H1729" s="179"/>
      <c r="I1729" s="283" t="e">
        <f>IF(#REF!="",#REF!*#REF!,IF(#REF!=0,#REF!*#REF!,#REF!*#REF!*#REF!))</f>
        <v>#REF!</v>
      </c>
      <c r="J1729" s="180" t="e">
        <f>#REF!*#REF!</f>
        <v>#REF!</v>
      </c>
      <c r="K1729" s="178" t="e">
        <f>#REF!*mo</f>
        <v>#REF!</v>
      </c>
      <c r="L1729" s="178" t="e">
        <f t="shared" si="210"/>
        <v>#REF!</v>
      </c>
      <c r="M1729" s="178" t="e">
        <f>#REF!*#REF!</f>
        <v>#REF!</v>
      </c>
      <c r="N1729" s="178" t="e">
        <f>#REF!+K1729+#REF!</f>
        <v>#REF!</v>
      </c>
      <c r="O1729" s="181" t="e">
        <f t="shared" si="209"/>
        <v>#REF!</v>
      </c>
    </row>
    <row r="1730" spans="1:15" s="193" customFormat="1" outlineLevel="2">
      <c r="A1730" s="155"/>
      <c r="B1730" s="156" t="s">
        <v>1096</v>
      </c>
      <c r="C1730" s="190" t="s">
        <v>795</v>
      </c>
      <c r="D1730" s="191"/>
      <c r="E1730" s="176"/>
      <c r="F1730" s="177"/>
      <c r="G1730" s="192"/>
      <c r="H1730" s="179"/>
      <c r="I1730" s="283" t="e">
        <f>IF(#REF!="",#REF!*#REF!,IF(#REF!=0,#REF!*#REF!,#REF!*#REF!*#REF!))</f>
        <v>#REF!</v>
      </c>
      <c r="J1730" s="180" t="e">
        <f>#REF!*#REF!</f>
        <v>#REF!</v>
      </c>
      <c r="K1730" s="178" t="e">
        <f>#REF!*mo</f>
        <v>#REF!</v>
      </c>
      <c r="L1730" s="178" t="e">
        <f t="shared" si="210"/>
        <v>#REF!</v>
      </c>
      <c r="M1730" s="178" t="e">
        <f>#REF!*#REF!</f>
        <v>#REF!</v>
      </c>
      <c r="N1730" s="178" t="e">
        <f>#REF!+K1730+#REF!</f>
        <v>#REF!</v>
      </c>
      <c r="O1730" s="181" t="e">
        <f t="shared" si="209"/>
        <v>#REF!</v>
      </c>
    </row>
    <row r="1731" spans="1:15" s="193" customFormat="1" outlineLevel="1">
      <c r="A1731" s="155"/>
      <c r="B1731" s="198" t="str">
        <f>"Total "&amp;B1722</f>
        <v>Total CUISINE</v>
      </c>
      <c r="C1731" s="190"/>
      <c r="D1731" s="191"/>
      <c r="E1731" s="176"/>
      <c r="F1731" s="177"/>
      <c r="G1731" s="192"/>
      <c r="H1731" s="179">
        <f>SUM(G1722:G1731)</f>
        <v>0</v>
      </c>
      <c r="I1731" s="283" t="e">
        <f>IF(#REF!="",#REF!*#REF!,IF(#REF!=0,#REF!*#REF!,#REF!*#REF!*#REF!))</f>
        <v>#REF!</v>
      </c>
      <c r="J1731" s="180" t="e">
        <f>#REF!*#REF!</f>
        <v>#REF!</v>
      </c>
      <c r="K1731" s="178" t="e">
        <f>#REF!*mo</f>
        <v>#REF!</v>
      </c>
      <c r="L1731" s="178" t="e">
        <f t="shared" si="210"/>
        <v>#REF!</v>
      </c>
      <c r="M1731" s="178" t="e">
        <f>#REF!*#REF!</f>
        <v>#REF!</v>
      </c>
      <c r="N1731" s="178" t="e">
        <f>#REF!+K1731+#REF!</f>
        <v>#REF!</v>
      </c>
      <c r="O1731" s="181" t="e">
        <f t="shared" si="209"/>
        <v>#REF!</v>
      </c>
    </row>
    <row r="1732" spans="1:15" s="193" customFormat="1" outlineLevel="1">
      <c r="A1732" s="155"/>
      <c r="B1732" s="198"/>
      <c r="C1732" s="190"/>
      <c r="D1732" s="191"/>
      <c r="E1732" s="176"/>
      <c r="F1732" s="177"/>
      <c r="G1732" s="192"/>
      <c r="H1732" s="235"/>
      <c r="I1732" s="283" t="e">
        <f>IF(#REF!="",#REF!*#REF!,IF(#REF!=0,#REF!*#REF!,#REF!*#REF!*#REF!))</f>
        <v>#REF!</v>
      </c>
      <c r="J1732" s="180" t="e">
        <f>#REF!*#REF!</f>
        <v>#REF!</v>
      </c>
      <c r="K1732" s="178" t="e">
        <f>#REF!*mo</f>
        <v>#REF!</v>
      </c>
      <c r="L1732" s="178" t="e">
        <f t="shared" si="210"/>
        <v>#REF!</v>
      </c>
      <c r="M1732" s="178" t="e">
        <f>#REF!*#REF!</f>
        <v>#REF!</v>
      </c>
      <c r="N1732" s="178" t="e">
        <f>#REF!+K1732+#REF!</f>
        <v>#REF!</v>
      </c>
      <c r="O1732" s="181" t="e">
        <f t="shared" si="209"/>
        <v>#REF!</v>
      </c>
    </row>
    <row r="1733" spans="1:15" s="209" customFormat="1" outlineLevel="1">
      <c r="A1733" s="157" t="str">
        <f>A1693&amp;".5"</f>
        <v>8.5</v>
      </c>
      <c r="B1733" s="158" t="s">
        <v>1097</v>
      </c>
      <c r="C1733" s="195"/>
      <c r="D1733" s="170"/>
      <c r="E1733" s="176"/>
      <c r="F1733" s="177"/>
      <c r="G1733" s="192">
        <f>SUM(F1733:F1739)</f>
        <v>0</v>
      </c>
      <c r="H1733" s="196"/>
      <c r="I1733" s="283" t="e">
        <f>IF(#REF!="",#REF!*#REF!,IF(#REF!=0,#REF!*#REF!,#REF!*#REF!*#REF!))</f>
        <v>#REF!</v>
      </c>
      <c r="J1733" s="180" t="e">
        <f>#REF!*#REF!</f>
        <v>#REF!</v>
      </c>
      <c r="K1733" s="178" t="e">
        <f>#REF!*mo</f>
        <v>#REF!</v>
      </c>
      <c r="L1733" s="178" t="e">
        <f t="shared" si="210"/>
        <v>#REF!</v>
      </c>
      <c r="M1733" s="178" t="e">
        <f>#REF!*#REF!</f>
        <v>#REF!</v>
      </c>
      <c r="N1733" s="178" t="e">
        <f>#REF!+K1733+#REF!</f>
        <v>#REF!</v>
      </c>
      <c r="O1733" s="181" t="e">
        <f t="shared" si="209"/>
        <v>#REF!</v>
      </c>
    </row>
    <row r="1734" spans="1:15" s="193" customFormat="1" outlineLevel="2">
      <c r="A1734" s="155"/>
      <c r="B1734" s="156"/>
      <c r="C1734" s="190"/>
      <c r="D1734" s="191"/>
      <c r="E1734" s="176"/>
      <c r="F1734" s="177"/>
      <c r="G1734" s="192"/>
      <c r="H1734" s="179"/>
      <c r="I1734" s="283" t="e">
        <f>IF(#REF!="",#REF!*#REF!,IF(#REF!=0,#REF!*#REF!,#REF!*#REF!*#REF!))</f>
        <v>#REF!</v>
      </c>
      <c r="J1734" s="180" t="e">
        <f>#REF!*#REF!</f>
        <v>#REF!</v>
      </c>
      <c r="K1734" s="178" t="e">
        <f>#REF!*mo</f>
        <v>#REF!</v>
      </c>
      <c r="L1734" s="178" t="e">
        <f t="shared" si="210"/>
        <v>#REF!</v>
      </c>
      <c r="M1734" s="178" t="e">
        <f>#REF!*#REF!</f>
        <v>#REF!</v>
      </c>
      <c r="N1734" s="178" t="e">
        <f>#REF!+K1734+#REF!</f>
        <v>#REF!</v>
      </c>
      <c r="O1734" s="181" t="e">
        <f t="shared" si="209"/>
        <v>#REF!</v>
      </c>
    </row>
    <row r="1735" spans="1:15" s="193" customFormat="1" outlineLevel="2">
      <c r="A1735" s="155"/>
      <c r="B1735" s="236" t="s">
        <v>1098</v>
      </c>
      <c r="C1735" s="190" t="s">
        <v>795</v>
      </c>
      <c r="D1735" s="191"/>
      <c r="E1735" s="176"/>
      <c r="F1735" s="177"/>
      <c r="G1735" s="192"/>
      <c r="H1735" s="179"/>
      <c r="I1735" s="283" t="e">
        <f>IF(#REF!="",#REF!*#REF!,IF(#REF!=0,#REF!*#REF!,#REF!*#REF!*#REF!))</f>
        <v>#REF!</v>
      </c>
      <c r="J1735" s="180" t="e">
        <f>#REF!*#REF!</f>
        <v>#REF!</v>
      </c>
      <c r="K1735" s="178" t="e">
        <f>#REF!*mo</f>
        <v>#REF!</v>
      </c>
      <c r="L1735" s="178" t="e">
        <f t="shared" si="210"/>
        <v>#REF!</v>
      </c>
      <c r="M1735" s="178" t="e">
        <f>#REF!*#REF!</f>
        <v>#REF!</v>
      </c>
      <c r="N1735" s="178" t="e">
        <f>#REF!+K1735+#REF!</f>
        <v>#REF!</v>
      </c>
      <c r="O1735" s="181" t="e">
        <f t="shared" si="209"/>
        <v>#REF!</v>
      </c>
    </row>
    <row r="1736" spans="1:15" s="193" customFormat="1" outlineLevel="2">
      <c r="A1736" s="155"/>
      <c r="B1736" s="236" t="s">
        <v>1099</v>
      </c>
      <c r="C1736" s="190" t="s">
        <v>795</v>
      </c>
      <c r="D1736" s="191"/>
      <c r="E1736" s="176"/>
      <c r="F1736" s="177"/>
      <c r="G1736" s="192"/>
      <c r="H1736" s="179"/>
      <c r="I1736" s="283" t="e">
        <f>IF(#REF!="",#REF!*#REF!,IF(#REF!=0,#REF!*#REF!,#REF!*#REF!*#REF!))</f>
        <v>#REF!</v>
      </c>
      <c r="J1736" s="180" t="e">
        <f>#REF!*#REF!</f>
        <v>#REF!</v>
      </c>
      <c r="K1736" s="178" t="e">
        <f>#REF!*mo</f>
        <v>#REF!</v>
      </c>
      <c r="L1736" s="178" t="e">
        <f t="shared" si="210"/>
        <v>#REF!</v>
      </c>
      <c r="M1736" s="178" t="e">
        <f>#REF!*#REF!</f>
        <v>#REF!</v>
      </c>
      <c r="N1736" s="178" t="e">
        <f>#REF!+K1736+#REF!</f>
        <v>#REF!</v>
      </c>
      <c r="O1736" s="181" t="e">
        <f t="shared" si="209"/>
        <v>#REF!</v>
      </c>
    </row>
    <row r="1737" spans="1:15" s="193" customFormat="1" outlineLevel="2">
      <c r="A1737" s="155"/>
      <c r="B1737" s="236" t="s">
        <v>1170</v>
      </c>
      <c r="C1737" s="190" t="s">
        <v>795</v>
      </c>
      <c r="D1737" s="191"/>
      <c r="E1737" s="176"/>
      <c r="F1737" s="177"/>
      <c r="G1737" s="192"/>
      <c r="H1737" s="179"/>
      <c r="I1737" s="283" t="e">
        <f>IF(#REF!="",#REF!*#REF!,IF(#REF!=0,#REF!*#REF!,#REF!*#REF!*#REF!))</f>
        <v>#REF!</v>
      </c>
      <c r="J1737" s="180" t="e">
        <f>#REF!*#REF!</f>
        <v>#REF!</v>
      </c>
      <c r="K1737" s="178" t="e">
        <f>#REF!*mo</f>
        <v>#REF!</v>
      </c>
      <c r="L1737" s="178" t="e">
        <f t="shared" ref="L1737" si="214">J1737*mo</f>
        <v>#REF!</v>
      </c>
      <c r="M1737" s="178" t="e">
        <f>#REF!*#REF!</f>
        <v>#REF!</v>
      </c>
      <c r="N1737" s="178" t="e">
        <f>#REF!+K1737+#REF!</f>
        <v>#REF!</v>
      </c>
      <c r="O1737" s="181" t="e">
        <f t="shared" si="209"/>
        <v>#REF!</v>
      </c>
    </row>
    <row r="1738" spans="1:15" s="193" customFormat="1" outlineLevel="1">
      <c r="A1738" s="155"/>
      <c r="B1738" s="198" t="str">
        <f>"Total "&amp;B1733</f>
        <v>Total LOCAUX D'ENTRETIEN</v>
      </c>
      <c r="C1738" s="190"/>
      <c r="D1738" s="191"/>
      <c r="E1738" s="176"/>
      <c r="F1738" s="177"/>
      <c r="G1738" s="192"/>
      <c r="H1738" s="179">
        <f>G1733</f>
        <v>0</v>
      </c>
      <c r="I1738" s="283" t="e">
        <f>IF(#REF!="",#REF!*#REF!,IF(#REF!=0,#REF!*#REF!,#REF!*#REF!*#REF!))</f>
        <v>#REF!</v>
      </c>
      <c r="J1738" s="180" t="e">
        <f>#REF!*#REF!</f>
        <v>#REF!</v>
      </c>
      <c r="K1738" s="178" t="e">
        <f>#REF!*mo</f>
        <v>#REF!</v>
      </c>
      <c r="L1738" s="178" t="e">
        <f t="shared" si="210"/>
        <v>#REF!</v>
      </c>
      <c r="M1738" s="178" t="e">
        <f>#REF!*#REF!</f>
        <v>#REF!</v>
      </c>
      <c r="N1738" s="178" t="e">
        <f>#REF!+K1738+#REF!</f>
        <v>#REF!</v>
      </c>
      <c r="O1738" s="181" t="e">
        <f t="shared" si="209"/>
        <v>#REF!</v>
      </c>
    </row>
    <row r="1739" spans="1:15" s="193" customFormat="1" outlineLevel="1">
      <c r="A1739" s="155"/>
      <c r="B1739" s="156"/>
      <c r="C1739" s="190"/>
      <c r="D1739" s="191"/>
      <c r="E1739" s="176"/>
      <c r="F1739" s="177"/>
      <c r="G1739" s="192"/>
      <c r="H1739" s="179"/>
      <c r="I1739" s="283" t="e">
        <f>IF(#REF!="",#REF!*#REF!,IF(#REF!=0,#REF!*#REF!,#REF!*#REF!*#REF!))</f>
        <v>#REF!</v>
      </c>
      <c r="J1739" s="180" t="e">
        <f>#REF!*#REF!</f>
        <v>#REF!</v>
      </c>
      <c r="K1739" s="178" t="e">
        <f>#REF!*mo</f>
        <v>#REF!</v>
      </c>
      <c r="L1739" s="178" t="e">
        <f t="shared" si="210"/>
        <v>#REF!</v>
      </c>
      <c r="M1739" s="178" t="e">
        <f>#REF!*#REF!</f>
        <v>#REF!</v>
      </c>
      <c r="N1739" s="178" t="e">
        <f>#REF!+K1739+#REF!</f>
        <v>#REF!</v>
      </c>
      <c r="O1739" s="181" t="e">
        <f t="shared" si="209"/>
        <v>#REF!</v>
      </c>
    </row>
    <row r="1740" spans="1:15" s="194" customFormat="1" ht="12.6">
      <c r="A1740" s="153">
        <v>9</v>
      </c>
      <c r="B1740" s="154" t="s">
        <v>1100</v>
      </c>
      <c r="C1740" s="182"/>
      <c r="D1740" s="183"/>
      <c r="E1740" s="184"/>
      <c r="F1740" s="185"/>
      <c r="G1740" s="186"/>
      <c r="H1740" s="187">
        <f>SUM(H1742:H1801)</f>
        <v>0</v>
      </c>
      <c r="I1740" s="283" t="e">
        <f>IF(#REF!="",#REF!*#REF!,IF(#REF!=0,#REF!*#REF!,#REF!*#REF!*#REF!))</f>
        <v>#REF!</v>
      </c>
      <c r="J1740" s="180" t="e">
        <f>#REF!*#REF!</f>
        <v>#REF!</v>
      </c>
      <c r="K1740" s="178" t="e">
        <f>#REF!*mo</f>
        <v>#REF!</v>
      </c>
      <c r="L1740" s="178" t="e">
        <f t="shared" si="210"/>
        <v>#REF!</v>
      </c>
      <c r="M1740" s="178" t="e">
        <f>#REF!*#REF!</f>
        <v>#REF!</v>
      </c>
      <c r="N1740" s="178" t="e">
        <f>#REF!+K1740+#REF!</f>
        <v>#REF!</v>
      </c>
      <c r="O1740" s="181" t="e">
        <f t="shared" si="209"/>
        <v>#REF!</v>
      </c>
    </row>
    <row r="1741" spans="1:15" s="193" customFormat="1" outlineLevel="1">
      <c r="A1741" s="155"/>
      <c r="B1741" s="156"/>
      <c r="C1741" s="190"/>
      <c r="D1741" s="191"/>
      <c r="E1741" s="176"/>
      <c r="F1741" s="177"/>
      <c r="G1741" s="192"/>
      <c r="H1741" s="179"/>
      <c r="I1741" s="283" t="e">
        <f>IF(#REF!="",#REF!*#REF!,IF(#REF!=0,#REF!*#REF!,#REF!*#REF!*#REF!))</f>
        <v>#REF!</v>
      </c>
      <c r="J1741" s="180" t="e">
        <f>#REF!*#REF!</f>
        <v>#REF!</v>
      </c>
      <c r="K1741" s="178" t="e">
        <f>#REF!*mo</f>
        <v>#REF!</v>
      </c>
      <c r="L1741" s="178" t="e">
        <f t="shared" si="210"/>
        <v>#REF!</v>
      </c>
      <c r="M1741" s="178" t="e">
        <f>#REF!*#REF!</f>
        <v>#REF!</v>
      </c>
      <c r="N1741" s="178" t="e">
        <f>#REF!+K1741+#REF!</f>
        <v>#REF!</v>
      </c>
      <c r="O1741" s="181" t="e">
        <f t="shared" si="209"/>
        <v>#REF!</v>
      </c>
    </row>
    <row r="1742" spans="1:15" s="193" customFormat="1" outlineLevel="1">
      <c r="A1742" s="155"/>
      <c r="B1742" s="156"/>
      <c r="C1742" s="190"/>
      <c r="D1742" s="191"/>
      <c r="E1742" s="176"/>
      <c r="F1742" s="177"/>
      <c r="G1742" s="192"/>
      <c r="H1742" s="179"/>
      <c r="I1742" s="283" t="e">
        <f>IF(#REF!="",#REF!*#REF!,IF(#REF!=0,#REF!*#REF!,#REF!*#REF!*#REF!))</f>
        <v>#REF!</v>
      </c>
      <c r="J1742" s="180" t="e">
        <f>#REF!*#REF!</f>
        <v>#REF!</v>
      </c>
      <c r="K1742" s="178" t="e">
        <f>#REF!*mo</f>
        <v>#REF!</v>
      </c>
      <c r="L1742" s="178" t="e">
        <f t="shared" si="210"/>
        <v>#REF!</v>
      </c>
      <c r="M1742" s="178" t="e">
        <f>#REF!*#REF!</f>
        <v>#REF!</v>
      </c>
      <c r="N1742" s="178" t="e">
        <f>#REF!+K1742+#REF!</f>
        <v>#REF!</v>
      </c>
      <c r="O1742" s="181" t="e">
        <f t="shared" si="209"/>
        <v>#REF!</v>
      </c>
    </row>
    <row r="1743" spans="1:15" s="251" customFormat="1" outlineLevel="1">
      <c r="A1743" s="157" t="str">
        <f>$A$854&amp;".1"</f>
        <v>.1</v>
      </c>
      <c r="B1743" s="158" t="s">
        <v>1110</v>
      </c>
      <c r="C1743" s="249"/>
      <c r="D1743" s="250"/>
      <c r="E1743" s="176"/>
      <c r="F1743" s="177"/>
      <c r="G1743" s="192">
        <f>SUM(F1744:F1748)</f>
        <v>0</v>
      </c>
      <c r="H1743" s="179"/>
      <c r="I1743" s="283" t="e">
        <f>IF(#REF!="",#REF!*#REF!,IF(#REF!=0,#REF!*#REF!,#REF!*#REF!*#REF!))</f>
        <v>#REF!</v>
      </c>
      <c r="J1743" s="180" t="e">
        <f>#REF!*#REF!</f>
        <v>#REF!</v>
      </c>
      <c r="K1743" s="178" t="e">
        <f>#REF!*mo</f>
        <v>#REF!</v>
      </c>
      <c r="L1743" s="178" t="e">
        <f t="shared" si="210"/>
        <v>#REF!</v>
      </c>
      <c r="M1743" s="178" t="e">
        <f>#REF!*#REF!</f>
        <v>#REF!</v>
      </c>
      <c r="N1743" s="178" t="e">
        <f>#REF!+K1743+#REF!</f>
        <v>#REF!</v>
      </c>
      <c r="O1743" s="181" t="e">
        <f t="shared" si="209"/>
        <v>#REF!</v>
      </c>
    </row>
    <row r="1744" spans="1:15" s="193" customFormat="1" ht="12" customHeight="1" outlineLevel="2">
      <c r="A1744" s="155"/>
      <c r="B1744" s="236"/>
      <c r="C1744" s="190"/>
      <c r="D1744" s="191"/>
      <c r="E1744" s="176"/>
      <c r="F1744" s="177"/>
      <c r="G1744" s="192"/>
      <c r="H1744" s="179"/>
      <c r="I1744" s="283" t="e">
        <f>IF(#REF!="",#REF!*#REF!,IF(#REF!=0,#REF!*#REF!,#REF!*#REF!*#REF!))</f>
        <v>#REF!</v>
      </c>
      <c r="J1744" s="180" t="e">
        <f>#REF!*#REF!</f>
        <v>#REF!</v>
      </c>
      <c r="K1744" s="178" t="e">
        <f>#REF!*mo</f>
        <v>#REF!</v>
      </c>
      <c r="L1744" s="178" t="e">
        <f t="shared" si="210"/>
        <v>#REF!</v>
      </c>
      <c r="M1744" s="178" t="e">
        <f>#REF!*#REF!</f>
        <v>#REF!</v>
      </c>
      <c r="N1744" s="178" t="e">
        <f>#REF!+K1744+#REF!</f>
        <v>#REF!</v>
      </c>
      <c r="O1744" s="181" t="e">
        <f t="shared" si="209"/>
        <v>#REF!</v>
      </c>
    </row>
    <row r="1745" spans="1:15" s="193" customFormat="1" ht="12" customHeight="1" outlineLevel="2">
      <c r="A1745" s="155"/>
      <c r="B1745" s="236" t="s">
        <v>1111</v>
      </c>
      <c r="C1745" s="190" t="s">
        <v>93</v>
      </c>
      <c r="D1745" s="191"/>
      <c r="E1745" s="176"/>
      <c r="F1745" s="177"/>
      <c r="G1745" s="192"/>
      <c r="H1745" s="179"/>
      <c r="I1745" s="283" t="e">
        <f>IF(#REF!="",#REF!*#REF!,IF(#REF!=0,#REF!*#REF!,#REF!*#REF!*#REF!))</f>
        <v>#REF!</v>
      </c>
      <c r="J1745" s="180" t="e">
        <f>#REF!*#REF!</f>
        <v>#REF!</v>
      </c>
      <c r="K1745" s="178" t="e">
        <f>#REF!*mo</f>
        <v>#REF!</v>
      </c>
      <c r="L1745" s="178" t="e">
        <f t="shared" si="210"/>
        <v>#REF!</v>
      </c>
      <c r="M1745" s="178" t="e">
        <f>#REF!*#REF!</f>
        <v>#REF!</v>
      </c>
      <c r="N1745" s="178" t="e">
        <f>#REF!+K1745+#REF!</f>
        <v>#REF!</v>
      </c>
      <c r="O1745" s="181" t="e">
        <f t="shared" si="209"/>
        <v>#REF!</v>
      </c>
    </row>
    <row r="1746" spans="1:15" s="193" customFormat="1" outlineLevel="2">
      <c r="A1746" s="155"/>
      <c r="B1746" s="236" t="s">
        <v>1112</v>
      </c>
      <c r="C1746" s="190" t="s">
        <v>93</v>
      </c>
      <c r="D1746" s="191"/>
      <c r="E1746" s="176"/>
      <c r="F1746" s="177"/>
      <c r="G1746" s="192"/>
      <c r="H1746" s="179"/>
      <c r="I1746" s="283" t="e">
        <f>IF(#REF!="",#REF!*#REF!,IF(#REF!=0,#REF!*#REF!,#REF!*#REF!*#REF!))</f>
        <v>#REF!</v>
      </c>
      <c r="J1746" s="180" t="e">
        <f>#REF!*#REF!</f>
        <v>#REF!</v>
      </c>
      <c r="K1746" s="178" t="e">
        <f>#REF!*mo</f>
        <v>#REF!</v>
      </c>
      <c r="L1746" s="178" t="e">
        <f t="shared" si="210"/>
        <v>#REF!</v>
      </c>
      <c r="M1746" s="178" t="e">
        <f>#REF!*#REF!</f>
        <v>#REF!</v>
      </c>
      <c r="N1746" s="178" t="e">
        <f>#REF!+K1746+#REF!</f>
        <v>#REF!</v>
      </c>
      <c r="O1746" s="181" t="e">
        <f t="shared" si="209"/>
        <v>#REF!</v>
      </c>
    </row>
    <row r="1747" spans="1:15" s="193" customFormat="1" outlineLevel="2">
      <c r="A1747" s="155"/>
      <c r="B1747" s="236" t="s">
        <v>1113</v>
      </c>
      <c r="C1747" s="190" t="s">
        <v>93</v>
      </c>
      <c r="D1747" s="191"/>
      <c r="E1747" s="176"/>
      <c r="F1747" s="177"/>
      <c r="G1747" s="192"/>
      <c r="H1747" s="179"/>
      <c r="I1747" s="283" t="e">
        <f>IF(#REF!="",#REF!*#REF!,IF(#REF!=0,#REF!*#REF!,#REF!*#REF!*#REF!))</f>
        <v>#REF!</v>
      </c>
      <c r="J1747" s="180" t="e">
        <f>#REF!*#REF!</f>
        <v>#REF!</v>
      </c>
      <c r="K1747" s="178" t="e">
        <f>#REF!*mo</f>
        <v>#REF!</v>
      </c>
      <c r="L1747" s="178" t="e">
        <f t="shared" si="210"/>
        <v>#REF!</v>
      </c>
      <c r="M1747" s="178" t="e">
        <f>#REF!*#REF!</f>
        <v>#REF!</v>
      </c>
      <c r="N1747" s="178" t="e">
        <f>#REF!+K1747+#REF!</f>
        <v>#REF!</v>
      </c>
      <c r="O1747" s="181" t="e">
        <f t="shared" si="209"/>
        <v>#REF!</v>
      </c>
    </row>
    <row r="1748" spans="1:15" s="193" customFormat="1" outlineLevel="2">
      <c r="A1748" s="155"/>
      <c r="B1748" s="236"/>
      <c r="C1748" s="190"/>
      <c r="D1748" s="191"/>
      <c r="E1748" s="176"/>
      <c r="F1748" s="177"/>
      <c r="G1748" s="192"/>
      <c r="H1748" s="179"/>
      <c r="I1748" s="283" t="e">
        <f>IF(#REF!="",#REF!*#REF!,IF(#REF!=0,#REF!*#REF!,#REF!*#REF!*#REF!))</f>
        <v>#REF!</v>
      </c>
      <c r="J1748" s="180" t="e">
        <f>#REF!*#REF!</f>
        <v>#REF!</v>
      </c>
      <c r="K1748" s="178" t="e">
        <f>#REF!*mo</f>
        <v>#REF!</v>
      </c>
      <c r="L1748" s="178" t="e">
        <f t="shared" si="210"/>
        <v>#REF!</v>
      </c>
      <c r="M1748" s="178" t="e">
        <f>#REF!*#REF!</f>
        <v>#REF!</v>
      </c>
      <c r="N1748" s="178" t="e">
        <f>#REF!+K1748+#REF!</f>
        <v>#REF!</v>
      </c>
      <c r="O1748" s="181" t="e">
        <f t="shared" si="209"/>
        <v>#REF!</v>
      </c>
    </row>
    <row r="1749" spans="1:15" s="251" customFormat="1" ht="12.75" customHeight="1" outlineLevel="1">
      <c r="A1749" s="157"/>
      <c r="B1749" s="198" t="str">
        <f>"Total "&amp;B1743</f>
        <v>Total EXTINCTEURS</v>
      </c>
      <c r="C1749" s="249"/>
      <c r="D1749" s="250"/>
      <c r="E1749" s="176"/>
      <c r="F1749" s="177"/>
      <c r="G1749" s="192"/>
      <c r="H1749" s="179">
        <f>SUM(F1743:F1749)</f>
        <v>0</v>
      </c>
      <c r="I1749" s="283" t="e">
        <f>IF(#REF!="",#REF!*#REF!,IF(#REF!=0,#REF!*#REF!,#REF!*#REF!*#REF!))</f>
        <v>#REF!</v>
      </c>
      <c r="J1749" s="180" t="e">
        <f>#REF!*#REF!</f>
        <v>#REF!</v>
      </c>
      <c r="K1749" s="178" t="e">
        <f>#REF!*mo</f>
        <v>#REF!</v>
      </c>
      <c r="L1749" s="178" t="e">
        <f t="shared" si="210"/>
        <v>#REF!</v>
      </c>
      <c r="M1749" s="178" t="e">
        <f>#REF!*#REF!</f>
        <v>#REF!</v>
      </c>
      <c r="N1749" s="178" t="e">
        <f>#REF!+K1749+#REF!</f>
        <v>#REF!</v>
      </c>
      <c r="O1749" s="181" t="e">
        <f t="shared" si="209"/>
        <v>#REF!</v>
      </c>
    </row>
    <row r="1750" spans="1:15" s="251" customFormat="1" ht="12.75" customHeight="1" outlineLevel="1">
      <c r="A1750" s="157"/>
      <c r="B1750" s="198"/>
      <c r="C1750" s="249"/>
      <c r="D1750" s="250"/>
      <c r="E1750" s="176"/>
      <c r="F1750" s="177"/>
      <c r="G1750" s="192"/>
      <c r="H1750" s="179"/>
      <c r="I1750" s="283" t="e">
        <f>IF(#REF!="",#REF!*#REF!,IF(#REF!=0,#REF!*#REF!,#REF!*#REF!*#REF!))</f>
        <v>#REF!</v>
      </c>
      <c r="J1750" s="180" t="e">
        <f>#REF!*#REF!</f>
        <v>#REF!</v>
      </c>
      <c r="K1750" s="178" t="e">
        <f>#REF!*mo</f>
        <v>#REF!</v>
      </c>
      <c r="L1750" s="178" t="e">
        <f t="shared" si="210"/>
        <v>#REF!</v>
      </c>
      <c r="M1750" s="178" t="e">
        <f>#REF!*#REF!</f>
        <v>#REF!</v>
      </c>
      <c r="N1750" s="178" t="e">
        <f>#REF!+K1750+#REF!</f>
        <v>#REF!</v>
      </c>
      <c r="O1750" s="181" t="e">
        <f t="shared" si="209"/>
        <v>#REF!</v>
      </c>
    </row>
    <row r="1751" spans="1:15" s="251" customFormat="1" outlineLevel="1">
      <c r="A1751" s="157" t="str">
        <f>$A$854&amp;".2"</f>
        <v>.2</v>
      </c>
      <c r="B1751" s="158" t="s">
        <v>1101</v>
      </c>
      <c r="C1751" s="249"/>
      <c r="D1751" s="250"/>
      <c r="E1751" s="176"/>
      <c r="F1751" s="177"/>
      <c r="G1751" s="192">
        <f>SUM(F1752:F1763)</f>
        <v>0</v>
      </c>
      <c r="H1751" s="179"/>
      <c r="I1751" s="283" t="e">
        <f>IF(#REF!="",#REF!*#REF!,IF(#REF!=0,#REF!*#REF!,#REF!*#REF!*#REF!))</f>
        <v>#REF!</v>
      </c>
      <c r="J1751" s="180" t="e">
        <f>#REF!*#REF!</f>
        <v>#REF!</v>
      </c>
      <c r="K1751" s="178" t="e">
        <f>#REF!*mo</f>
        <v>#REF!</v>
      </c>
      <c r="L1751" s="178" t="e">
        <f t="shared" si="210"/>
        <v>#REF!</v>
      </c>
      <c r="M1751" s="178" t="e">
        <f>#REF!*#REF!</f>
        <v>#REF!</v>
      </c>
      <c r="N1751" s="178" t="e">
        <f>#REF!+K1751+#REF!</f>
        <v>#REF!</v>
      </c>
      <c r="O1751" s="181" t="e">
        <f t="shared" si="209"/>
        <v>#REF!</v>
      </c>
    </row>
    <row r="1752" spans="1:15" s="193" customFormat="1" outlineLevel="2">
      <c r="A1752" s="155"/>
      <c r="B1752" s="156"/>
      <c r="C1752" s="190"/>
      <c r="D1752" s="191"/>
      <c r="E1752" s="176"/>
      <c r="F1752" s="177"/>
      <c r="G1752" s="192"/>
      <c r="H1752" s="179"/>
      <c r="I1752" s="283" t="e">
        <f>IF(#REF!="",#REF!*#REF!,IF(#REF!=0,#REF!*#REF!,#REF!*#REF!*#REF!))</f>
        <v>#REF!</v>
      </c>
      <c r="J1752" s="180" t="e">
        <f>#REF!*#REF!</f>
        <v>#REF!</v>
      </c>
      <c r="K1752" s="178" t="e">
        <f>#REF!*mo</f>
        <v>#REF!</v>
      </c>
      <c r="L1752" s="178" t="e">
        <f t="shared" si="210"/>
        <v>#REF!</v>
      </c>
      <c r="M1752" s="178" t="e">
        <f>#REF!*#REF!</f>
        <v>#REF!</v>
      </c>
      <c r="N1752" s="178" t="e">
        <f>#REF!+K1752+#REF!</f>
        <v>#REF!</v>
      </c>
      <c r="O1752" s="181" t="e">
        <f t="shared" si="209"/>
        <v>#REF!</v>
      </c>
    </row>
    <row r="1753" spans="1:15" s="193" customFormat="1" outlineLevel="2">
      <c r="A1753" s="155"/>
      <c r="B1753" s="156" t="s">
        <v>1102</v>
      </c>
      <c r="C1753" s="190" t="s">
        <v>93</v>
      </c>
      <c r="D1753" s="191"/>
      <c r="E1753" s="176"/>
      <c r="F1753" s="177"/>
      <c r="G1753" s="192"/>
      <c r="H1753" s="179"/>
      <c r="I1753" s="283" t="e">
        <f>IF(#REF!="",#REF!*#REF!,IF(#REF!=0,#REF!*#REF!,#REF!*#REF!*#REF!))</f>
        <v>#REF!</v>
      </c>
      <c r="J1753" s="180" t="e">
        <f>#REF!*#REF!</f>
        <v>#REF!</v>
      </c>
      <c r="K1753" s="178" t="e">
        <f>#REF!*mo</f>
        <v>#REF!</v>
      </c>
      <c r="L1753" s="178" t="e">
        <f t="shared" si="210"/>
        <v>#REF!</v>
      </c>
      <c r="M1753" s="178" t="e">
        <f>#REF!*#REF!</f>
        <v>#REF!</v>
      </c>
      <c r="N1753" s="178" t="e">
        <f>#REF!+K1753+#REF!</f>
        <v>#REF!</v>
      </c>
      <c r="O1753" s="181" t="e">
        <f t="shared" si="209"/>
        <v>#REF!</v>
      </c>
    </row>
    <row r="1754" spans="1:15" s="193" customFormat="1" outlineLevel="2">
      <c r="A1754" s="155"/>
      <c r="B1754" s="156" t="s">
        <v>1103</v>
      </c>
      <c r="C1754" s="190" t="s">
        <v>123</v>
      </c>
      <c r="D1754" s="191"/>
      <c r="E1754" s="176"/>
      <c r="F1754" s="177"/>
      <c r="G1754" s="192"/>
      <c r="H1754" s="179"/>
      <c r="I1754" s="283" t="e">
        <f>IF(#REF!="",#REF!*#REF!,IF(#REF!=0,#REF!*#REF!,#REF!*#REF!*#REF!))</f>
        <v>#REF!</v>
      </c>
      <c r="J1754" s="180" t="e">
        <f>#REF!*#REF!</f>
        <v>#REF!</v>
      </c>
      <c r="K1754" s="178" t="e">
        <f>#REF!*mo</f>
        <v>#REF!</v>
      </c>
      <c r="L1754" s="178" t="e">
        <f t="shared" si="210"/>
        <v>#REF!</v>
      </c>
      <c r="M1754" s="178" t="e">
        <f>#REF!*#REF!</f>
        <v>#REF!</v>
      </c>
      <c r="N1754" s="178" t="e">
        <f>#REF!+K1754+#REF!</f>
        <v>#REF!</v>
      </c>
      <c r="O1754" s="181" t="e">
        <f t="shared" si="209"/>
        <v>#REF!</v>
      </c>
    </row>
    <row r="1755" spans="1:15" s="193" customFormat="1" outlineLevel="2">
      <c r="A1755" s="155"/>
      <c r="B1755" s="156" t="s">
        <v>1104</v>
      </c>
      <c r="C1755" s="190" t="s">
        <v>93</v>
      </c>
      <c r="D1755" s="191"/>
      <c r="E1755" s="176"/>
      <c r="F1755" s="177"/>
      <c r="G1755" s="192"/>
      <c r="H1755" s="179"/>
      <c r="I1755" s="283" t="e">
        <f>IF(#REF!="",#REF!*#REF!,IF(#REF!=0,#REF!*#REF!,#REF!*#REF!*#REF!))</f>
        <v>#REF!</v>
      </c>
      <c r="J1755" s="180" t="e">
        <f>#REF!*#REF!</f>
        <v>#REF!</v>
      </c>
      <c r="K1755" s="178" t="e">
        <f>#REF!*mo</f>
        <v>#REF!</v>
      </c>
      <c r="L1755" s="178" t="e">
        <f t="shared" si="210"/>
        <v>#REF!</v>
      </c>
      <c r="M1755" s="178" t="e">
        <f>#REF!*#REF!</f>
        <v>#REF!</v>
      </c>
      <c r="N1755" s="178" t="e">
        <f>#REF!+K1755+#REF!</f>
        <v>#REF!</v>
      </c>
      <c r="O1755" s="181" t="e">
        <f t="shared" si="209"/>
        <v>#REF!</v>
      </c>
    </row>
    <row r="1756" spans="1:15" s="193" customFormat="1" outlineLevel="2">
      <c r="A1756" s="155"/>
      <c r="B1756" s="156" t="s">
        <v>1105</v>
      </c>
      <c r="C1756" s="190" t="s">
        <v>93</v>
      </c>
      <c r="D1756" s="191"/>
      <c r="E1756" s="176"/>
      <c r="F1756" s="177"/>
      <c r="G1756" s="192"/>
      <c r="H1756" s="179"/>
      <c r="I1756" s="283" t="e">
        <f>IF(#REF!="",#REF!*#REF!,IF(#REF!=0,#REF!*#REF!,#REF!*#REF!*#REF!))</f>
        <v>#REF!</v>
      </c>
      <c r="J1756" s="180" t="e">
        <f>#REF!*#REF!</f>
        <v>#REF!</v>
      </c>
      <c r="K1756" s="178" t="e">
        <f>#REF!*mo</f>
        <v>#REF!</v>
      </c>
      <c r="L1756" s="178" t="e">
        <f t="shared" si="210"/>
        <v>#REF!</v>
      </c>
      <c r="M1756" s="178" t="e">
        <f>#REF!*#REF!</f>
        <v>#REF!</v>
      </c>
      <c r="N1756" s="178" t="e">
        <f>#REF!+K1756+#REF!</f>
        <v>#REF!</v>
      </c>
      <c r="O1756" s="181" t="e">
        <f t="shared" si="209"/>
        <v>#REF!</v>
      </c>
    </row>
    <row r="1757" spans="1:15" s="193" customFormat="1" outlineLevel="2">
      <c r="A1757" s="155"/>
      <c r="B1757" s="156" t="s">
        <v>1106</v>
      </c>
      <c r="C1757" s="190" t="s">
        <v>93</v>
      </c>
      <c r="D1757" s="191"/>
      <c r="E1757" s="176"/>
      <c r="F1757" s="177"/>
      <c r="G1757" s="192"/>
      <c r="H1757" s="179"/>
      <c r="I1757" s="283" t="e">
        <f>IF(#REF!="",#REF!*#REF!,IF(#REF!=0,#REF!*#REF!,#REF!*#REF!*#REF!))</f>
        <v>#REF!</v>
      </c>
      <c r="J1757" s="180" t="e">
        <f>#REF!*#REF!</f>
        <v>#REF!</v>
      </c>
      <c r="K1757" s="178" t="e">
        <f>#REF!*mo</f>
        <v>#REF!</v>
      </c>
      <c r="L1757" s="178" t="e">
        <f t="shared" si="210"/>
        <v>#REF!</v>
      </c>
      <c r="M1757" s="178" t="e">
        <f>#REF!*#REF!</f>
        <v>#REF!</v>
      </c>
      <c r="N1757" s="178" t="e">
        <f>#REF!+K1757+#REF!</f>
        <v>#REF!</v>
      </c>
      <c r="O1757" s="181" t="e">
        <f t="shared" si="209"/>
        <v>#REF!</v>
      </c>
    </row>
    <row r="1758" spans="1:15" s="193" customFormat="1" outlineLevel="2">
      <c r="A1758" s="155"/>
      <c r="B1758" s="156"/>
      <c r="C1758" s="190"/>
      <c r="D1758" s="191"/>
      <c r="E1758" s="176"/>
      <c r="F1758" s="177"/>
      <c r="G1758" s="192"/>
      <c r="H1758" s="179"/>
      <c r="I1758" s="283" t="e">
        <f>IF(#REF!="",#REF!*#REF!,IF(#REF!=0,#REF!*#REF!,#REF!*#REF!*#REF!))</f>
        <v>#REF!</v>
      </c>
      <c r="J1758" s="180" t="e">
        <f>#REF!*#REF!</f>
        <v>#REF!</v>
      </c>
      <c r="K1758" s="178" t="e">
        <f>#REF!*mo</f>
        <v>#REF!</v>
      </c>
      <c r="L1758" s="178" t="e">
        <f t="shared" si="210"/>
        <v>#REF!</v>
      </c>
      <c r="M1758" s="178" t="e">
        <f>#REF!*#REF!</f>
        <v>#REF!</v>
      </c>
      <c r="N1758" s="178" t="e">
        <f>#REF!+K1758+#REF!</f>
        <v>#REF!</v>
      </c>
      <c r="O1758" s="181" t="e">
        <f t="shared" si="209"/>
        <v>#REF!</v>
      </c>
    </row>
    <row r="1759" spans="1:15" s="193" customFormat="1" outlineLevel="2">
      <c r="A1759" s="155"/>
      <c r="B1759" s="156" t="s">
        <v>1107</v>
      </c>
      <c r="C1759" s="190" t="s">
        <v>795</v>
      </c>
      <c r="D1759" s="191"/>
      <c r="E1759" s="176"/>
      <c r="F1759" s="177"/>
      <c r="G1759" s="192"/>
      <c r="H1759" s="179"/>
      <c r="I1759" s="283" t="e">
        <f>IF(#REF!="",#REF!*#REF!,IF(#REF!=0,#REF!*#REF!,#REF!*#REF!*#REF!))</f>
        <v>#REF!</v>
      </c>
      <c r="J1759" s="180" t="e">
        <f>#REF!*#REF!</f>
        <v>#REF!</v>
      </c>
      <c r="K1759" s="178" t="e">
        <f>#REF!*mo</f>
        <v>#REF!</v>
      </c>
      <c r="L1759" s="178" t="e">
        <f t="shared" si="210"/>
        <v>#REF!</v>
      </c>
      <c r="M1759" s="178" t="e">
        <f>#REF!*#REF!</f>
        <v>#REF!</v>
      </c>
      <c r="N1759" s="178" t="e">
        <f>#REF!+K1759+#REF!</f>
        <v>#REF!</v>
      </c>
      <c r="O1759" s="181" t="e">
        <f t="shared" ref="O1759:O1823" si="215">M1759+L1759+I1759</f>
        <v>#REF!</v>
      </c>
    </row>
    <row r="1760" spans="1:15" s="193" customFormat="1" outlineLevel="2">
      <c r="A1760" s="155"/>
      <c r="B1760" s="156"/>
      <c r="C1760" s="190"/>
      <c r="D1760" s="191"/>
      <c r="E1760" s="176"/>
      <c r="F1760" s="177"/>
      <c r="G1760" s="192"/>
      <c r="H1760" s="179"/>
      <c r="I1760" s="283" t="e">
        <f>IF(#REF!="",#REF!*#REF!,IF(#REF!=0,#REF!*#REF!,#REF!*#REF!*#REF!))</f>
        <v>#REF!</v>
      </c>
      <c r="J1760" s="180" t="e">
        <f>#REF!*#REF!</f>
        <v>#REF!</v>
      </c>
      <c r="K1760" s="178" t="e">
        <f>#REF!*mo</f>
        <v>#REF!</v>
      </c>
      <c r="L1760" s="178" t="e">
        <f t="shared" si="210"/>
        <v>#REF!</v>
      </c>
      <c r="M1760" s="178" t="e">
        <f>#REF!*#REF!</f>
        <v>#REF!</v>
      </c>
      <c r="N1760" s="178" t="e">
        <f>#REF!+K1760+#REF!</f>
        <v>#REF!</v>
      </c>
      <c r="O1760" s="181" t="e">
        <f t="shared" si="215"/>
        <v>#REF!</v>
      </c>
    </row>
    <row r="1761" spans="1:15" s="193" customFormat="1" outlineLevel="2">
      <c r="A1761" s="155"/>
      <c r="B1761" s="156" t="s">
        <v>1108</v>
      </c>
      <c r="C1761" s="190" t="s">
        <v>795</v>
      </c>
      <c r="D1761" s="191"/>
      <c r="E1761" s="176"/>
      <c r="F1761" s="177"/>
      <c r="G1761" s="192"/>
      <c r="H1761" s="179"/>
      <c r="I1761" s="283" t="e">
        <f>IF(#REF!="",#REF!*#REF!,IF(#REF!=0,#REF!*#REF!,#REF!*#REF!*#REF!))</f>
        <v>#REF!</v>
      </c>
      <c r="J1761" s="180" t="e">
        <f>#REF!*#REF!</f>
        <v>#REF!</v>
      </c>
      <c r="K1761" s="178" t="e">
        <f>#REF!*mo</f>
        <v>#REF!</v>
      </c>
      <c r="L1761" s="178" t="e">
        <f t="shared" si="210"/>
        <v>#REF!</v>
      </c>
      <c r="M1761" s="178" t="e">
        <f>#REF!*#REF!</f>
        <v>#REF!</v>
      </c>
      <c r="N1761" s="178" t="e">
        <f>#REF!+K1761+#REF!</f>
        <v>#REF!</v>
      </c>
      <c r="O1761" s="181" t="e">
        <f t="shared" si="215"/>
        <v>#REF!</v>
      </c>
    </row>
    <row r="1762" spans="1:15" s="193" customFormat="1" outlineLevel="2">
      <c r="A1762" s="155"/>
      <c r="B1762" s="156"/>
      <c r="C1762" s="190"/>
      <c r="D1762" s="191"/>
      <c r="E1762" s="176"/>
      <c r="F1762" s="177"/>
      <c r="G1762" s="192"/>
      <c r="H1762" s="179"/>
      <c r="I1762" s="283" t="e">
        <f>IF(#REF!="",#REF!*#REF!,IF(#REF!=0,#REF!*#REF!,#REF!*#REF!*#REF!))</f>
        <v>#REF!</v>
      </c>
      <c r="J1762" s="180" t="e">
        <f>#REF!*#REF!</f>
        <v>#REF!</v>
      </c>
      <c r="K1762" s="178" t="e">
        <f>#REF!*mo</f>
        <v>#REF!</v>
      </c>
      <c r="L1762" s="178" t="e">
        <f t="shared" si="210"/>
        <v>#REF!</v>
      </c>
      <c r="M1762" s="178" t="e">
        <f>#REF!*#REF!</f>
        <v>#REF!</v>
      </c>
      <c r="N1762" s="178" t="e">
        <f>#REF!+K1762+#REF!</f>
        <v>#REF!</v>
      </c>
      <c r="O1762" s="181" t="e">
        <f t="shared" si="215"/>
        <v>#REF!</v>
      </c>
    </row>
    <row r="1763" spans="1:15" s="193" customFormat="1" outlineLevel="2">
      <c r="A1763" s="155"/>
      <c r="B1763" s="156" t="s">
        <v>1109</v>
      </c>
      <c r="C1763" s="190" t="s">
        <v>795</v>
      </c>
      <c r="D1763" s="191"/>
      <c r="E1763" s="176"/>
      <c r="F1763" s="177"/>
      <c r="G1763" s="192"/>
      <c r="H1763" s="179"/>
      <c r="I1763" s="283" t="e">
        <f>IF(#REF!="",#REF!*#REF!,IF(#REF!=0,#REF!*#REF!,#REF!*#REF!*#REF!))</f>
        <v>#REF!</v>
      </c>
      <c r="J1763" s="180" t="e">
        <f>#REF!*#REF!</f>
        <v>#REF!</v>
      </c>
      <c r="K1763" s="178" t="e">
        <f>#REF!*mo</f>
        <v>#REF!</v>
      </c>
      <c r="L1763" s="178" t="e">
        <f t="shared" si="210"/>
        <v>#REF!</v>
      </c>
      <c r="M1763" s="178" t="e">
        <f>#REF!*#REF!</f>
        <v>#REF!</v>
      </c>
      <c r="N1763" s="178" t="e">
        <f>#REF!+K1763+#REF!</f>
        <v>#REF!</v>
      </c>
      <c r="O1763" s="181" t="e">
        <f t="shared" si="215"/>
        <v>#REF!</v>
      </c>
    </row>
    <row r="1764" spans="1:15" s="193" customFormat="1" outlineLevel="2">
      <c r="A1764" s="155"/>
      <c r="B1764" s="156"/>
      <c r="C1764" s="190"/>
      <c r="D1764" s="191"/>
      <c r="E1764" s="176"/>
      <c r="F1764" s="177"/>
      <c r="G1764" s="192"/>
      <c r="H1764" s="179"/>
      <c r="I1764" s="283" t="e">
        <f>IF(#REF!="",#REF!*#REF!,IF(#REF!=0,#REF!*#REF!,#REF!*#REF!*#REF!))</f>
        <v>#REF!</v>
      </c>
      <c r="J1764" s="180" t="e">
        <f>#REF!*#REF!</f>
        <v>#REF!</v>
      </c>
      <c r="K1764" s="178" t="e">
        <f>#REF!*mo</f>
        <v>#REF!</v>
      </c>
      <c r="L1764" s="178" t="e">
        <f t="shared" ref="L1764" si="216">J1764*mo</f>
        <v>#REF!</v>
      </c>
      <c r="M1764" s="178" t="e">
        <f>#REF!*#REF!</f>
        <v>#REF!</v>
      </c>
      <c r="N1764" s="178" t="e">
        <f>#REF!+K1764+#REF!</f>
        <v>#REF!</v>
      </c>
      <c r="O1764" s="181" t="e">
        <f t="shared" si="215"/>
        <v>#REF!</v>
      </c>
    </row>
    <row r="1765" spans="1:15" s="251" customFormat="1" outlineLevel="1">
      <c r="A1765" s="292"/>
      <c r="B1765" s="198" t="str">
        <f>"Total "&amp;B1751</f>
        <v>Total COLONNES SECHES</v>
      </c>
      <c r="C1765" s="249"/>
      <c r="D1765" s="250"/>
      <c r="E1765" s="176"/>
      <c r="F1765" s="177"/>
      <c r="H1765" s="179">
        <f>SUM(F1752:F1765)</f>
        <v>0</v>
      </c>
      <c r="I1765" s="283" t="e">
        <f>IF(#REF!="",#REF!*#REF!,IF(#REF!=0,#REF!*#REF!,#REF!*#REF!*#REF!))</f>
        <v>#REF!</v>
      </c>
      <c r="J1765" s="180" t="e">
        <f>#REF!*#REF!</f>
        <v>#REF!</v>
      </c>
      <c r="K1765" s="178" t="e">
        <f>#REF!*mo</f>
        <v>#REF!</v>
      </c>
      <c r="L1765" s="178" t="e">
        <f t="shared" si="210"/>
        <v>#REF!</v>
      </c>
      <c r="M1765" s="178" t="e">
        <f>#REF!*#REF!</f>
        <v>#REF!</v>
      </c>
      <c r="N1765" s="178" t="e">
        <f>#REF!+K1765+#REF!</f>
        <v>#REF!</v>
      </c>
      <c r="O1765" s="181" t="e">
        <f t="shared" si="215"/>
        <v>#REF!</v>
      </c>
    </row>
    <row r="1766" spans="1:15" s="251" customFormat="1" outlineLevel="1">
      <c r="A1766" s="292"/>
      <c r="B1766" s="198"/>
      <c r="C1766" s="249"/>
      <c r="D1766" s="250"/>
      <c r="E1766" s="176"/>
      <c r="F1766" s="177"/>
      <c r="H1766" s="179"/>
      <c r="I1766" s="283" t="e">
        <f>IF(#REF!="",#REF!*#REF!,IF(#REF!=0,#REF!*#REF!,#REF!*#REF!*#REF!))</f>
        <v>#REF!</v>
      </c>
      <c r="J1766" s="180" t="e">
        <f>#REF!*#REF!</f>
        <v>#REF!</v>
      </c>
      <c r="K1766" s="178" t="e">
        <f>#REF!*mo</f>
        <v>#REF!</v>
      </c>
      <c r="L1766" s="178" t="e">
        <f t="shared" si="210"/>
        <v>#REF!</v>
      </c>
      <c r="M1766" s="178" t="e">
        <f>#REF!*#REF!</f>
        <v>#REF!</v>
      </c>
      <c r="N1766" s="178" t="e">
        <f>#REF!+K1766+#REF!</f>
        <v>#REF!</v>
      </c>
      <c r="O1766" s="181" t="e">
        <f t="shared" si="215"/>
        <v>#REF!</v>
      </c>
    </row>
    <row r="1767" spans="1:15" s="251" customFormat="1" outlineLevel="1">
      <c r="A1767" s="292" t="str">
        <f>$A$854&amp;".3"</f>
        <v>.3</v>
      </c>
      <c r="B1767" s="158" t="s">
        <v>1171</v>
      </c>
      <c r="C1767" s="249"/>
      <c r="D1767" s="250"/>
      <c r="E1767" s="176"/>
      <c r="F1767" s="177"/>
      <c r="G1767" s="293"/>
      <c r="H1767" s="179"/>
      <c r="I1767" s="283" t="e">
        <f>IF(#REF!="",#REF!*#REF!,IF(#REF!=0,#REF!*#REF!,#REF!*#REF!*#REF!))</f>
        <v>#REF!</v>
      </c>
      <c r="J1767" s="180" t="e">
        <f>#REF!*#REF!</f>
        <v>#REF!</v>
      </c>
      <c r="K1767" s="178" t="e">
        <f>#REF!*mo</f>
        <v>#REF!</v>
      </c>
      <c r="L1767" s="178" t="e">
        <f t="shared" si="210"/>
        <v>#REF!</v>
      </c>
      <c r="M1767" s="178" t="e">
        <f>#REF!*#REF!</f>
        <v>#REF!</v>
      </c>
      <c r="N1767" s="178" t="e">
        <f>#REF!+K1767+#REF!</f>
        <v>#REF!</v>
      </c>
      <c r="O1767" s="181" t="e">
        <f t="shared" si="215"/>
        <v>#REF!</v>
      </c>
    </row>
    <row r="1768" spans="1:15" s="209" customFormat="1" ht="136.80000000000001" outlineLevel="1">
      <c r="A1768" s="292" t="str">
        <f>$A$881&amp;".1"</f>
        <v>RÉHABILITATION DE 6 LOGEMENTS • RESTRUCTURATION LOURDE POUR CRÉATION DE 7 LOGEMENTS.1</v>
      </c>
      <c r="B1768" s="158" t="s">
        <v>1172</v>
      </c>
      <c r="C1768" s="195"/>
      <c r="D1768" s="170"/>
      <c r="E1768" s="176"/>
      <c r="F1768" s="177"/>
      <c r="G1768" s="192">
        <f>SUM(F1770:F1777)</f>
        <v>0</v>
      </c>
      <c r="H1768" s="179"/>
      <c r="I1768" s="283" t="e">
        <f>IF(#REF!="",#REF!*#REF!,IF(#REF!=0,#REF!*#REF!,#REF!*#REF!*#REF!))</f>
        <v>#REF!</v>
      </c>
      <c r="J1768" s="180" t="e">
        <f>#REF!*#REF!</f>
        <v>#REF!</v>
      </c>
      <c r="K1768" s="178" t="e">
        <f>#REF!*mo</f>
        <v>#REF!</v>
      </c>
      <c r="L1768" s="178" t="e">
        <f t="shared" si="210"/>
        <v>#REF!</v>
      </c>
      <c r="M1768" s="178" t="e">
        <f>#REF!*#REF!</f>
        <v>#REF!</v>
      </c>
      <c r="N1768" s="178" t="e">
        <f>#REF!+K1768+#REF!</f>
        <v>#REF!</v>
      </c>
      <c r="O1768" s="181" t="e">
        <f t="shared" si="215"/>
        <v>#REF!</v>
      </c>
    </row>
    <row r="1769" spans="1:15" s="193" customFormat="1" outlineLevel="2">
      <c r="A1769" s="294"/>
      <c r="B1769" s="156"/>
      <c r="C1769" s="190"/>
      <c r="D1769" s="191"/>
      <c r="E1769" s="176"/>
      <c r="F1769" s="177"/>
      <c r="G1769" s="178"/>
      <c r="H1769" s="181"/>
      <c r="I1769" s="283" t="e">
        <f>IF(#REF!="",#REF!*#REF!,IF(#REF!=0,#REF!*#REF!,#REF!*#REF!*#REF!))</f>
        <v>#REF!</v>
      </c>
      <c r="J1769" s="180" t="e">
        <f>#REF!*#REF!</f>
        <v>#REF!</v>
      </c>
      <c r="K1769" s="178" t="e">
        <f>#REF!*mo</f>
        <v>#REF!</v>
      </c>
      <c r="L1769" s="178" t="e">
        <f t="shared" si="210"/>
        <v>#REF!</v>
      </c>
      <c r="M1769" s="178" t="e">
        <f>#REF!*#REF!</f>
        <v>#REF!</v>
      </c>
      <c r="N1769" s="178" t="e">
        <f>#REF!+K1769+#REF!</f>
        <v>#REF!</v>
      </c>
      <c r="O1769" s="181" t="e">
        <f t="shared" si="215"/>
        <v>#REF!</v>
      </c>
    </row>
    <row r="1770" spans="1:15" s="193" customFormat="1" outlineLevel="2">
      <c r="A1770" s="155"/>
      <c r="B1770" s="156" t="s">
        <v>1173</v>
      </c>
      <c r="C1770" s="190" t="s">
        <v>93</v>
      </c>
      <c r="D1770" s="191"/>
      <c r="E1770" s="176"/>
      <c r="F1770" s="177"/>
      <c r="G1770" s="178"/>
      <c r="H1770" s="181"/>
      <c r="I1770" s="283" t="e">
        <f>IF(#REF!="",#REF!*#REF!,IF(#REF!=0,#REF!*#REF!,#REF!*#REF!*#REF!))</f>
        <v>#REF!</v>
      </c>
      <c r="J1770" s="180" t="e">
        <f>#REF!*#REF!</f>
        <v>#REF!</v>
      </c>
      <c r="K1770" s="178" t="e">
        <f>#REF!*mo</f>
        <v>#REF!</v>
      </c>
      <c r="L1770" s="178" t="e">
        <f t="shared" si="210"/>
        <v>#REF!</v>
      </c>
      <c r="M1770" s="178" t="e">
        <f>#REF!*#REF!</f>
        <v>#REF!</v>
      </c>
      <c r="N1770" s="178" t="e">
        <f>#REF!+K1770+#REF!</f>
        <v>#REF!</v>
      </c>
      <c r="O1770" s="181" t="e">
        <f t="shared" si="215"/>
        <v>#REF!</v>
      </c>
    </row>
    <row r="1771" spans="1:15" s="193" customFormat="1" outlineLevel="2">
      <c r="A1771" s="155"/>
      <c r="B1771" s="156" t="s">
        <v>1174</v>
      </c>
      <c r="C1771" s="190" t="s">
        <v>93</v>
      </c>
      <c r="D1771" s="191"/>
      <c r="E1771" s="176"/>
      <c r="F1771" s="177"/>
      <c r="G1771" s="178"/>
      <c r="H1771" s="181"/>
      <c r="I1771" s="283" t="e">
        <f>IF(#REF!="",#REF!*#REF!,IF(#REF!=0,#REF!*#REF!,#REF!*#REF!*#REF!))</f>
        <v>#REF!</v>
      </c>
      <c r="J1771" s="180" t="e">
        <f>#REF!*#REF!</f>
        <v>#REF!</v>
      </c>
      <c r="K1771" s="178" t="e">
        <f>#REF!*mo</f>
        <v>#REF!</v>
      </c>
      <c r="L1771" s="178" t="e">
        <f t="shared" si="210"/>
        <v>#REF!</v>
      </c>
      <c r="M1771" s="178" t="e">
        <f>#REF!*#REF!</f>
        <v>#REF!</v>
      </c>
      <c r="N1771" s="178" t="e">
        <f>#REF!+K1771+#REF!</f>
        <v>#REF!</v>
      </c>
      <c r="O1771" s="181" t="e">
        <f t="shared" si="215"/>
        <v>#REF!</v>
      </c>
    </row>
    <row r="1772" spans="1:15" s="193" customFormat="1" outlineLevel="2">
      <c r="A1772" s="155"/>
      <c r="B1772" s="156" t="s">
        <v>891</v>
      </c>
      <c r="C1772" s="190" t="s">
        <v>795</v>
      </c>
      <c r="D1772" s="191"/>
      <c r="E1772" s="176"/>
      <c r="F1772" s="177"/>
      <c r="G1772" s="178"/>
      <c r="H1772" s="181"/>
      <c r="I1772" s="283" t="e">
        <f>IF(#REF!="",#REF!*#REF!,IF(#REF!=0,#REF!*#REF!,#REF!*#REF!*#REF!))</f>
        <v>#REF!</v>
      </c>
      <c r="J1772" s="180" t="e">
        <f>#REF!*#REF!</f>
        <v>#REF!</v>
      </c>
      <c r="K1772" s="178" t="e">
        <f>#REF!*mo</f>
        <v>#REF!</v>
      </c>
      <c r="L1772" s="178" t="e">
        <f t="shared" si="210"/>
        <v>#REF!</v>
      </c>
      <c r="M1772" s="178" t="e">
        <f>#REF!*#REF!</f>
        <v>#REF!</v>
      </c>
      <c r="N1772" s="178" t="e">
        <f>#REF!+K1772+#REF!</f>
        <v>#REF!</v>
      </c>
      <c r="O1772" s="181" t="e">
        <f t="shared" si="215"/>
        <v>#REF!</v>
      </c>
    </row>
    <row r="1773" spans="1:15" s="193" customFormat="1" outlineLevel="2">
      <c r="A1773" s="155"/>
      <c r="B1773" s="156" t="s">
        <v>1127</v>
      </c>
      <c r="C1773" s="190" t="s">
        <v>795</v>
      </c>
      <c r="D1773" s="191"/>
      <c r="E1773" s="176"/>
      <c r="F1773" s="177"/>
      <c r="G1773" s="178"/>
      <c r="H1773" s="181"/>
      <c r="I1773" s="283" t="e">
        <f>IF(#REF!="",#REF!*#REF!,IF(#REF!=0,#REF!*#REF!,#REF!*#REF!*#REF!))</f>
        <v>#REF!</v>
      </c>
      <c r="J1773" s="180" t="e">
        <f>#REF!*#REF!</f>
        <v>#REF!</v>
      </c>
      <c r="K1773" s="178" t="e">
        <f>#REF!*mo</f>
        <v>#REF!</v>
      </c>
      <c r="L1773" s="178" t="e">
        <f t="shared" si="210"/>
        <v>#REF!</v>
      </c>
      <c r="M1773" s="178" t="e">
        <f>#REF!*#REF!</f>
        <v>#REF!</v>
      </c>
      <c r="N1773" s="178" t="e">
        <f>#REF!+K1773+#REF!</f>
        <v>#REF!</v>
      </c>
      <c r="O1773" s="181" t="e">
        <f t="shared" si="215"/>
        <v>#REF!</v>
      </c>
    </row>
    <row r="1774" spans="1:15" s="193" customFormat="1" outlineLevel="2">
      <c r="A1774" s="155"/>
      <c r="B1774" s="156"/>
      <c r="C1774" s="190"/>
      <c r="D1774" s="191"/>
      <c r="E1774" s="176"/>
      <c r="F1774" s="177"/>
      <c r="G1774" s="178"/>
      <c r="H1774" s="181"/>
      <c r="I1774" s="283" t="e">
        <f>IF(#REF!="",#REF!*#REF!,IF(#REF!=0,#REF!*#REF!,#REF!*#REF!*#REF!))</f>
        <v>#REF!</v>
      </c>
      <c r="J1774" s="180" t="e">
        <f>#REF!*#REF!</f>
        <v>#REF!</v>
      </c>
      <c r="K1774" s="178" t="e">
        <f>#REF!*mo</f>
        <v>#REF!</v>
      </c>
      <c r="L1774" s="178" t="e">
        <f t="shared" ref="L1774:L1854" si="217">J1774*mo</f>
        <v>#REF!</v>
      </c>
      <c r="M1774" s="178" t="e">
        <f>#REF!*#REF!</f>
        <v>#REF!</v>
      </c>
      <c r="N1774" s="178" t="e">
        <f>#REF!+K1774+#REF!</f>
        <v>#REF!</v>
      </c>
      <c r="O1774" s="181" t="e">
        <f t="shared" si="215"/>
        <v>#REF!</v>
      </c>
    </row>
    <row r="1775" spans="1:15" s="193" customFormat="1" outlineLevel="2">
      <c r="A1775" s="155"/>
      <c r="B1775" s="156" t="s">
        <v>1175</v>
      </c>
      <c r="C1775" s="190" t="s">
        <v>795</v>
      </c>
      <c r="D1775" s="191"/>
      <c r="E1775" s="176"/>
      <c r="F1775" s="177"/>
      <c r="G1775" s="178"/>
      <c r="H1775" s="181"/>
      <c r="I1775" s="283" t="e">
        <f>IF(#REF!="",#REF!*#REF!,IF(#REF!=0,#REF!*#REF!,#REF!*#REF!*#REF!))</f>
        <v>#REF!</v>
      </c>
      <c r="J1775" s="180" t="e">
        <f>#REF!*#REF!</f>
        <v>#REF!</v>
      </c>
      <c r="K1775" s="178" t="e">
        <f>#REF!*mo</f>
        <v>#REF!</v>
      </c>
      <c r="L1775" s="178" t="e">
        <f t="shared" si="217"/>
        <v>#REF!</v>
      </c>
      <c r="M1775" s="178" t="e">
        <f>#REF!*#REF!</f>
        <v>#REF!</v>
      </c>
      <c r="N1775" s="178" t="e">
        <f>#REF!+K1775+#REF!</f>
        <v>#REF!</v>
      </c>
      <c r="O1775" s="181" t="e">
        <f t="shared" si="215"/>
        <v>#REF!</v>
      </c>
    </row>
    <row r="1776" spans="1:15" s="193" customFormat="1" outlineLevel="2">
      <c r="A1776" s="155"/>
      <c r="B1776" s="156" t="s">
        <v>1176</v>
      </c>
      <c r="C1776" s="190" t="s">
        <v>795</v>
      </c>
      <c r="D1776" s="191"/>
      <c r="E1776" s="176"/>
      <c r="F1776" s="177"/>
      <c r="G1776" s="178"/>
      <c r="H1776" s="181"/>
      <c r="I1776" s="283" t="e">
        <f>IF(#REF!="",#REF!*#REF!,IF(#REF!=0,#REF!*#REF!,#REF!*#REF!*#REF!))</f>
        <v>#REF!</v>
      </c>
      <c r="J1776" s="180" t="e">
        <f>#REF!*#REF!</f>
        <v>#REF!</v>
      </c>
      <c r="K1776" s="178" t="e">
        <f>#REF!*mo</f>
        <v>#REF!</v>
      </c>
      <c r="L1776" s="178" t="e">
        <f t="shared" si="217"/>
        <v>#REF!</v>
      </c>
      <c r="M1776" s="178" t="e">
        <f>#REF!*#REF!</f>
        <v>#REF!</v>
      </c>
      <c r="N1776" s="178" t="e">
        <f>#REF!+K1776+#REF!</f>
        <v>#REF!</v>
      </c>
      <c r="O1776" s="181" t="e">
        <f t="shared" si="215"/>
        <v>#REF!</v>
      </c>
    </row>
    <row r="1777" spans="1:15" s="193" customFormat="1" outlineLevel="2">
      <c r="A1777" s="155"/>
      <c r="B1777" s="156"/>
      <c r="C1777" s="190"/>
      <c r="D1777" s="191"/>
      <c r="E1777" s="176"/>
      <c r="F1777" s="177"/>
      <c r="G1777" s="178"/>
      <c r="H1777" s="181"/>
      <c r="I1777" s="283" t="e">
        <f>IF(#REF!="",#REF!*#REF!,IF(#REF!=0,#REF!*#REF!,#REF!*#REF!*#REF!))</f>
        <v>#REF!</v>
      </c>
      <c r="J1777" s="180" t="e">
        <f>#REF!*#REF!</f>
        <v>#REF!</v>
      </c>
      <c r="K1777" s="178" t="e">
        <f>#REF!*mo</f>
        <v>#REF!</v>
      </c>
      <c r="L1777" s="178" t="e">
        <f t="shared" si="217"/>
        <v>#REF!</v>
      </c>
      <c r="M1777" s="178" t="e">
        <f>#REF!*#REF!</f>
        <v>#REF!</v>
      </c>
      <c r="N1777" s="178" t="e">
        <f>#REF!+K1777+#REF!</f>
        <v>#REF!</v>
      </c>
      <c r="O1777" s="181" t="e">
        <f t="shared" si="215"/>
        <v>#REF!</v>
      </c>
    </row>
    <row r="1778" spans="1:15" s="209" customFormat="1" ht="148.19999999999999" outlineLevel="1">
      <c r="A1778" s="157" t="str">
        <f>$A$881&amp;".2"</f>
        <v>RÉHABILITATION DE 6 LOGEMENTS • RESTRUCTURATION LOURDE POUR CRÉATION DE 7 LOGEMENTS.2</v>
      </c>
      <c r="B1778" s="158" t="s">
        <v>1177</v>
      </c>
      <c r="C1778" s="195"/>
      <c r="D1778" s="170"/>
      <c r="E1778" s="176"/>
      <c r="F1778" s="177"/>
      <c r="G1778" s="192">
        <f>SUM(F1780:F1787)</f>
        <v>0</v>
      </c>
      <c r="H1778" s="179"/>
      <c r="I1778" s="283" t="e">
        <f>IF(#REF!="",#REF!*#REF!,IF(#REF!=0,#REF!*#REF!,#REF!*#REF!*#REF!))</f>
        <v>#REF!</v>
      </c>
      <c r="J1778" s="180" t="e">
        <f>#REF!*#REF!</f>
        <v>#REF!</v>
      </c>
      <c r="K1778" s="178" t="e">
        <f>#REF!*mo</f>
        <v>#REF!</v>
      </c>
      <c r="L1778" s="178" t="e">
        <f t="shared" si="217"/>
        <v>#REF!</v>
      </c>
      <c r="M1778" s="178" t="e">
        <f>#REF!*#REF!</f>
        <v>#REF!</v>
      </c>
      <c r="N1778" s="178" t="e">
        <f>#REF!+K1778+#REF!</f>
        <v>#REF!</v>
      </c>
      <c r="O1778" s="181" t="e">
        <f t="shared" si="215"/>
        <v>#REF!</v>
      </c>
    </row>
    <row r="1779" spans="1:15" s="193" customFormat="1" outlineLevel="2">
      <c r="A1779" s="155"/>
      <c r="B1779" s="156"/>
      <c r="C1779" s="190"/>
      <c r="D1779" s="191"/>
      <c r="E1779" s="176"/>
      <c r="F1779" s="177"/>
      <c r="G1779" s="178"/>
      <c r="H1779" s="181"/>
      <c r="I1779" s="283" t="e">
        <f>IF(#REF!="",#REF!*#REF!,IF(#REF!=0,#REF!*#REF!,#REF!*#REF!*#REF!))</f>
        <v>#REF!</v>
      </c>
      <c r="J1779" s="180" t="e">
        <f>#REF!*#REF!</f>
        <v>#REF!</v>
      </c>
      <c r="K1779" s="178" t="e">
        <f>#REF!*mo</f>
        <v>#REF!</v>
      </c>
      <c r="L1779" s="178" t="e">
        <f t="shared" si="217"/>
        <v>#REF!</v>
      </c>
      <c r="M1779" s="178" t="e">
        <f>#REF!*#REF!</f>
        <v>#REF!</v>
      </c>
      <c r="N1779" s="178" t="e">
        <f>#REF!+K1779+#REF!</f>
        <v>#REF!</v>
      </c>
      <c r="O1779" s="181" t="e">
        <f t="shared" si="215"/>
        <v>#REF!</v>
      </c>
    </row>
    <row r="1780" spans="1:15" s="193" customFormat="1" outlineLevel="2">
      <c r="A1780" s="155"/>
      <c r="B1780" s="156" t="s">
        <v>1178</v>
      </c>
      <c r="C1780" s="190"/>
      <c r="D1780" s="191"/>
      <c r="E1780" s="176"/>
      <c r="F1780" s="177"/>
      <c r="G1780" s="178"/>
      <c r="H1780" s="181"/>
      <c r="I1780" s="283" t="e">
        <f>IF(#REF!="",#REF!*#REF!,IF(#REF!=0,#REF!*#REF!,#REF!*#REF!*#REF!))</f>
        <v>#REF!</v>
      </c>
      <c r="J1780" s="180" t="e">
        <f>#REF!*#REF!</f>
        <v>#REF!</v>
      </c>
      <c r="K1780" s="178" t="e">
        <f>#REF!*mo</f>
        <v>#REF!</v>
      </c>
      <c r="L1780" s="178" t="e">
        <f t="shared" si="217"/>
        <v>#REF!</v>
      </c>
      <c r="M1780" s="178" t="e">
        <f>#REF!*#REF!</f>
        <v>#REF!</v>
      </c>
      <c r="N1780" s="178" t="e">
        <f>#REF!+K1780+#REF!</f>
        <v>#REF!</v>
      </c>
      <c r="O1780" s="181" t="e">
        <f t="shared" si="215"/>
        <v>#REF!</v>
      </c>
    </row>
    <row r="1781" spans="1:15" s="193" customFormat="1" outlineLevel="2">
      <c r="A1781" s="155"/>
      <c r="B1781" s="197" t="s">
        <v>878</v>
      </c>
      <c r="C1781" s="190" t="s">
        <v>123</v>
      </c>
      <c r="D1781" s="191"/>
      <c r="E1781" s="176"/>
      <c r="F1781" s="177"/>
      <c r="G1781" s="178"/>
      <c r="H1781" s="181"/>
      <c r="I1781" s="283" t="e">
        <f>IF(#REF!="",#REF!*#REF!,IF(#REF!=0,#REF!*#REF!,#REF!*#REF!*#REF!))</f>
        <v>#REF!</v>
      </c>
      <c r="J1781" s="180" t="e">
        <f>#REF!*#REF!</f>
        <v>#REF!</v>
      </c>
      <c r="K1781" s="178" t="e">
        <f>#REF!*mo</f>
        <v>#REF!</v>
      </c>
      <c r="L1781" s="178" t="e">
        <f t="shared" si="217"/>
        <v>#REF!</v>
      </c>
      <c r="M1781" s="178" t="e">
        <f>#REF!*#REF!</f>
        <v>#REF!</v>
      </c>
      <c r="N1781" s="178" t="e">
        <f>#REF!+K1781+#REF!</f>
        <v>#REF!</v>
      </c>
      <c r="O1781" s="181" t="e">
        <f t="shared" si="215"/>
        <v>#REF!</v>
      </c>
    </row>
    <row r="1782" spans="1:15" s="193" customFormat="1" outlineLevel="2">
      <c r="A1782" s="155"/>
      <c r="B1782" s="197" t="s">
        <v>875</v>
      </c>
      <c r="C1782" s="190" t="s">
        <v>123</v>
      </c>
      <c r="D1782" s="191"/>
      <c r="E1782" s="176"/>
      <c r="F1782" s="177"/>
      <c r="G1782" s="178"/>
      <c r="H1782" s="181"/>
      <c r="I1782" s="283" t="e">
        <f>IF(#REF!="",#REF!*#REF!,IF(#REF!=0,#REF!*#REF!,#REF!*#REF!*#REF!))</f>
        <v>#REF!</v>
      </c>
      <c r="J1782" s="180" t="e">
        <f>#REF!*#REF!</f>
        <v>#REF!</v>
      </c>
      <c r="K1782" s="178" t="e">
        <f>#REF!*mo</f>
        <v>#REF!</v>
      </c>
      <c r="L1782" s="178" t="e">
        <f t="shared" si="217"/>
        <v>#REF!</v>
      </c>
      <c r="M1782" s="178" t="e">
        <f>#REF!*#REF!</f>
        <v>#REF!</v>
      </c>
      <c r="N1782" s="178" t="e">
        <f>#REF!+K1782+#REF!</f>
        <v>#REF!</v>
      </c>
      <c r="O1782" s="181" t="e">
        <f t="shared" si="215"/>
        <v>#REF!</v>
      </c>
    </row>
    <row r="1783" spans="1:15" s="193" customFormat="1" outlineLevel="2">
      <c r="A1783" s="155"/>
      <c r="B1783" s="156"/>
      <c r="C1783" s="190"/>
      <c r="D1783" s="191"/>
      <c r="E1783" s="176"/>
      <c r="F1783" s="177"/>
      <c r="G1783" s="178"/>
      <c r="H1783" s="181"/>
      <c r="I1783" s="283" t="e">
        <f>IF(#REF!="",#REF!*#REF!,IF(#REF!=0,#REF!*#REF!,#REF!*#REF!*#REF!))</f>
        <v>#REF!</v>
      </c>
      <c r="J1783" s="180" t="e">
        <f>#REF!*#REF!</f>
        <v>#REF!</v>
      </c>
      <c r="K1783" s="178" t="e">
        <f>#REF!*mo</f>
        <v>#REF!</v>
      </c>
      <c r="L1783" s="178" t="e">
        <f t="shared" si="217"/>
        <v>#REF!</v>
      </c>
      <c r="M1783" s="178" t="e">
        <f>#REF!*#REF!</f>
        <v>#REF!</v>
      </c>
      <c r="N1783" s="178" t="e">
        <f>#REF!+K1783+#REF!</f>
        <v>#REF!</v>
      </c>
      <c r="O1783" s="181" t="e">
        <f t="shared" si="215"/>
        <v>#REF!</v>
      </c>
    </row>
    <row r="1784" spans="1:15" s="193" customFormat="1" outlineLevel="2">
      <c r="A1784" s="155"/>
      <c r="B1784" s="156" t="s">
        <v>1179</v>
      </c>
      <c r="C1784" s="190" t="s">
        <v>801</v>
      </c>
      <c r="D1784" s="191"/>
      <c r="E1784" s="176"/>
      <c r="F1784" s="177"/>
      <c r="G1784" s="178"/>
      <c r="H1784" s="181"/>
      <c r="I1784" s="283" t="e">
        <f>IF(#REF!="",#REF!*#REF!,IF(#REF!=0,#REF!*#REF!,#REF!*#REF!*#REF!))</f>
        <v>#REF!</v>
      </c>
      <c r="J1784" s="180" t="e">
        <f>#REF!*#REF!</f>
        <v>#REF!</v>
      </c>
      <c r="K1784" s="178" t="e">
        <f>#REF!*mo</f>
        <v>#REF!</v>
      </c>
      <c r="L1784" s="178" t="e">
        <f t="shared" si="217"/>
        <v>#REF!</v>
      </c>
      <c r="M1784" s="178" t="e">
        <f>#REF!*#REF!</f>
        <v>#REF!</v>
      </c>
      <c r="N1784" s="178" t="e">
        <f>#REF!+K1784+#REF!</f>
        <v>#REF!</v>
      </c>
      <c r="O1784" s="181" t="e">
        <f t="shared" si="215"/>
        <v>#REF!</v>
      </c>
    </row>
    <row r="1785" spans="1:15" s="193" customFormat="1" outlineLevel="2">
      <c r="A1785" s="155"/>
      <c r="B1785" s="156"/>
      <c r="C1785" s="190"/>
      <c r="D1785" s="191"/>
      <c r="E1785" s="176"/>
      <c r="F1785" s="177"/>
      <c r="G1785" s="178"/>
      <c r="H1785" s="181"/>
      <c r="I1785" s="283" t="e">
        <f>IF(#REF!="",#REF!*#REF!,IF(#REF!=0,#REF!*#REF!,#REF!*#REF!*#REF!))</f>
        <v>#REF!</v>
      </c>
      <c r="J1785" s="180" t="e">
        <f>#REF!*#REF!</f>
        <v>#REF!</v>
      </c>
      <c r="K1785" s="178" t="e">
        <f>#REF!*mo</f>
        <v>#REF!</v>
      </c>
      <c r="L1785" s="178" t="e">
        <f t="shared" si="217"/>
        <v>#REF!</v>
      </c>
      <c r="M1785" s="178" t="e">
        <f>#REF!*#REF!</f>
        <v>#REF!</v>
      </c>
      <c r="N1785" s="178" t="e">
        <f>#REF!+K1785+#REF!</f>
        <v>#REF!</v>
      </c>
      <c r="O1785" s="181" t="e">
        <f t="shared" si="215"/>
        <v>#REF!</v>
      </c>
    </row>
    <row r="1786" spans="1:15" s="193" customFormat="1" outlineLevel="2">
      <c r="A1786" s="155"/>
      <c r="B1786" s="156" t="s">
        <v>1108</v>
      </c>
      <c r="C1786" s="190" t="s">
        <v>795</v>
      </c>
      <c r="D1786" s="191"/>
      <c r="E1786" s="176"/>
      <c r="F1786" s="177"/>
      <c r="G1786" s="178"/>
      <c r="H1786" s="181"/>
      <c r="I1786" s="283" t="e">
        <f>IF(#REF!="",#REF!*#REF!,IF(#REF!=0,#REF!*#REF!,#REF!*#REF!*#REF!))</f>
        <v>#REF!</v>
      </c>
      <c r="J1786" s="180" t="e">
        <f>#REF!*#REF!</f>
        <v>#REF!</v>
      </c>
      <c r="K1786" s="178" t="e">
        <f>#REF!*mo</f>
        <v>#REF!</v>
      </c>
      <c r="L1786" s="178" t="e">
        <f t="shared" si="217"/>
        <v>#REF!</v>
      </c>
      <c r="M1786" s="178" t="e">
        <f>#REF!*#REF!</f>
        <v>#REF!</v>
      </c>
      <c r="N1786" s="178" t="e">
        <f>#REF!+K1786+#REF!</f>
        <v>#REF!</v>
      </c>
      <c r="O1786" s="181" t="e">
        <f t="shared" si="215"/>
        <v>#REF!</v>
      </c>
    </row>
    <row r="1787" spans="1:15" s="193" customFormat="1" outlineLevel="2">
      <c r="A1787" s="155"/>
      <c r="B1787" s="158"/>
      <c r="C1787" s="190"/>
      <c r="D1787" s="191"/>
      <c r="E1787" s="176"/>
      <c r="F1787" s="177"/>
      <c r="G1787" s="178"/>
      <c r="H1787" s="181"/>
      <c r="I1787" s="283" t="e">
        <f>IF(#REF!="",#REF!*#REF!,IF(#REF!=0,#REF!*#REF!,#REF!*#REF!*#REF!))</f>
        <v>#REF!</v>
      </c>
      <c r="J1787" s="180" t="e">
        <f>#REF!*#REF!</f>
        <v>#REF!</v>
      </c>
      <c r="K1787" s="178" t="e">
        <f>#REF!*mo</f>
        <v>#REF!</v>
      </c>
      <c r="L1787" s="178" t="e">
        <f t="shared" si="217"/>
        <v>#REF!</v>
      </c>
      <c r="M1787" s="178" t="e">
        <f>#REF!*#REF!</f>
        <v>#REF!</v>
      </c>
      <c r="N1787" s="178" t="e">
        <f>#REF!+K1787+#REF!</f>
        <v>#REF!</v>
      </c>
      <c r="O1787" s="181" t="e">
        <f t="shared" si="215"/>
        <v>#REF!</v>
      </c>
    </row>
    <row r="1788" spans="1:15" s="209" customFormat="1" ht="148.19999999999999" outlineLevel="1">
      <c r="A1788" s="157" t="str">
        <f>$A$881&amp;".3"</f>
        <v>RÉHABILITATION DE 6 LOGEMENTS • RESTRUCTURATION LOURDE POUR CRÉATION DE 7 LOGEMENTS.3</v>
      </c>
      <c r="B1788" s="158" t="s">
        <v>1180</v>
      </c>
      <c r="C1788" s="195"/>
      <c r="D1788" s="170"/>
      <c r="E1788" s="176"/>
      <c r="F1788" s="177"/>
      <c r="G1788" s="192">
        <f>SUM(F1790:F1800)</f>
        <v>0</v>
      </c>
      <c r="H1788" s="179"/>
      <c r="I1788" s="283" t="e">
        <f>IF(#REF!="",#REF!*#REF!,IF(#REF!=0,#REF!*#REF!,#REF!*#REF!*#REF!))</f>
        <v>#REF!</v>
      </c>
      <c r="J1788" s="180" t="e">
        <f>#REF!*#REF!</f>
        <v>#REF!</v>
      </c>
      <c r="K1788" s="178" t="e">
        <f>#REF!*mo</f>
        <v>#REF!</v>
      </c>
      <c r="L1788" s="178" t="e">
        <f t="shared" si="217"/>
        <v>#REF!</v>
      </c>
      <c r="M1788" s="178" t="e">
        <f>#REF!*#REF!</f>
        <v>#REF!</v>
      </c>
      <c r="N1788" s="178" t="e">
        <f>#REF!+K1788+#REF!</f>
        <v>#REF!</v>
      </c>
      <c r="O1788" s="181" t="e">
        <f t="shared" si="215"/>
        <v>#REF!</v>
      </c>
    </row>
    <row r="1789" spans="1:15" s="193" customFormat="1" outlineLevel="2">
      <c r="A1789" s="155"/>
      <c r="B1789" s="156"/>
      <c r="C1789" s="190"/>
      <c r="D1789" s="191"/>
      <c r="E1789" s="176"/>
      <c r="F1789" s="177"/>
      <c r="G1789" s="192"/>
      <c r="H1789" s="179"/>
      <c r="I1789" s="283" t="e">
        <f>IF(#REF!="",#REF!*#REF!,IF(#REF!=0,#REF!*#REF!,#REF!*#REF!*#REF!))</f>
        <v>#REF!</v>
      </c>
      <c r="J1789" s="180" t="e">
        <f>#REF!*#REF!</f>
        <v>#REF!</v>
      </c>
      <c r="K1789" s="178" t="e">
        <f>#REF!*mo</f>
        <v>#REF!</v>
      </c>
      <c r="L1789" s="178" t="e">
        <f t="shared" si="217"/>
        <v>#REF!</v>
      </c>
      <c r="M1789" s="178" t="e">
        <f>#REF!*#REF!</f>
        <v>#REF!</v>
      </c>
      <c r="N1789" s="178" t="e">
        <f>#REF!+K1789+#REF!</f>
        <v>#REF!</v>
      </c>
      <c r="O1789" s="181" t="e">
        <f t="shared" si="215"/>
        <v>#REF!</v>
      </c>
    </row>
    <row r="1790" spans="1:15" s="193" customFormat="1" outlineLevel="2">
      <c r="A1790" s="155"/>
      <c r="B1790" s="156" t="s">
        <v>1181</v>
      </c>
      <c r="C1790" s="190"/>
      <c r="D1790" s="191"/>
      <c r="E1790" s="176"/>
      <c r="F1790" s="177"/>
      <c r="G1790" s="192"/>
      <c r="H1790" s="179"/>
      <c r="I1790" s="283" t="e">
        <f>IF(#REF!="",#REF!*#REF!,IF(#REF!=0,#REF!*#REF!,#REF!*#REF!*#REF!))</f>
        <v>#REF!</v>
      </c>
      <c r="J1790" s="180" t="e">
        <f>#REF!*#REF!</f>
        <v>#REF!</v>
      </c>
      <c r="K1790" s="178" t="e">
        <f>#REF!*mo</f>
        <v>#REF!</v>
      </c>
      <c r="L1790" s="178" t="e">
        <f t="shared" si="217"/>
        <v>#REF!</v>
      </c>
      <c r="M1790" s="178" t="e">
        <f>#REF!*#REF!</f>
        <v>#REF!</v>
      </c>
      <c r="N1790" s="178" t="e">
        <f>#REF!+K1790+#REF!</f>
        <v>#REF!</v>
      </c>
      <c r="O1790" s="181" t="e">
        <f t="shared" si="215"/>
        <v>#REF!</v>
      </c>
    </row>
    <row r="1791" spans="1:15" s="193" customFormat="1" outlineLevel="2">
      <c r="A1791" s="155"/>
      <c r="B1791" s="197" t="s">
        <v>1182</v>
      </c>
      <c r="C1791" s="190" t="s">
        <v>93</v>
      </c>
      <c r="D1791" s="191"/>
      <c r="E1791" s="176"/>
      <c r="F1791" s="177"/>
      <c r="G1791" s="192"/>
      <c r="H1791" s="179"/>
      <c r="I1791" s="283" t="e">
        <f>IF(#REF!="",#REF!*#REF!,IF(#REF!=0,#REF!*#REF!,#REF!*#REF!*#REF!))</f>
        <v>#REF!</v>
      </c>
      <c r="J1791" s="180" t="e">
        <f>#REF!*#REF!</f>
        <v>#REF!</v>
      </c>
      <c r="K1791" s="178" t="e">
        <f>#REF!*mo</f>
        <v>#REF!</v>
      </c>
      <c r="L1791" s="178" t="e">
        <f t="shared" si="217"/>
        <v>#REF!</v>
      </c>
      <c r="M1791" s="178" t="e">
        <f>#REF!*#REF!</f>
        <v>#REF!</v>
      </c>
      <c r="N1791" s="178" t="e">
        <f>#REF!+K1791+#REF!</f>
        <v>#REF!</v>
      </c>
      <c r="O1791" s="181" t="e">
        <f t="shared" si="215"/>
        <v>#REF!</v>
      </c>
    </row>
    <row r="1792" spans="1:15" s="193" customFormat="1" outlineLevel="2">
      <c r="A1792" s="155"/>
      <c r="B1792" s="197" t="s">
        <v>1183</v>
      </c>
      <c r="C1792" s="190" t="s">
        <v>93</v>
      </c>
      <c r="D1792" s="191"/>
      <c r="E1792" s="176"/>
      <c r="F1792" s="177"/>
      <c r="G1792" s="192"/>
      <c r="H1792" s="179"/>
      <c r="I1792" s="283" t="e">
        <f>IF(#REF!="",#REF!*#REF!,IF(#REF!=0,#REF!*#REF!,#REF!*#REF!*#REF!))</f>
        <v>#REF!</v>
      </c>
      <c r="J1792" s="180" t="e">
        <f>#REF!*#REF!</f>
        <v>#REF!</v>
      </c>
      <c r="K1792" s="178" t="e">
        <f>#REF!*mo</f>
        <v>#REF!</v>
      </c>
      <c r="L1792" s="178" t="e">
        <f t="shared" si="217"/>
        <v>#REF!</v>
      </c>
      <c r="M1792" s="178" t="e">
        <f>#REF!*#REF!</f>
        <v>#REF!</v>
      </c>
      <c r="N1792" s="178" t="e">
        <f>#REF!+K1792+#REF!</f>
        <v>#REF!</v>
      </c>
      <c r="O1792" s="181" t="e">
        <f t="shared" si="215"/>
        <v>#REF!</v>
      </c>
    </row>
    <row r="1793" spans="1:15" s="193" customFormat="1" outlineLevel="2">
      <c r="A1793" s="155"/>
      <c r="B1793" s="156"/>
      <c r="C1793" s="190"/>
      <c r="D1793" s="191"/>
      <c r="E1793" s="176"/>
      <c r="F1793" s="177"/>
      <c r="G1793" s="192"/>
      <c r="H1793" s="179"/>
      <c r="I1793" s="283" t="e">
        <f>IF(#REF!="",#REF!*#REF!,IF(#REF!=0,#REF!*#REF!,#REF!*#REF!*#REF!))</f>
        <v>#REF!</v>
      </c>
      <c r="J1793" s="180" t="e">
        <f>#REF!*#REF!</f>
        <v>#REF!</v>
      </c>
      <c r="K1793" s="178" t="e">
        <f>#REF!*mo</f>
        <v>#REF!</v>
      </c>
      <c r="L1793" s="178" t="e">
        <f t="shared" si="217"/>
        <v>#REF!</v>
      </c>
      <c r="M1793" s="178" t="e">
        <f>#REF!*#REF!</f>
        <v>#REF!</v>
      </c>
      <c r="N1793" s="178" t="e">
        <f>#REF!+K1793+#REF!</f>
        <v>#REF!</v>
      </c>
      <c r="O1793" s="181" t="e">
        <f t="shared" si="215"/>
        <v>#REF!</v>
      </c>
    </row>
    <row r="1794" spans="1:15" s="193" customFormat="1" outlineLevel="2">
      <c r="A1794" s="155"/>
      <c r="B1794" s="197" t="s">
        <v>1184</v>
      </c>
      <c r="C1794" s="190" t="s">
        <v>93</v>
      </c>
      <c r="D1794" s="191"/>
      <c r="E1794" s="176"/>
      <c r="F1794" s="177"/>
      <c r="G1794" s="192"/>
      <c r="H1794" s="179"/>
      <c r="I1794" s="283" t="e">
        <f>IF(#REF!="",#REF!*#REF!,IF(#REF!=0,#REF!*#REF!,#REF!*#REF!*#REF!))</f>
        <v>#REF!</v>
      </c>
      <c r="J1794" s="180" t="e">
        <f>#REF!*#REF!</f>
        <v>#REF!</v>
      </c>
      <c r="K1794" s="178" t="e">
        <f>#REF!*mo</f>
        <v>#REF!</v>
      </c>
      <c r="L1794" s="178" t="e">
        <f t="shared" si="217"/>
        <v>#REF!</v>
      </c>
      <c r="M1794" s="178" t="e">
        <f>#REF!*#REF!</f>
        <v>#REF!</v>
      </c>
      <c r="N1794" s="178" t="e">
        <f>#REF!+K1794+#REF!</f>
        <v>#REF!</v>
      </c>
      <c r="O1794" s="181" t="e">
        <f t="shared" si="215"/>
        <v>#REF!</v>
      </c>
    </row>
    <row r="1795" spans="1:15" s="193" customFormat="1" outlineLevel="2">
      <c r="A1795" s="155"/>
      <c r="B1795" s="156"/>
      <c r="C1795" s="190"/>
      <c r="D1795" s="191"/>
      <c r="E1795" s="176"/>
      <c r="F1795" s="177"/>
      <c r="G1795" s="192"/>
      <c r="H1795" s="179"/>
      <c r="I1795" s="283" t="e">
        <f>IF(#REF!="",#REF!*#REF!,IF(#REF!=0,#REF!*#REF!,#REF!*#REF!*#REF!))</f>
        <v>#REF!</v>
      </c>
      <c r="J1795" s="180" t="e">
        <f>#REF!*#REF!</f>
        <v>#REF!</v>
      </c>
      <c r="K1795" s="178" t="e">
        <f>#REF!*mo</f>
        <v>#REF!</v>
      </c>
      <c r="L1795" s="178" t="e">
        <f t="shared" si="217"/>
        <v>#REF!</v>
      </c>
      <c r="M1795" s="178" t="e">
        <f>#REF!*#REF!</f>
        <v>#REF!</v>
      </c>
      <c r="N1795" s="178" t="e">
        <f>#REF!+K1795+#REF!</f>
        <v>#REF!</v>
      </c>
      <c r="O1795" s="181" t="e">
        <f t="shared" si="215"/>
        <v>#REF!</v>
      </c>
    </row>
    <row r="1796" spans="1:15" s="193" customFormat="1" outlineLevel="2">
      <c r="A1796" s="155"/>
      <c r="B1796" s="156" t="s">
        <v>1179</v>
      </c>
      <c r="C1796" s="190" t="s">
        <v>801</v>
      </c>
      <c r="D1796" s="191"/>
      <c r="E1796" s="176"/>
      <c r="F1796" s="177"/>
      <c r="G1796" s="192"/>
      <c r="H1796" s="179"/>
      <c r="I1796" s="283" t="e">
        <f>IF(#REF!="",#REF!*#REF!,IF(#REF!=0,#REF!*#REF!,#REF!*#REF!*#REF!))</f>
        <v>#REF!</v>
      </c>
      <c r="J1796" s="180" t="e">
        <f>#REF!*#REF!</f>
        <v>#REF!</v>
      </c>
      <c r="K1796" s="178" t="e">
        <f>#REF!*mo</f>
        <v>#REF!</v>
      </c>
      <c r="L1796" s="178" t="e">
        <f t="shared" si="217"/>
        <v>#REF!</v>
      </c>
      <c r="M1796" s="178" t="e">
        <f>#REF!*#REF!</f>
        <v>#REF!</v>
      </c>
      <c r="N1796" s="178" t="e">
        <f>#REF!+K1796+#REF!</f>
        <v>#REF!</v>
      </c>
      <c r="O1796" s="181" t="e">
        <f t="shared" si="215"/>
        <v>#REF!</v>
      </c>
    </row>
    <row r="1797" spans="1:15" s="193" customFormat="1" outlineLevel="2">
      <c r="A1797" s="155"/>
      <c r="B1797" s="156"/>
      <c r="C1797" s="190"/>
      <c r="D1797" s="191"/>
      <c r="E1797" s="176"/>
      <c r="F1797" s="177"/>
      <c r="G1797" s="192"/>
      <c r="H1797" s="179"/>
      <c r="I1797" s="283" t="e">
        <f>IF(#REF!="",#REF!*#REF!,IF(#REF!=0,#REF!*#REF!,#REF!*#REF!*#REF!))</f>
        <v>#REF!</v>
      </c>
      <c r="J1797" s="180" t="e">
        <f>#REF!*#REF!</f>
        <v>#REF!</v>
      </c>
      <c r="K1797" s="178" t="e">
        <f>#REF!*mo</f>
        <v>#REF!</v>
      </c>
      <c r="L1797" s="178" t="e">
        <f t="shared" si="217"/>
        <v>#REF!</v>
      </c>
      <c r="M1797" s="178" t="e">
        <f>#REF!*#REF!</f>
        <v>#REF!</v>
      </c>
      <c r="N1797" s="178" t="e">
        <f>#REF!+K1797+#REF!</f>
        <v>#REF!</v>
      </c>
      <c r="O1797" s="181" t="e">
        <f t="shared" si="215"/>
        <v>#REF!</v>
      </c>
    </row>
    <row r="1798" spans="1:15" s="193" customFormat="1" outlineLevel="2">
      <c r="A1798" s="155"/>
      <c r="B1798" s="156" t="s">
        <v>1108</v>
      </c>
      <c r="C1798" s="190" t="s">
        <v>795</v>
      </c>
      <c r="D1798" s="191"/>
      <c r="E1798" s="176"/>
      <c r="F1798" s="177"/>
      <c r="G1798" s="192"/>
      <c r="H1798" s="179"/>
      <c r="I1798" s="283" t="e">
        <f>IF(#REF!="",#REF!*#REF!,IF(#REF!=0,#REF!*#REF!,#REF!*#REF!*#REF!))</f>
        <v>#REF!</v>
      </c>
      <c r="J1798" s="180" t="e">
        <f>#REF!*#REF!</f>
        <v>#REF!</v>
      </c>
      <c r="K1798" s="178" t="e">
        <f>#REF!*mo</f>
        <v>#REF!</v>
      </c>
      <c r="L1798" s="178" t="e">
        <f t="shared" si="217"/>
        <v>#REF!</v>
      </c>
      <c r="M1798" s="178" t="e">
        <f>#REF!*#REF!</f>
        <v>#REF!</v>
      </c>
      <c r="N1798" s="178" t="e">
        <f>#REF!+K1798+#REF!</f>
        <v>#REF!</v>
      </c>
      <c r="O1798" s="181" t="e">
        <f t="shared" si="215"/>
        <v>#REF!</v>
      </c>
    </row>
    <row r="1799" spans="1:15" s="193" customFormat="1" outlineLevel="2">
      <c r="A1799" s="155"/>
      <c r="B1799" s="156"/>
      <c r="C1799" s="190"/>
      <c r="D1799" s="191"/>
      <c r="E1799" s="176"/>
      <c r="F1799" s="177"/>
      <c r="G1799" s="192"/>
      <c r="H1799" s="179"/>
      <c r="I1799" s="283" t="e">
        <f>IF(#REF!="",#REF!*#REF!,IF(#REF!=0,#REF!*#REF!,#REF!*#REF!*#REF!))</f>
        <v>#REF!</v>
      </c>
      <c r="J1799" s="180" t="e">
        <f>#REF!*#REF!</f>
        <v>#REF!</v>
      </c>
      <c r="K1799" s="178" t="e">
        <f>#REF!*mo</f>
        <v>#REF!</v>
      </c>
      <c r="L1799" s="178" t="e">
        <f t="shared" ref="L1799" si="218">J1799*mo</f>
        <v>#REF!</v>
      </c>
      <c r="M1799" s="178" t="e">
        <f>#REF!*#REF!</f>
        <v>#REF!</v>
      </c>
      <c r="N1799" s="178" t="e">
        <f>#REF!+K1799+#REF!</f>
        <v>#REF!</v>
      </c>
      <c r="O1799" s="181" t="e">
        <f t="shared" si="215"/>
        <v>#REF!</v>
      </c>
    </row>
    <row r="1800" spans="1:15" s="251" customFormat="1" outlineLevel="1">
      <c r="A1800" s="295"/>
      <c r="B1800" s="198" t="str">
        <f>"Total "&amp;B1767</f>
        <v>Total INSTALLATIONS RIA</v>
      </c>
      <c r="C1800" s="249"/>
      <c r="D1800" s="250"/>
      <c r="E1800" s="176"/>
      <c r="F1800" s="177"/>
      <c r="G1800" s="293"/>
      <c r="H1800" s="179">
        <f>SUM(G1767:G1798)</f>
        <v>0</v>
      </c>
      <c r="I1800" s="283" t="e">
        <f>IF(#REF!="",#REF!*#REF!,IF(#REF!=0,#REF!*#REF!,#REF!*#REF!*#REF!))</f>
        <v>#REF!</v>
      </c>
      <c r="J1800" s="180" t="e">
        <f>#REF!*#REF!</f>
        <v>#REF!</v>
      </c>
      <c r="K1800" s="178" t="e">
        <f>#REF!*mo</f>
        <v>#REF!</v>
      </c>
      <c r="L1800" s="178" t="e">
        <f t="shared" si="217"/>
        <v>#REF!</v>
      </c>
      <c r="M1800" s="178" t="e">
        <f>#REF!*#REF!</f>
        <v>#REF!</v>
      </c>
      <c r="N1800" s="178" t="e">
        <f>#REF!+K1800+#REF!</f>
        <v>#REF!</v>
      </c>
      <c r="O1800" s="181" t="e">
        <f t="shared" si="215"/>
        <v>#REF!</v>
      </c>
    </row>
    <row r="1801" spans="1:15" s="193" customFormat="1" outlineLevel="1">
      <c r="A1801" s="155"/>
      <c r="B1801" s="156"/>
      <c r="C1801" s="190"/>
      <c r="D1801" s="191"/>
      <c r="E1801" s="176"/>
      <c r="F1801" s="177"/>
      <c r="G1801" s="192"/>
      <c r="H1801" s="179"/>
      <c r="I1801" s="283" t="e">
        <f>IF(#REF!="",#REF!*#REF!,IF(#REF!=0,#REF!*#REF!,#REF!*#REF!*#REF!))</f>
        <v>#REF!</v>
      </c>
      <c r="J1801" s="180" t="e">
        <f>#REF!*#REF!</f>
        <v>#REF!</v>
      </c>
      <c r="K1801" s="178" t="e">
        <f>#REF!*mo</f>
        <v>#REF!</v>
      </c>
      <c r="L1801" s="178" t="e">
        <f t="shared" si="217"/>
        <v>#REF!</v>
      </c>
      <c r="M1801" s="178" t="e">
        <f>#REF!*#REF!</f>
        <v>#REF!</v>
      </c>
      <c r="N1801" s="178" t="e">
        <f>#REF!+K1801+#REF!</f>
        <v>#REF!</v>
      </c>
      <c r="O1801" s="181" t="e">
        <f t="shared" si="215"/>
        <v>#REF!</v>
      </c>
    </row>
    <row r="1802" spans="1:15" s="194" customFormat="1" ht="11.1" customHeight="1">
      <c r="A1802" s="153"/>
      <c r="B1802" s="154" t="s">
        <v>1185</v>
      </c>
      <c r="C1802" s="182"/>
      <c r="D1802" s="183"/>
      <c r="E1802" s="184"/>
      <c r="F1802" s="185"/>
      <c r="G1802" s="186"/>
      <c r="H1802" s="187">
        <f>SUM(H1803:H1858)</f>
        <v>0</v>
      </c>
      <c r="I1802" s="283" t="e">
        <f>IF(#REF!="",#REF!*#REF!,IF(#REF!=0,#REF!*#REF!,#REF!*#REF!*#REF!))</f>
        <v>#REF!</v>
      </c>
      <c r="J1802" s="180" t="e">
        <f>#REF!*#REF!</f>
        <v>#REF!</v>
      </c>
      <c r="K1802" s="178" t="e">
        <f>#REF!*mo</f>
        <v>#REF!</v>
      </c>
      <c r="L1802" s="178" t="e">
        <f t="shared" si="217"/>
        <v>#REF!</v>
      </c>
      <c r="M1802" s="178" t="e">
        <f>#REF!*#REF!</f>
        <v>#REF!</v>
      </c>
      <c r="N1802" s="178" t="e">
        <f>#REF!+K1802+#REF!</f>
        <v>#REF!</v>
      </c>
      <c r="O1802" s="181" t="e">
        <f t="shared" si="215"/>
        <v>#REF!</v>
      </c>
    </row>
    <row r="1803" spans="1:15" s="193" customFormat="1" outlineLevel="1">
      <c r="A1803" s="155"/>
      <c r="B1803" s="156"/>
      <c r="C1803" s="190"/>
      <c r="D1803" s="191"/>
      <c r="E1803" s="176"/>
      <c r="F1803" s="177"/>
      <c r="G1803" s="192"/>
      <c r="H1803" s="179"/>
      <c r="I1803" s="283" t="e">
        <f>IF(#REF!="",#REF!*#REF!,IF(#REF!=0,#REF!*#REF!,#REF!*#REF!*#REF!))</f>
        <v>#REF!</v>
      </c>
      <c r="J1803" s="180" t="e">
        <f>#REF!*#REF!</f>
        <v>#REF!</v>
      </c>
      <c r="K1803" s="178" t="e">
        <f>#REF!*mo</f>
        <v>#REF!</v>
      </c>
      <c r="L1803" s="178" t="e">
        <f t="shared" si="217"/>
        <v>#REF!</v>
      </c>
      <c r="M1803" s="178" t="e">
        <f>#REF!*#REF!</f>
        <v>#REF!</v>
      </c>
      <c r="N1803" s="178" t="e">
        <f>#REF!+K1803+#REF!</f>
        <v>#REF!</v>
      </c>
      <c r="O1803" s="181" t="e">
        <f t="shared" si="215"/>
        <v>#REF!</v>
      </c>
    </row>
    <row r="1804" spans="1:15" s="209" customFormat="1" outlineLevel="1">
      <c r="A1804" s="157" t="str">
        <f>$A$916&amp;".1"</f>
        <v>.1</v>
      </c>
      <c r="B1804" s="158" t="s">
        <v>31</v>
      </c>
      <c r="C1804" s="195"/>
      <c r="D1804" s="170"/>
      <c r="E1804" s="242"/>
      <c r="F1804" s="243"/>
      <c r="G1804" s="192"/>
      <c r="H1804" s="196"/>
      <c r="I1804" s="283" t="e">
        <f>IF(#REF!="",#REF!*#REF!,IF(#REF!=0,#REF!*#REF!,#REF!*#REF!*#REF!))</f>
        <v>#REF!</v>
      </c>
      <c r="J1804" s="180" t="e">
        <f>#REF!*#REF!</f>
        <v>#REF!</v>
      </c>
      <c r="K1804" s="178" t="e">
        <f>#REF!*mo</f>
        <v>#REF!</v>
      </c>
      <c r="L1804" s="178" t="e">
        <f t="shared" si="217"/>
        <v>#REF!</v>
      </c>
      <c r="M1804" s="178" t="e">
        <f>#REF!*#REF!</f>
        <v>#REF!</v>
      </c>
      <c r="N1804" s="178" t="e">
        <f>#REF!+K1804+#REF!</f>
        <v>#REF!</v>
      </c>
      <c r="O1804" s="181" t="e">
        <f t="shared" si="215"/>
        <v>#REF!</v>
      </c>
    </row>
    <row r="1805" spans="1:15" s="209" customFormat="1" outlineLevel="1">
      <c r="A1805" s="157" t="str">
        <f>$A$918&amp;".1"</f>
        <v>.1</v>
      </c>
      <c r="B1805" s="158" t="s">
        <v>1186</v>
      </c>
      <c r="C1805" s="195"/>
      <c r="D1805" s="170"/>
      <c r="E1805" s="242"/>
      <c r="F1805" s="243"/>
      <c r="G1805" s="192">
        <f>SUM(F1806:F1812)</f>
        <v>0</v>
      </c>
      <c r="H1805" s="179"/>
      <c r="I1805" s="283" t="e">
        <f>IF(#REF!="",#REF!*#REF!,IF(#REF!=0,#REF!*#REF!,#REF!*#REF!*#REF!))</f>
        <v>#REF!</v>
      </c>
      <c r="J1805" s="180" t="e">
        <f>#REF!*#REF!</f>
        <v>#REF!</v>
      </c>
      <c r="K1805" s="178" t="e">
        <f>#REF!*mo</f>
        <v>#REF!</v>
      </c>
      <c r="L1805" s="178" t="e">
        <f t="shared" si="217"/>
        <v>#REF!</v>
      </c>
      <c r="M1805" s="178" t="e">
        <f>#REF!*#REF!</f>
        <v>#REF!</v>
      </c>
      <c r="N1805" s="178" t="e">
        <f>#REF!+K1805+#REF!</f>
        <v>#REF!</v>
      </c>
      <c r="O1805" s="181" t="e">
        <f t="shared" si="215"/>
        <v>#REF!</v>
      </c>
    </row>
    <row r="1806" spans="1:15" s="193" customFormat="1" outlineLevel="2">
      <c r="A1806" s="155"/>
      <c r="B1806" s="156"/>
      <c r="C1806" s="190"/>
      <c r="D1806" s="191"/>
      <c r="E1806" s="242"/>
      <c r="F1806" s="243"/>
      <c r="G1806" s="192"/>
      <c r="H1806" s="179"/>
      <c r="I1806" s="283" t="e">
        <f>IF(#REF!="",#REF!*#REF!,IF(#REF!=0,#REF!*#REF!,#REF!*#REF!*#REF!))</f>
        <v>#REF!</v>
      </c>
      <c r="J1806" s="180" t="e">
        <f>#REF!*#REF!</f>
        <v>#REF!</v>
      </c>
      <c r="K1806" s="178" t="e">
        <f>#REF!*mo</f>
        <v>#REF!</v>
      </c>
      <c r="L1806" s="178" t="e">
        <f t="shared" si="217"/>
        <v>#REF!</v>
      </c>
      <c r="M1806" s="178" t="e">
        <f>#REF!*#REF!</f>
        <v>#REF!</v>
      </c>
      <c r="N1806" s="178" t="e">
        <f>#REF!+K1806+#REF!</f>
        <v>#REF!</v>
      </c>
      <c r="O1806" s="181" t="e">
        <f t="shared" si="215"/>
        <v>#REF!</v>
      </c>
    </row>
    <row r="1807" spans="1:15" s="193" customFormat="1" outlineLevel="2">
      <c r="A1807" s="155"/>
      <c r="B1807" s="156" t="s">
        <v>1187</v>
      </c>
      <c r="C1807" s="190" t="s">
        <v>795</v>
      </c>
      <c r="D1807" s="191"/>
      <c r="E1807" s="242"/>
      <c r="F1807" s="243"/>
      <c r="G1807" s="192"/>
      <c r="H1807" s="179"/>
      <c r="I1807" s="283" t="e">
        <f>IF(#REF!="",#REF!*#REF!,IF(#REF!=0,#REF!*#REF!,#REF!*#REF!*#REF!))</f>
        <v>#REF!</v>
      </c>
      <c r="J1807" s="180" t="e">
        <f>#REF!*#REF!</f>
        <v>#REF!</v>
      </c>
      <c r="K1807" s="178" t="e">
        <f>#REF!*mo</f>
        <v>#REF!</v>
      </c>
      <c r="L1807" s="178" t="e">
        <f t="shared" si="217"/>
        <v>#REF!</v>
      </c>
      <c r="M1807" s="178" t="e">
        <f>#REF!*#REF!</f>
        <v>#REF!</v>
      </c>
      <c r="N1807" s="178" t="e">
        <f>#REF!+K1807+#REF!</f>
        <v>#REF!</v>
      </c>
      <c r="O1807" s="181" t="e">
        <f t="shared" si="215"/>
        <v>#REF!</v>
      </c>
    </row>
    <row r="1808" spans="1:15" s="193" customFormat="1" outlineLevel="2">
      <c r="A1808" s="155"/>
      <c r="B1808" s="156" t="s">
        <v>1188</v>
      </c>
      <c r="C1808" s="190" t="s">
        <v>795</v>
      </c>
      <c r="D1808" s="191"/>
      <c r="E1808" s="242"/>
      <c r="F1808" s="243"/>
      <c r="G1808" s="192"/>
      <c r="H1808" s="179"/>
      <c r="I1808" s="283" t="e">
        <f>IF(#REF!="",#REF!*#REF!,IF(#REF!=0,#REF!*#REF!,#REF!*#REF!*#REF!))</f>
        <v>#REF!</v>
      </c>
      <c r="J1808" s="180" t="e">
        <f>#REF!*#REF!</f>
        <v>#REF!</v>
      </c>
      <c r="K1808" s="178" t="e">
        <f>#REF!*mo</f>
        <v>#REF!</v>
      </c>
      <c r="L1808" s="178" t="e">
        <f t="shared" si="217"/>
        <v>#REF!</v>
      </c>
      <c r="M1808" s="178" t="e">
        <f>#REF!*#REF!</f>
        <v>#REF!</v>
      </c>
      <c r="N1808" s="178" t="e">
        <f>#REF!+K1808+#REF!</f>
        <v>#REF!</v>
      </c>
      <c r="O1808" s="181" t="e">
        <f t="shared" si="215"/>
        <v>#REF!</v>
      </c>
    </row>
    <row r="1809" spans="1:15" s="193" customFormat="1" outlineLevel="2">
      <c r="A1809" s="155"/>
      <c r="B1809" s="205" t="s">
        <v>864</v>
      </c>
      <c r="C1809" s="202" t="s">
        <v>795</v>
      </c>
      <c r="D1809" s="203"/>
      <c r="E1809" s="176"/>
      <c r="F1809" s="177"/>
      <c r="G1809" s="192"/>
      <c r="H1809" s="179"/>
      <c r="I1809" s="283" t="e">
        <f>IF(#REF!="",#REF!*#REF!,IF(#REF!=0,#REF!*#REF!,#REF!*#REF!*#REF!))</f>
        <v>#REF!</v>
      </c>
      <c r="J1809" s="180" t="e">
        <f>#REF!*#REF!</f>
        <v>#REF!</v>
      </c>
      <c r="K1809" s="178" t="e">
        <f>#REF!*mo</f>
        <v>#REF!</v>
      </c>
      <c r="L1809" s="178" t="e">
        <f t="shared" si="217"/>
        <v>#REF!</v>
      </c>
      <c r="M1809" s="178" t="e">
        <f>#REF!*#REF!</f>
        <v>#REF!</v>
      </c>
      <c r="N1809" s="178" t="e">
        <f>#REF!+K1809+#REF!</f>
        <v>#REF!</v>
      </c>
      <c r="O1809" s="181" t="e">
        <f t="shared" si="215"/>
        <v>#REF!</v>
      </c>
    </row>
    <row r="1810" spans="1:15" s="193" customFormat="1" outlineLevel="2">
      <c r="A1810" s="155"/>
      <c r="B1810" s="156"/>
      <c r="C1810" s="190"/>
      <c r="D1810" s="191"/>
      <c r="E1810" s="242"/>
      <c r="F1810" s="243"/>
      <c r="G1810" s="192"/>
      <c r="H1810" s="179"/>
      <c r="I1810" s="283" t="e">
        <f>IF(#REF!="",#REF!*#REF!,IF(#REF!=0,#REF!*#REF!,#REF!*#REF!*#REF!))</f>
        <v>#REF!</v>
      </c>
      <c r="J1810" s="180" t="e">
        <f>#REF!*#REF!</f>
        <v>#REF!</v>
      </c>
      <c r="K1810" s="178" t="e">
        <f>#REF!*mo</f>
        <v>#REF!</v>
      </c>
      <c r="L1810" s="178" t="e">
        <f t="shared" si="217"/>
        <v>#REF!</v>
      </c>
      <c r="M1810" s="178" t="e">
        <f>#REF!*#REF!</f>
        <v>#REF!</v>
      </c>
      <c r="N1810" s="178" t="e">
        <f>#REF!+K1810+#REF!</f>
        <v>#REF!</v>
      </c>
      <c r="O1810" s="181" t="e">
        <f t="shared" si="215"/>
        <v>#REF!</v>
      </c>
    </row>
    <row r="1811" spans="1:15" s="209" customFormat="1" outlineLevel="1">
      <c r="A1811" s="157" t="str">
        <f>$A$918&amp;".2"</f>
        <v>.2</v>
      </c>
      <c r="B1811" s="158" t="s">
        <v>1189</v>
      </c>
      <c r="C1811" s="195"/>
      <c r="D1811" s="170"/>
      <c r="E1811" s="242"/>
      <c r="F1811" s="243"/>
      <c r="G1811" s="192">
        <f>SUM(F1812:F1817)</f>
        <v>0</v>
      </c>
      <c r="H1811" s="179"/>
      <c r="I1811" s="283" t="e">
        <f>IF(#REF!="",#REF!*#REF!,IF(#REF!=0,#REF!*#REF!,#REF!*#REF!*#REF!))</f>
        <v>#REF!</v>
      </c>
      <c r="J1811" s="180" t="e">
        <f>#REF!*#REF!</f>
        <v>#REF!</v>
      </c>
      <c r="K1811" s="178" t="e">
        <f>#REF!*mo</f>
        <v>#REF!</v>
      </c>
      <c r="L1811" s="178" t="e">
        <f t="shared" si="217"/>
        <v>#REF!</v>
      </c>
      <c r="M1811" s="178" t="e">
        <f>#REF!*#REF!</f>
        <v>#REF!</v>
      </c>
      <c r="N1811" s="178" t="e">
        <f>#REF!+K1811+#REF!</f>
        <v>#REF!</v>
      </c>
      <c r="O1811" s="181" t="e">
        <f t="shared" si="215"/>
        <v>#REF!</v>
      </c>
    </row>
    <row r="1812" spans="1:15" s="193" customFormat="1" outlineLevel="2">
      <c r="A1812" s="155"/>
      <c r="B1812" s="156"/>
      <c r="C1812" s="190"/>
      <c r="D1812" s="191"/>
      <c r="E1812" s="242"/>
      <c r="F1812" s="243"/>
      <c r="G1812" s="192"/>
      <c r="H1812" s="179"/>
      <c r="I1812" s="283" t="e">
        <f>IF(#REF!="",#REF!*#REF!,IF(#REF!=0,#REF!*#REF!,#REF!*#REF!*#REF!))</f>
        <v>#REF!</v>
      </c>
      <c r="J1812" s="180" t="e">
        <f>#REF!*#REF!</f>
        <v>#REF!</v>
      </c>
      <c r="K1812" s="178" t="e">
        <f>#REF!*mo</f>
        <v>#REF!</v>
      </c>
      <c r="L1812" s="178" t="e">
        <f t="shared" si="217"/>
        <v>#REF!</v>
      </c>
      <c r="M1812" s="178" t="e">
        <f>#REF!*#REF!</f>
        <v>#REF!</v>
      </c>
      <c r="N1812" s="178" t="e">
        <f>#REF!+K1812+#REF!</f>
        <v>#REF!</v>
      </c>
      <c r="O1812" s="181" t="e">
        <f t="shared" si="215"/>
        <v>#REF!</v>
      </c>
    </row>
    <row r="1813" spans="1:15" s="193" customFormat="1" outlineLevel="2">
      <c r="A1813" s="155"/>
      <c r="B1813" s="156" t="s">
        <v>1190</v>
      </c>
      <c r="C1813" s="190" t="s">
        <v>795</v>
      </c>
      <c r="D1813" s="191"/>
      <c r="E1813" s="242"/>
      <c r="F1813" s="243"/>
      <c r="G1813" s="192"/>
      <c r="H1813" s="179"/>
      <c r="I1813" s="283" t="e">
        <f>IF(#REF!="",#REF!*#REF!,IF(#REF!=0,#REF!*#REF!,#REF!*#REF!*#REF!))</f>
        <v>#REF!</v>
      </c>
      <c r="J1813" s="180" t="e">
        <f>#REF!*#REF!</f>
        <v>#REF!</v>
      </c>
      <c r="K1813" s="178" t="e">
        <f>#REF!*mo</f>
        <v>#REF!</v>
      </c>
      <c r="L1813" s="178" t="e">
        <f t="shared" si="217"/>
        <v>#REF!</v>
      </c>
      <c r="M1813" s="178" t="e">
        <f>#REF!*#REF!</f>
        <v>#REF!</v>
      </c>
      <c r="N1813" s="178" t="e">
        <f>#REF!+K1813+#REF!</f>
        <v>#REF!</v>
      </c>
      <c r="O1813" s="181" t="e">
        <f t="shared" si="215"/>
        <v>#REF!</v>
      </c>
    </row>
    <row r="1814" spans="1:15" s="193" customFormat="1" outlineLevel="2">
      <c r="A1814" s="155"/>
      <c r="B1814" s="156" t="s">
        <v>1191</v>
      </c>
      <c r="C1814" s="190" t="s">
        <v>795</v>
      </c>
      <c r="D1814" s="191"/>
      <c r="E1814" s="242"/>
      <c r="F1814" s="243"/>
      <c r="G1814" s="192"/>
      <c r="H1814" s="179"/>
      <c r="I1814" s="283" t="e">
        <f>IF(#REF!="",#REF!*#REF!,IF(#REF!=0,#REF!*#REF!,#REF!*#REF!*#REF!))</f>
        <v>#REF!</v>
      </c>
      <c r="J1814" s="180" t="e">
        <f>#REF!*#REF!</f>
        <v>#REF!</v>
      </c>
      <c r="K1814" s="178" t="e">
        <f>#REF!*mo</f>
        <v>#REF!</v>
      </c>
      <c r="L1814" s="178" t="e">
        <f t="shared" si="217"/>
        <v>#REF!</v>
      </c>
      <c r="M1814" s="178" t="e">
        <f>#REF!*#REF!</f>
        <v>#REF!</v>
      </c>
      <c r="N1814" s="178" t="e">
        <f>#REF!+K1814+#REF!</f>
        <v>#REF!</v>
      </c>
      <c r="O1814" s="181" t="e">
        <f t="shared" si="215"/>
        <v>#REF!</v>
      </c>
    </row>
    <row r="1815" spans="1:15" s="193" customFormat="1" outlineLevel="2">
      <c r="A1815" s="155"/>
      <c r="B1815" s="156" t="s">
        <v>1192</v>
      </c>
      <c r="C1815" s="190" t="s">
        <v>795</v>
      </c>
      <c r="D1815" s="191"/>
      <c r="E1815" s="242"/>
      <c r="F1815" s="243"/>
      <c r="G1815" s="192"/>
      <c r="H1815" s="179"/>
      <c r="I1815" s="283" t="e">
        <f>IF(#REF!="",#REF!*#REF!,IF(#REF!=0,#REF!*#REF!,#REF!*#REF!*#REF!))</f>
        <v>#REF!</v>
      </c>
      <c r="J1815" s="180" t="e">
        <f>#REF!*#REF!</f>
        <v>#REF!</v>
      </c>
      <c r="K1815" s="178" t="e">
        <f>#REF!*mo</f>
        <v>#REF!</v>
      </c>
      <c r="L1815" s="178" t="e">
        <f t="shared" si="217"/>
        <v>#REF!</v>
      </c>
      <c r="M1815" s="178" t="e">
        <f>#REF!*#REF!</f>
        <v>#REF!</v>
      </c>
      <c r="N1815" s="178" t="e">
        <f>#REF!+K1815+#REF!</f>
        <v>#REF!</v>
      </c>
      <c r="O1815" s="181" t="e">
        <f t="shared" si="215"/>
        <v>#REF!</v>
      </c>
    </row>
    <row r="1816" spans="1:15" s="193" customFormat="1" outlineLevel="2">
      <c r="A1816" s="155"/>
      <c r="B1816" s="156"/>
      <c r="C1816" s="190"/>
      <c r="D1816" s="191"/>
      <c r="E1816" s="242"/>
      <c r="F1816" s="243"/>
      <c r="G1816" s="192"/>
      <c r="H1816" s="179"/>
      <c r="I1816" s="283" t="e">
        <f>IF(#REF!="",#REF!*#REF!,IF(#REF!=0,#REF!*#REF!,#REF!*#REF!*#REF!))</f>
        <v>#REF!</v>
      </c>
      <c r="J1816" s="180" t="e">
        <f>#REF!*#REF!</f>
        <v>#REF!</v>
      </c>
      <c r="K1816" s="178" t="e">
        <f>#REF!*mo</f>
        <v>#REF!</v>
      </c>
      <c r="L1816" s="178" t="e">
        <f t="shared" si="217"/>
        <v>#REF!</v>
      </c>
      <c r="M1816" s="178" t="e">
        <f>#REF!*#REF!</f>
        <v>#REF!</v>
      </c>
      <c r="N1816" s="178" t="e">
        <f>#REF!+K1816+#REF!</f>
        <v>#REF!</v>
      </c>
      <c r="O1816" s="181" t="e">
        <f t="shared" si="215"/>
        <v>#REF!</v>
      </c>
    </row>
    <row r="1817" spans="1:15" s="193" customFormat="1" outlineLevel="1">
      <c r="A1817" s="155"/>
      <c r="B1817" s="198" t="str">
        <f>"Total "&amp;B1804</f>
        <v>Total ELECTRICITE</v>
      </c>
      <c r="C1817" s="190"/>
      <c r="D1817" s="191"/>
      <c r="E1817" s="242"/>
      <c r="F1817" s="243"/>
      <c r="G1817" s="192"/>
      <c r="H1817" s="179">
        <f>SUM(G1805:G1817)</f>
        <v>0</v>
      </c>
      <c r="I1817" s="283" t="e">
        <f>IF(#REF!="",#REF!*#REF!,IF(#REF!=0,#REF!*#REF!,#REF!*#REF!*#REF!))</f>
        <v>#REF!</v>
      </c>
      <c r="J1817" s="180" t="e">
        <f>#REF!*#REF!</f>
        <v>#REF!</v>
      </c>
      <c r="K1817" s="178" t="e">
        <f>#REF!*mo</f>
        <v>#REF!</v>
      </c>
      <c r="L1817" s="178" t="e">
        <f t="shared" si="217"/>
        <v>#REF!</v>
      </c>
      <c r="M1817" s="178" t="e">
        <f>#REF!*#REF!</f>
        <v>#REF!</v>
      </c>
      <c r="N1817" s="178" t="e">
        <f>#REF!+K1817+#REF!</f>
        <v>#REF!</v>
      </c>
      <c r="O1817" s="181" t="e">
        <f t="shared" si="215"/>
        <v>#REF!</v>
      </c>
    </row>
    <row r="1818" spans="1:15" s="193" customFormat="1" outlineLevel="1">
      <c r="A1818" s="155"/>
      <c r="B1818" s="198"/>
      <c r="C1818" s="190"/>
      <c r="D1818" s="191"/>
      <c r="E1818" s="242"/>
      <c r="F1818" s="243"/>
      <c r="G1818" s="192"/>
      <c r="H1818" s="235"/>
      <c r="I1818" s="283" t="e">
        <f>IF(#REF!="",#REF!*#REF!,IF(#REF!=0,#REF!*#REF!,#REF!*#REF!*#REF!))</f>
        <v>#REF!</v>
      </c>
      <c r="J1818" s="180" t="e">
        <f>#REF!*#REF!</f>
        <v>#REF!</v>
      </c>
      <c r="K1818" s="178" t="e">
        <f>#REF!*mo</f>
        <v>#REF!</v>
      </c>
      <c r="L1818" s="178" t="e">
        <f t="shared" si="217"/>
        <v>#REF!</v>
      </c>
      <c r="M1818" s="178" t="e">
        <f>#REF!*#REF!</f>
        <v>#REF!</v>
      </c>
      <c r="N1818" s="178" t="e">
        <f>#REF!+K1818+#REF!</f>
        <v>#REF!</v>
      </c>
      <c r="O1818" s="181" t="e">
        <f t="shared" si="215"/>
        <v>#REF!</v>
      </c>
    </row>
    <row r="1819" spans="1:15" s="209" customFormat="1" outlineLevel="1">
      <c r="A1819" s="157" t="str">
        <f>$A$916&amp;".2"</f>
        <v>.2</v>
      </c>
      <c r="B1819" s="158" t="s">
        <v>1193</v>
      </c>
      <c r="C1819" s="195"/>
      <c r="D1819" s="170"/>
      <c r="E1819" s="242"/>
      <c r="F1819" s="243"/>
      <c r="G1819" s="192"/>
      <c r="H1819" s="196"/>
      <c r="I1819" s="283" t="e">
        <f>IF(#REF!="",#REF!*#REF!,IF(#REF!=0,#REF!*#REF!,#REF!*#REF!*#REF!))</f>
        <v>#REF!</v>
      </c>
      <c r="J1819" s="180" t="e">
        <f>#REF!*#REF!</f>
        <v>#REF!</v>
      </c>
      <c r="K1819" s="178" t="e">
        <f>#REF!*mo</f>
        <v>#REF!</v>
      </c>
      <c r="L1819" s="178" t="e">
        <f t="shared" si="217"/>
        <v>#REF!</v>
      </c>
      <c r="M1819" s="178" t="e">
        <f>#REF!*#REF!</f>
        <v>#REF!</v>
      </c>
      <c r="N1819" s="178" t="e">
        <f>#REF!+K1819+#REF!</f>
        <v>#REF!</v>
      </c>
      <c r="O1819" s="181" t="e">
        <f t="shared" si="215"/>
        <v>#REF!</v>
      </c>
    </row>
    <row r="1820" spans="1:15" s="209" customFormat="1" outlineLevel="1">
      <c r="A1820" s="157" t="str">
        <f>$A$933&amp;".1"</f>
        <v>.1</v>
      </c>
      <c r="B1820" s="158" t="s">
        <v>1194</v>
      </c>
      <c r="C1820" s="195"/>
      <c r="D1820" s="170"/>
      <c r="E1820" s="242"/>
      <c r="F1820" s="243"/>
      <c r="G1820" s="192">
        <f>SUM(F1822:F1837)</f>
        <v>0</v>
      </c>
      <c r="H1820" s="179"/>
      <c r="I1820" s="283" t="e">
        <f>IF(#REF!="",#REF!*#REF!,IF(#REF!=0,#REF!*#REF!,#REF!*#REF!*#REF!))</f>
        <v>#REF!</v>
      </c>
      <c r="J1820" s="180" t="e">
        <f>#REF!*#REF!</f>
        <v>#REF!</v>
      </c>
      <c r="K1820" s="178" t="e">
        <f>#REF!*mo</f>
        <v>#REF!</v>
      </c>
      <c r="L1820" s="178" t="e">
        <f t="shared" ref="L1820" si="219">J1820*mo</f>
        <v>#REF!</v>
      </c>
      <c r="M1820" s="178" t="e">
        <f>#REF!*#REF!</f>
        <v>#REF!</v>
      </c>
      <c r="N1820" s="178" t="e">
        <f>#REF!+K1820+#REF!</f>
        <v>#REF!</v>
      </c>
      <c r="O1820" s="181" t="e">
        <f t="shared" si="215"/>
        <v>#REF!</v>
      </c>
    </row>
    <row r="1821" spans="1:15" s="193" customFormat="1" outlineLevel="2">
      <c r="A1821" s="155"/>
      <c r="B1821" s="156"/>
      <c r="C1821" s="190"/>
      <c r="D1821" s="191"/>
      <c r="E1821" s="242"/>
      <c r="F1821" s="243"/>
      <c r="G1821" s="192"/>
      <c r="H1821" s="179"/>
      <c r="I1821" s="283" t="e">
        <f>IF(#REF!="",#REF!*#REF!,IF(#REF!=0,#REF!*#REF!,#REF!*#REF!*#REF!))</f>
        <v>#REF!</v>
      </c>
      <c r="J1821" s="180" t="e">
        <f>#REF!*#REF!</f>
        <v>#REF!</v>
      </c>
      <c r="K1821" s="178" t="e">
        <f>#REF!*mo</f>
        <v>#REF!</v>
      </c>
      <c r="L1821" s="178" t="e">
        <f t="shared" si="217"/>
        <v>#REF!</v>
      </c>
      <c r="M1821" s="178" t="e">
        <f>#REF!*#REF!</f>
        <v>#REF!</v>
      </c>
      <c r="N1821" s="178" t="e">
        <f>#REF!+K1821+#REF!</f>
        <v>#REF!</v>
      </c>
      <c r="O1821" s="181" t="e">
        <f t="shared" si="215"/>
        <v>#REF!</v>
      </c>
    </row>
    <row r="1822" spans="1:15" s="193" customFormat="1" outlineLevel="2">
      <c r="A1822" s="155"/>
      <c r="B1822" s="156" t="s">
        <v>1195</v>
      </c>
      <c r="C1822" s="190" t="s">
        <v>795</v>
      </c>
      <c r="D1822" s="191"/>
      <c r="E1822" s="242"/>
      <c r="F1822" s="243"/>
      <c r="G1822" s="192"/>
      <c r="H1822" s="179"/>
      <c r="I1822" s="283" t="e">
        <f>IF(#REF!="",#REF!*#REF!,IF(#REF!=0,#REF!*#REF!,#REF!*#REF!*#REF!))</f>
        <v>#REF!</v>
      </c>
      <c r="J1822" s="180" t="e">
        <f>#REF!*#REF!</f>
        <v>#REF!</v>
      </c>
      <c r="K1822" s="178" t="e">
        <f>#REF!*mo</f>
        <v>#REF!</v>
      </c>
      <c r="L1822" s="178" t="e">
        <f t="shared" si="217"/>
        <v>#REF!</v>
      </c>
      <c r="M1822" s="178" t="e">
        <f>#REF!*#REF!</f>
        <v>#REF!</v>
      </c>
      <c r="N1822" s="178" t="e">
        <f>#REF!+K1822+#REF!</f>
        <v>#REF!</v>
      </c>
      <c r="O1822" s="181" t="e">
        <f t="shared" si="215"/>
        <v>#REF!</v>
      </c>
    </row>
    <row r="1823" spans="1:15" s="193" customFormat="1" outlineLevel="2">
      <c r="A1823" s="155"/>
      <c r="B1823" s="156" t="s">
        <v>1196</v>
      </c>
      <c r="C1823" s="190" t="s">
        <v>795</v>
      </c>
      <c r="D1823" s="191"/>
      <c r="E1823" s="242"/>
      <c r="F1823" s="243"/>
      <c r="G1823" s="192"/>
      <c r="H1823" s="179"/>
      <c r="I1823" s="283" t="e">
        <f>IF(#REF!="",#REF!*#REF!,IF(#REF!=0,#REF!*#REF!,#REF!*#REF!*#REF!))</f>
        <v>#REF!</v>
      </c>
      <c r="J1823" s="180" t="e">
        <f>#REF!*#REF!</f>
        <v>#REF!</v>
      </c>
      <c r="K1823" s="178" t="e">
        <f>#REF!*mo</f>
        <v>#REF!</v>
      </c>
      <c r="L1823" s="178" t="e">
        <f t="shared" si="217"/>
        <v>#REF!</v>
      </c>
      <c r="M1823" s="178" t="e">
        <f>#REF!*#REF!</f>
        <v>#REF!</v>
      </c>
      <c r="N1823" s="178" t="e">
        <f>#REF!+K1823+#REF!</f>
        <v>#REF!</v>
      </c>
      <c r="O1823" s="181" t="e">
        <f t="shared" si="215"/>
        <v>#REF!</v>
      </c>
    </row>
    <row r="1824" spans="1:15" s="193" customFormat="1" outlineLevel="2">
      <c r="A1824" s="155"/>
      <c r="B1824" s="156"/>
      <c r="C1824" s="190"/>
      <c r="D1824" s="191"/>
      <c r="E1824" s="242"/>
      <c r="F1824" s="243"/>
      <c r="G1824" s="192"/>
      <c r="H1824" s="179"/>
      <c r="I1824" s="283"/>
      <c r="J1824" s="180"/>
      <c r="K1824" s="178"/>
      <c r="L1824" s="178"/>
      <c r="M1824" s="178"/>
      <c r="N1824" s="178"/>
      <c r="O1824" s="181"/>
    </row>
    <row r="1825" spans="1:15" s="209" customFormat="1" outlineLevel="1">
      <c r="A1825" s="157" t="str">
        <f>$A$933&amp;".2"</f>
        <v>.2</v>
      </c>
      <c r="B1825" s="158" t="s">
        <v>1197</v>
      </c>
      <c r="C1825" s="195"/>
      <c r="D1825" s="170"/>
      <c r="E1825" s="242"/>
      <c r="F1825" s="243"/>
      <c r="G1825" s="192">
        <f>SUM(F1827:F1844)</f>
        <v>0</v>
      </c>
      <c r="H1825" s="179"/>
      <c r="I1825" s="283" t="e">
        <f>IF(#REF!="",#REF!*#REF!,IF(#REF!=0,#REF!*#REF!,#REF!*#REF!*#REF!))</f>
        <v>#REF!</v>
      </c>
      <c r="J1825" s="180" t="e">
        <f>#REF!*#REF!</f>
        <v>#REF!</v>
      </c>
      <c r="K1825" s="178" t="e">
        <f>#REF!*mo</f>
        <v>#REF!</v>
      </c>
      <c r="L1825" s="178" t="e">
        <f t="shared" ref="L1825:L1826" si="220">J1825*mo</f>
        <v>#REF!</v>
      </c>
      <c r="M1825" s="178" t="e">
        <f>#REF!*#REF!</f>
        <v>#REF!</v>
      </c>
      <c r="N1825" s="178" t="e">
        <f>#REF!+K1825+#REF!</f>
        <v>#REF!</v>
      </c>
      <c r="O1825" s="181" t="e">
        <f t="shared" ref="O1825:O1828" si="221">M1825+L1825+I1825</f>
        <v>#REF!</v>
      </c>
    </row>
    <row r="1826" spans="1:15" s="193" customFormat="1" outlineLevel="2">
      <c r="A1826" s="155"/>
      <c r="B1826" s="156"/>
      <c r="C1826" s="190"/>
      <c r="D1826" s="191"/>
      <c r="E1826" s="242"/>
      <c r="F1826" s="243"/>
      <c r="G1826" s="192"/>
      <c r="H1826" s="179"/>
      <c r="I1826" s="283" t="e">
        <f>IF(#REF!="",#REF!*#REF!,IF(#REF!=0,#REF!*#REF!,#REF!*#REF!*#REF!))</f>
        <v>#REF!</v>
      </c>
      <c r="J1826" s="180" t="e">
        <f>#REF!*#REF!</f>
        <v>#REF!</v>
      </c>
      <c r="K1826" s="178" t="e">
        <f>#REF!*mo</f>
        <v>#REF!</v>
      </c>
      <c r="L1826" s="178" t="e">
        <f t="shared" si="220"/>
        <v>#REF!</v>
      </c>
      <c r="M1826" s="178" t="e">
        <f>#REF!*#REF!</f>
        <v>#REF!</v>
      </c>
      <c r="N1826" s="178" t="e">
        <f>#REF!+K1826+#REF!</f>
        <v>#REF!</v>
      </c>
      <c r="O1826" s="181" t="e">
        <f t="shared" si="221"/>
        <v>#REF!</v>
      </c>
    </row>
    <row r="1827" spans="1:15" s="193" customFormat="1" outlineLevel="2">
      <c r="A1827" s="155"/>
      <c r="B1827" s="156" t="s">
        <v>1198</v>
      </c>
      <c r="C1827" s="190" t="s">
        <v>795</v>
      </c>
      <c r="D1827" s="191"/>
      <c r="E1827" s="242"/>
      <c r="F1827" s="243"/>
      <c r="G1827" s="192"/>
      <c r="H1827" s="179"/>
      <c r="I1827" s="283" t="e">
        <f>IF(#REF!="",#REF!*#REF!,IF(#REF!=0,#REF!*#REF!,#REF!*#REF!*#REF!))</f>
        <v>#REF!</v>
      </c>
      <c r="J1827" s="180" t="e">
        <f>#REF!*#REF!</f>
        <v>#REF!</v>
      </c>
      <c r="K1827" s="178" t="e">
        <f>#REF!*mo</f>
        <v>#REF!</v>
      </c>
      <c r="L1827" s="178" t="e">
        <f t="shared" ref="L1827" si="222">J1827*mo</f>
        <v>#REF!</v>
      </c>
      <c r="M1827" s="178" t="e">
        <f>#REF!*#REF!</f>
        <v>#REF!</v>
      </c>
      <c r="N1827" s="178" t="e">
        <f>#REF!+K1827+#REF!</f>
        <v>#REF!</v>
      </c>
      <c r="O1827" s="181" t="e">
        <f t="shared" si="221"/>
        <v>#REF!</v>
      </c>
    </row>
    <row r="1828" spans="1:15" s="193" customFormat="1" outlineLevel="2">
      <c r="A1828" s="155"/>
      <c r="B1828" s="156" t="s">
        <v>1199</v>
      </c>
      <c r="C1828" s="190" t="s">
        <v>795</v>
      </c>
      <c r="D1828" s="191"/>
      <c r="E1828" s="242"/>
      <c r="F1828" s="243"/>
      <c r="G1828" s="192"/>
      <c r="H1828" s="179"/>
      <c r="I1828" s="283" t="e">
        <f>IF(#REF!="",#REF!*#REF!,IF(#REF!=0,#REF!*#REF!,#REF!*#REF!*#REF!))</f>
        <v>#REF!</v>
      </c>
      <c r="J1828" s="180" t="e">
        <f>#REF!*#REF!</f>
        <v>#REF!</v>
      </c>
      <c r="K1828" s="178" t="e">
        <f>#REF!*mo</f>
        <v>#REF!</v>
      </c>
      <c r="L1828" s="178" t="e">
        <f t="shared" ref="L1828" si="223">J1828*mo</f>
        <v>#REF!</v>
      </c>
      <c r="M1828" s="178" t="e">
        <f>#REF!*#REF!</f>
        <v>#REF!</v>
      </c>
      <c r="N1828" s="178" t="e">
        <f>#REF!+K1828+#REF!</f>
        <v>#REF!</v>
      </c>
      <c r="O1828" s="181" t="e">
        <f t="shared" si="221"/>
        <v>#REF!</v>
      </c>
    </row>
    <row r="1829" spans="1:15" s="193" customFormat="1" outlineLevel="2">
      <c r="A1829" s="155"/>
      <c r="B1829" s="156"/>
      <c r="C1829" s="190"/>
      <c r="D1829" s="191"/>
      <c r="E1829" s="242"/>
      <c r="F1829" s="243"/>
      <c r="G1829" s="192"/>
      <c r="H1829" s="179"/>
      <c r="I1829" s="283"/>
      <c r="J1829" s="180"/>
      <c r="K1829" s="178"/>
      <c r="L1829" s="178"/>
      <c r="M1829" s="178"/>
      <c r="N1829" s="178"/>
      <c r="O1829" s="181"/>
    </row>
    <row r="1830" spans="1:15" s="209" customFormat="1" outlineLevel="1">
      <c r="A1830" s="157" t="str">
        <f>$A$933&amp;".3"</f>
        <v>.3</v>
      </c>
      <c r="B1830" s="158" t="s">
        <v>1200</v>
      </c>
      <c r="C1830" s="195"/>
      <c r="D1830" s="170"/>
      <c r="E1830" s="242"/>
      <c r="F1830" s="243"/>
      <c r="G1830" s="192">
        <f>SUM(F1832:F1849)</f>
        <v>0</v>
      </c>
      <c r="H1830" s="179"/>
      <c r="I1830" s="283" t="e">
        <f>IF(#REF!="",#REF!*#REF!,IF(#REF!=0,#REF!*#REF!,#REF!*#REF!*#REF!))</f>
        <v>#REF!</v>
      </c>
      <c r="J1830" s="180" t="e">
        <f>#REF!*#REF!</f>
        <v>#REF!</v>
      </c>
      <c r="K1830" s="178" t="e">
        <f>#REF!*mo</f>
        <v>#REF!</v>
      </c>
      <c r="L1830" s="178" t="e">
        <f t="shared" ref="L1830:L1831" si="224">J1830*mo</f>
        <v>#REF!</v>
      </c>
      <c r="M1830" s="178" t="e">
        <f>#REF!*#REF!</f>
        <v>#REF!</v>
      </c>
      <c r="N1830" s="178" t="e">
        <f>#REF!+K1830+#REF!</f>
        <v>#REF!</v>
      </c>
      <c r="O1830" s="181" t="e">
        <f t="shared" ref="O1830:O1886" si="225">M1830+L1830+I1830</f>
        <v>#REF!</v>
      </c>
    </row>
    <row r="1831" spans="1:15" s="193" customFormat="1" outlineLevel="2">
      <c r="A1831" s="155"/>
      <c r="B1831" s="156"/>
      <c r="C1831" s="190"/>
      <c r="D1831" s="191"/>
      <c r="E1831" s="242"/>
      <c r="F1831" s="243"/>
      <c r="G1831" s="192"/>
      <c r="H1831" s="179"/>
      <c r="I1831" s="283" t="e">
        <f>IF(#REF!="",#REF!*#REF!,IF(#REF!=0,#REF!*#REF!,#REF!*#REF!*#REF!))</f>
        <v>#REF!</v>
      </c>
      <c r="J1831" s="180" t="e">
        <f>#REF!*#REF!</f>
        <v>#REF!</v>
      </c>
      <c r="K1831" s="178" t="e">
        <f>#REF!*mo</f>
        <v>#REF!</v>
      </c>
      <c r="L1831" s="178" t="e">
        <f t="shared" si="224"/>
        <v>#REF!</v>
      </c>
      <c r="M1831" s="178" t="e">
        <f>#REF!*#REF!</f>
        <v>#REF!</v>
      </c>
      <c r="N1831" s="178" t="e">
        <f>#REF!+K1831+#REF!</f>
        <v>#REF!</v>
      </c>
      <c r="O1831" s="181" t="e">
        <f t="shared" si="225"/>
        <v>#REF!</v>
      </c>
    </row>
    <row r="1832" spans="1:15" s="193" customFormat="1" outlineLevel="2">
      <c r="A1832" s="155"/>
      <c r="B1832" s="156" t="s">
        <v>1201</v>
      </c>
      <c r="C1832" s="190" t="s">
        <v>70</v>
      </c>
      <c r="D1832" s="191"/>
      <c r="E1832" s="242"/>
      <c r="F1832" s="243"/>
      <c r="G1832" s="192"/>
      <c r="H1832" s="179"/>
      <c r="I1832" s="283" t="e">
        <f>IF(#REF!="",#REF!*#REF!,IF(#REF!=0,#REF!*#REF!,#REF!*#REF!*#REF!))</f>
        <v>#REF!</v>
      </c>
      <c r="J1832" s="180" t="e">
        <f>#REF!*#REF!</f>
        <v>#REF!</v>
      </c>
      <c r="K1832" s="178" t="e">
        <f>#REF!*mo</f>
        <v>#REF!</v>
      </c>
      <c r="L1832" s="178" t="e">
        <f t="shared" si="217"/>
        <v>#REF!</v>
      </c>
      <c r="M1832" s="178" t="e">
        <f>#REF!*#REF!</f>
        <v>#REF!</v>
      </c>
      <c r="N1832" s="178" t="e">
        <f>#REF!+K1832+#REF!</f>
        <v>#REF!</v>
      </c>
      <c r="O1832" s="181" t="e">
        <f t="shared" si="225"/>
        <v>#REF!</v>
      </c>
    </row>
    <row r="1833" spans="1:15" s="193" customFormat="1" outlineLevel="2">
      <c r="A1833" s="155"/>
      <c r="B1833" s="156" t="s">
        <v>1202</v>
      </c>
      <c r="C1833" s="190" t="s">
        <v>795</v>
      </c>
      <c r="D1833" s="191"/>
      <c r="E1833" s="242"/>
      <c r="F1833" s="243"/>
      <c r="G1833" s="192"/>
      <c r="H1833" s="179"/>
      <c r="I1833" s="283" t="e">
        <f>IF(#REF!="",#REF!*#REF!,IF(#REF!=0,#REF!*#REF!,#REF!*#REF!*#REF!))</f>
        <v>#REF!</v>
      </c>
      <c r="J1833" s="180" t="e">
        <f>#REF!*#REF!</f>
        <v>#REF!</v>
      </c>
      <c r="K1833" s="178" t="e">
        <f>#REF!*mo</f>
        <v>#REF!</v>
      </c>
      <c r="L1833" s="178" t="e">
        <f t="shared" ref="L1833" si="226">J1833*mo</f>
        <v>#REF!</v>
      </c>
      <c r="M1833" s="178" t="e">
        <f>#REF!*#REF!</f>
        <v>#REF!</v>
      </c>
      <c r="N1833" s="178" t="e">
        <f>#REF!+K1833+#REF!</f>
        <v>#REF!</v>
      </c>
      <c r="O1833" s="181" t="e">
        <f t="shared" si="225"/>
        <v>#REF!</v>
      </c>
    </row>
    <row r="1834" spans="1:15" s="193" customFormat="1" outlineLevel="2">
      <c r="A1834" s="155"/>
      <c r="B1834" s="156" t="s">
        <v>1203</v>
      </c>
      <c r="C1834" s="190" t="s">
        <v>795</v>
      </c>
      <c r="D1834" s="191"/>
      <c r="E1834" s="242"/>
      <c r="F1834" s="243"/>
      <c r="G1834" s="192"/>
      <c r="H1834" s="179"/>
      <c r="I1834" s="283" t="e">
        <f>IF(#REF!="",#REF!*#REF!,IF(#REF!=0,#REF!*#REF!,#REF!*#REF!*#REF!))</f>
        <v>#REF!</v>
      </c>
      <c r="J1834" s="180" t="e">
        <f>#REF!*#REF!</f>
        <v>#REF!</v>
      </c>
      <c r="K1834" s="178" t="e">
        <f>#REF!*mo</f>
        <v>#REF!</v>
      </c>
      <c r="L1834" s="178" t="e">
        <f t="shared" si="217"/>
        <v>#REF!</v>
      </c>
      <c r="M1834" s="178" t="e">
        <f>#REF!*#REF!</f>
        <v>#REF!</v>
      </c>
      <c r="N1834" s="178" t="e">
        <f>#REF!+K1834+#REF!</f>
        <v>#REF!</v>
      </c>
      <c r="O1834" s="181" t="e">
        <f t="shared" si="225"/>
        <v>#REF!</v>
      </c>
    </row>
    <row r="1835" spans="1:15" s="193" customFormat="1" outlineLevel="2">
      <c r="A1835" s="155"/>
      <c r="B1835" s="156" t="s">
        <v>1204</v>
      </c>
      <c r="C1835" s="190" t="s">
        <v>795</v>
      </c>
      <c r="D1835" s="191"/>
      <c r="E1835" s="242"/>
      <c r="F1835" s="243"/>
      <c r="G1835" s="192"/>
      <c r="H1835" s="179"/>
      <c r="I1835" s="283" t="e">
        <f>IF(#REF!="",#REF!*#REF!,IF(#REF!=0,#REF!*#REF!,#REF!*#REF!*#REF!))</f>
        <v>#REF!</v>
      </c>
      <c r="J1835" s="180" t="e">
        <f>#REF!*#REF!</f>
        <v>#REF!</v>
      </c>
      <c r="K1835" s="178" t="e">
        <f>#REF!*mo</f>
        <v>#REF!</v>
      </c>
      <c r="L1835" s="178" t="e">
        <f>J1835*mo</f>
        <v>#REF!</v>
      </c>
      <c r="M1835" s="178" t="e">
        <f>#REF!*#REF!</f>
        <v>#REF!</v>
      </c>
      <c r="N1835" s="178" t="e">
        <f>#REF!+K1835+#REF!</f>
        <v>#REF!</v>
      </c>
      <c r="O1835" s="181" t="e">
        <f>M1835+L1835+I1835</f>
        <v>#REF!</v>
      </c>
    </row>
    <row r="1836" spans="1:15" s="193" customFormat="1" outlineLevel="2">
      <c r="A1836" s="155"/>
      <c r="B1836" s="156" t="s">
        <v>1205</v>
      </c>
      <c r="C1836" s="190" t="s">
        <v>795</v>
      </c>
      <c r="D1836" s="191"/>
      <c r="E1836" s="242"/>
      <c r="F1836" s="243"/>
      <c r="G1836" s="192"/>
      <c r="H1836" s="179"/>
      <c r="I1836" s="283" t="e">
        <f>IF(#REF!="",#REF!*#REF!,IF(#REF!=0,#REF!*#REF!,#REF!*#REF!*#REF!))</f>
        <v>#REF!</v>
      </c>
      <c r="J1836" s="180" t="e">
        <f>#REF!*#REF!</f>
        <v>#REF!</v>
      </c>
      <c r="K1836" s="178" t="e">
        <f>#REF!*mo</f>
        <v>#REF!</v>
      </c>
      <c r="L1836" s="178" t="e">
        <f t="shared" ref="L1836" si="227">J1836*mo</f>
        <v>#REF!</v>
      </c>
      <c r="M1836" s="178" t="e">
        <f>#REF!*#REF!</f>
        <v>#REF!</v>
      </c>
      <c r="N1836" s="178" t="e">
        <f>#REF!+K1836+#REF!</f>
        <v>#REF!</v>
      </c>
      <c r="O1836" s="181" t="e">
        <f t="shared" ref="O1836:O1840" si="228">M1836+L1836+I1836</f>
        <v>#REF!</v>
      </c>
    </row>
    <row r="1837" spans="1:15" s="193" customFormat="1" outlineLevel="2">
      <c r="A1837" s="155"/>
      <c r="B1837" s="156" t="s">
        <v>1206</v>
      </c>
      <c r="C1837" s="190" t="s">
        <v>795</v>
      </c>
      <c r="D1837" s="191"/>
      <c r="E1837" s="242"/>
      <c r="F1837" s="243"/>
      <c r="G1837" s="192"/>
      <c r="H1837" s="179"/>
      <c r="I1837" s="283" t="e">
        <f>IF(#REF!="",#REF!*#REF!,IF(#REF!=0,#REF!*#REF!,#REF!*#REF!*#REF!))</f>
        <v>#REF!</v>
      </c>
      <c r="J1837" s="180" t="e">
        <f>#REF!*#REF!</f>
        <v>#REF!</v>
      </c>
      <c r="K1837" s="178" t="e">
        <f>#REF!*mo</f>
        <v>#REF!</v>
      </c>
      <c r="L1837" s="178" t="e">
        <f t="shared" ref="L1837" si="229">J1837*mo</f>
        <v>#REF!</v>
      </c>
      <c r="M1837" s="178" t="e">
        <f>#REF!*#REF!</f>
        <v>#REF!</v>
      </c>
      <c r="N1837" s="178" t="e">
        <f>#REF!+K1837+#REF!</f>
        <v>#REF!</v>
      </c>
      <c r="O1837" s="181" t="e">
        <f t="shared" si="228"/>
        <v>#REF!</v>
      </c>
    </row>
    <row r="1838" spans="1:15" s="193" customFormat="1" outlineLevel="2">
      <c r="A1838" s="155"/>
      <c r="B1838" s="156" t="s">
        <v>1207</v>
      </c>
      <c r="C1838" s="190" t="s">
        <v>795</v>
      </c>
      <c r="D1838" s="191"/>
      <c r="E1838" s="242"/>
      <c r="F1838" s="243"/>
      <c r="G1838" s="192"/>
      <c r="H1838" s="179"/>
      <c r="I1838" s="283" t="e">
        <f>IF(#REF!="",#REF!*#REF!,IF(#REF!=0,#REF!*#REF!,#REF!*#REF!*#REF!))</f>
        <v>#REF!</v>
      </c>
      <c r="J1838" s="180" t="e">
        <f>#REF!*#REF!</f>
        <v>#REF!</v>
      </c>
      <c r="K1838" s="178" t="e">
        <f>#REF!*mo</f>
        <v>#REF!</v>
      </c>
      <c r="L1838" s="178" t="e">
        <f t="shared" ref="L1838" si="230">J1838*mo</f>
        <v>#REF!</v>
      </c>
      <c r="M1838" s="178" t="e">
        <f>#REF!*#REF!</f>
        <v>#REF!</v>
      </c>
      <c r="N1838" s="178" t="e">
        <f>#REF!+K1838+#REF!</f>
        <v>#REF!</v>
      </c>
      <c r="O1838" s="181" t="e">
        <f t="shared" si="228"/>
        <v>#REF!</v>
      </c>
    </row>
    <row r="1839" spans="1:15" s="193" customFormat="1" outlineLevel="2">
      <c r="A1839" s="155"/>
      <c r="B1839" s="156" t="s">
        <v>1208</v>
      </c>
      <c r="C1839" s="190" t="s">
        <v>795</v>
      </c>
      <c r="D1839" s="191"/>
      <c r="E1839" s="242"/>
      <c r="F1839" s="243"/>
      <c r="G1839" s="192"/>
      <c r="H1839" s="179"/>
      <c r="I1839" s="283" t="e">
        <f>IF(#REF!="",#REF!*#REF!,IF(#REF!=0,#REF!*#REF!,#REF!*#REF!*#REF!))</f>
        <v>#REF!</v>
      </c>
      <c r="J1839" s="180" t="e">
        <f>#REF!*#REF!</f>
        <v>#REF!</v>
      </c>
      <c r="K1839" s="178" t="e">
        <f>#REF!*mo</f>
        <v>#REF!</v>
      </c>
      <c r="L1839" s="178" t="e">
        <f t="shared" ref="L1839" si="231">J1839*mo</f>
        <v>#REF!</v>
      </c>
      <c r="M1839" s="178" t="e">
        <f>#REF!*#REF!</f>
        <v>#REF!</v>
      </c>
      <c r="N1839" s="178" t="e">
        <f>#REF!+K1839+#REF!</f>
        <v>#REF!</v>
      </c>
      <c r="O1839" s="181" t="e">
        <f t="shared" si="228"/>
        <v>#REF!</v>
      </c>
    </row>
    <row r="1840" spans="1:15" s="193" customFormat="1" outlineLevel="2">
      <c r="A1840" s="155"/>
      <c r="B1840" s="156" t="s">
        <v>1209</v>
      </c>
      <c r="C1840" s="190" t="s">
        <v>795</v>
      </c>
      <c r="D1840" s="191"/>
      <c r="E1840" s="242"/>
      <c r="F1840" s="243"/>
      <c r="G1840" s="192"/>
      <c r="H1840" s="179"/>
      <c r="I1840" s="283" t="e">
        <f>IF(#REF!="",#REF!*#REF!,IF(#REF!=0,#REF!*#REF!,#REF!*#REF!*#REF!))</f>
        <v>#REF!</v>
      </c>
      <c r="J1840" s="180" t="e">
        <f>#REF!*#REF!</f>
        <v>#REF!</v>
      </c>
      <c r="K1840" s="178" t="e">
        <f>#REF!*mo</f>
        <v>#REF!</v>
      </c>
      <c r="L1840" s="178" t="e">
        <f t="shared" ref="L1840" si="232">J1840*mo</f>
        <v>#REF!</v>
      </c>
      <c r="M1840" s="178" t="e">
        <f>#REF!*#REF!</f>
        <v>#REF!</v>
      </c>
      <c r="N1840" s="178" t="e">
        <f>#REF!+K1840+#REF!</f>
        <v>#REF!</v>
      </c>
      <c r="O1840" s="181" t="e">
        <f t="shared" si="228"/>
        <v>#REF!</v>
      </c>
    </row>
    <row r="1841" spans="1:15" s="193" customFormat="1" outlineLevel="2">
      <c r="A1841" s="155"/>
      <c r="B1841" s="156"/>
      <c r="C1841" s="190"/>
      <c r="D1841" s="191"/>
      <c r="E1841" s="242"/>
      <c r="F1841" s="243"/>
      <c r="G1841" s="192"/>
      <c r="H1841" s="179"/>
      <c r="I1841" s="283" t="e">
        <f>IF(#REF!="",#REF!*#REF!,IF(#REF!=0,#REF!*#REF!,#REF!*#REF!*#REF!))</f>
        <v>#REF!</v>
      </c>
      <c r="J1841" s="180" t="e">
        <f>#REF!*#REF!</f>
        <v>#REF!</v>
      </c>
      <c r="K1841" s="178" t="e">
        <f>#REF!*mo</f>
        <v>#REF!</v>
      </c>
      <c r="L1841" s="178" t="e">
        <f t="shared" si="217"/>
        <v>#REF!</v>
      </c>
      <c r="M1841" s="178" t="e">
        <f>#REF!*#REF!</f>
        <v>#REF!</v>
      </c>
      <c r="N1841" s="178" t="e">
        <f>#REF!+K1841+#REF!</f>
        <v>#REF!</v>
      </c>
      <c r="O1841" s="181" t="e">
        <f t="shared" si="225"/>
        <v>#REF!</v>
      </c>
    </row>
    <row r="1842" spans="1:15" s="193" customFormat="1" outlineLevel="1">
      <c r="A1842" s="155"/>
      <c r="B1842" s="198" t="str">
        <f>"Total "&amp;B1819</f>
        <v>Total REGULATION</v>
      </c>
      <c r="C1842" s="190"/>
      <c r="D1842" s="191"/>
      <c r="E1842" s="242"/>
      <c r="F1842" s="243"/>
      <c r="G1842" s="192"/>
      <c r="H1842" s="179">
        <f>SUM(G1819:G1842)</f>
        <v>0</v>
      </c>
      <c r="I1842" s="283" t="e">
        <f>IF(#REF!="",#REF!*#REF!,IF(#REF!=0,#REF!*#REF!,#REF!*#REF!*#REF!))</f>
        <v>#REF!</v>
      </c>
      <c r="J1842" s="180" t="e">
        <f>#REF!*#REF!</f>
        <v>#REF!</v>
      </c>
      <c r="K1842" s="178" t="e">
        <f>#REF!*mo</f>
        <v>#REF!</v>
      </c>
      <c r="L1842" s="178" t="e">
        <f t="shared" si="217"/>
        <v>#REF!</v>
      </c>
      <c r="M1842" s="178" t="e">
        <f>#REF!*#REF!</f>
        <v>#REF!</v>
      </c>
      <c r="N1842" s="178" t="e">
        <f>#REF!+K1842+#REF!</f>
        <v>#REF!</v>
      </c>
      <c r="O1842" s="181" t="e">
        <f t="shared" si="225"/>
        <v>#REF!</v>
      </c>
    </row>
    <row r="1843" spans="1:15" s="193" customFormat="1" outlineLevel="1">
      <c r="A1843" s="155"/>
      <c r="B1843" s="198"/>
      <c r="C1843" s="190"/>
      <c r="D1843" s="191"/>
      <c r="E1843" s="242"/>
      <c r="F1843" s="243"/>
      <c r="G1843" s="192"/>
      <c r="H1843" s="235"/>
      <c r="I1843" s="283" t="e">
        <f>IF(#REF!="",#REF!*#REF!,IF(#REF!=0,#REF!*#REF!,#REF!*#REF!*#REF!))</f>
        <v>#REF!</v>
      </c>
      <c r="J1843" s="180" t="e">
        <f>#REF!*#REF!</f>
        <v>#REF!</v>
      </c>
      <c r="K1843" s="178" t="e">
        <f>#REF!*mo</f>
        <v>#REF!</v>
      </c>
      <c r="L1843" s="178" t="e">
        <f t="shared" si="217"/>
        <v>#REF!</v>
      </c>
      <c r="M1843" s="178" t="e">
        <f>#REF!*#REF!</f>
        <v>#REF!</v>
      </c>
      <c r="N1843" s="178" t="e">
        <f>#REF!+K1843+#REF!</f>
        <v>#REF!</v>
      </c>
      <c r="O1843" s="181" t="e">
        <f t="shared" si="225"/>
        <v>#REF!</v>
      </c>
    </row>
    <row r="1844" spans="1:15" s="209" customFormat="1" outlineLevel="1">
      <c r="A1844" s="157" t="str">
        <f>$A$916&amp;".3"</f>
        <v>.3</v>
      </c>
      <c r="B1844" s="158" t="s">
        <v>1210</v>
      </c>
      <c r="C1844" s="195"/>
      <c r="D1844" s="170"/>
      <c r="E1844" s="242"/>
      <c r="F1844" s="243"/>
      <c r="G1844" s="192">
        <f>SUM(F1845:F1856)</f>
        <v>0</v>
      </c>
      <c r="H1844" s="196"/>
      <c r="I1844" s="283" t="e">
        <f>IF(#REF!="",#REF!*#REF!,IF(#REF!=0,#REF!*#REF!,#REF!*#REF!*#REF!))</f>
        <v>#REF!</v>
      </c>
      <c r="J1844" s="180" t="e">
        <f>#REF!*#REF!</f>
        <v>#REF!</v>
      </c>
      <c r="K1844" s="178" t="e">
        <f>#REF!*mo</f>
        <v>#REF!</v>
      </c>
      <c r="L1844" s="178" t="e">
        <f t="shared" si="217"/>
        <v>#REF!</v>
      </c>
      <c r="M1844" s="178" t="e">
        <f>#REF!*#REF!</f>
        <v>#REF!</v>
      </c>
      <c r="N1844" s="178" t="e">
        <f>#REF!+K1844+#REF!</f>
        <v>#REF!</v>
      </c>
      <c r="O1844" s="181" t="e">
        <f t="shared" si="225"/>
        <v>#REF!</v>
      </c>
    </row>
    <row r="1845" spans="1:15" s="193" customFormat="1" outlineLevel="2">
      <c r="A1845" s="155"/>
      <c r="B1845" s="156"/>
      <c r="C1845" s="190"/>
      <c r="D1845" s="191"/>
      <c r="E1845" s="242"/>
      <c r="F1845" s="243"/>
      <c r="G1845" s="192"/>
      <c r="H1845" s="179"/>
      <c r="I1845" s="283" t="e">
        <f>IF(#REF!="",#REF!*#REF!,IF(#REF!=0,#REF!*#REF!,#REF!*#REF!*#REF!))</f>
        <v>#REF!</v>
      </c>
      <c r="J1845" s="180" t="e">
        <f>#REF!*#REF!</f>
        <v>#REF!</v>
      </c>
      <c r="K1845" s="178" t="e">
        <f>#REF!*mo</f>
        <v>#REF!</v>
      </c>
      <c r="L1845" s="178" t="e">
        <f t="shared" si="217"/>
        <v>#REF!</v>
      </c>
      <c r="M1845" s="178" t="e">
        <f>#REF!*#REF!</f>
        <v>#REF!</v>
      </c>
      <c r="N1845" s="178" t="e">
        <f>#REF!+K1845+#REF!</f>
        <v>#REF!</v>
      </c>
      <c r="O1845" s="181" t="e">
        <f t="shared" si="225"/>
        <v>#REF!</v>
      </c>
    </row>
    <row r="1846" spans="1:15" s="193" customFormat="1" outlineLevel="2">
      <c r="A1846" s="155"/>
      <c r="B1846" s="156" t="s">
        <v>1211</v>
      </c>
      <c r="C1846" s="190"/>
      <c r="D1846" s="191"/>
      <c r="E1846" s="242"/>
      <c r="F1846" s="243"/>
      <c r="G1846" s="192"/>
      <c r="H1846" s="179"/>
      <c r="I1846" s="283" t="e">
        <f>IF(#REF!="",#REF!*#REF!,IF(#REF!=0,#REF!*#REF!,#REF!*#REF!*#REF!))</f>
        <v>#REF!</v>
      </c>
      <c r="J1846" s="180" t="e">
        <f>#REF!*#REF!</f>
        <v>#REF!</v>
      </c>
      <c r="K1846" s="178" t="e">
        <f>#REF!*mo</f>
        <v>#REF!</v>
      </c>
      <c r="L1846" s="178" t="e">
        <f t="shared" si="217"/>
        <v>#REF!</v>
      </c>
      <c r="M1846" s="178" t="e">
        <f>#REF!*#REF!</f>
        <v>#REF!</v>
      </c>
      <c r="N1846" s="178" t="e">
        <f>#REF!+K1846+#REF!</f>
        <v>#REF!</v>
      </c>
      <c r="O1846" s="181" t="e">
        <f t="shared" si="225"/>
        <v>#REF!</v>
      </c>
    </row>
    <row r="1847" spans="1:15" s="193" customFormat="1" outlineLevel="2">
      <c r="A1847" s="155"/>
      <c r="B1847" s="197" t="s">
        <v>1212</v>
      </c>
      <c r="C1847" s="190" t="s">
        <v>93</v>
      </c>
      <c r="D1847" s="191"/>
      <c r="E1847" s="242"/>
      <c r="F1847" s="243"/>
      <c r="G1847" s="192"/>
      <c r="H1847" s="179"/>
      <c r="I1847" s="283" t="e">
        <f>IF(#REF!="",#REF!*#REF!,IF(#REF!=0,#REF!*#REF!,#REF!*#REF!*#REF!))</f>
        <v>#REF!</v>
      </c>
      <c r="J1847" s="180" t="e">
        <f>#REF!*#REF!</f>
        <v>#REF!</v>
      </c>
      <c r="K1847" s="178" t="e">
        <f>#REF!*mo</f>
        <v>#REF!</v>
      </c>
      <c r="L1847" s="178" t="e">
        <f t="shared" si="217"/>
        <v>#REF!</v>
      </c>
      <c r="M1847" s="178" t="e">
        <f>#REF!*#REF!</f>
        <v>#REF!</v>
      </c>
      <c r="N1847" s="178" t="e">
        <f>#REF!+K1847+#REF!</f>
        <v>#REF!</v>
      </c>
      <c r="O1847" s="181" t="e">
        <f t="shared" si="225"/>
        <v>#REF!</v>
      </c>
    </row>
    <row r="1848" spans="1:15" s="193" customFormat="1" outlineLevel="2">
      <c r="A1848" s="155"/>
      <c r="B1848" s="197" t="s">
        <v>1213</v>
      </c>
      <c r="C1848" s="190" t="s">
        <v>93</v>
      </c>
      <c r="D1848" s="191"/>
      <c r="E1848" s="242"/>
      <c r="F1848" s="243"/>
      <c r="G1848" s="192"/>
      <c r="H1848" s="179"/>
      <c r="I1848" s="283" t="e">
        <f>IF(#REF!="",#REF!*#REF!,IF(#REF!=0,#REF!*#REF!,#REF!*#REF!*#REF!))</f>
        <v>#REF!</v>
      </c>
      <c r="J1848" s="180" t="e">
        <f>#REF!*#REF!</f>
        <v>#REF!</v>
      </c>
      <c r="K1848" s="178" t="e">
        <f>#REF!*mo</f>
        <v>#REF!</v>
      </c>
      <c r="L1848" s="178" t="e">
        <f t="shared" si="217"/>
        <v>#REF!</v>
      </c>
      <c r="M1848" s="178" t="e">
        <f>#REF!*#REF!</f>
        <v>#REF!</v>
      </c>
      <c r="N1848" s="178" t="e">
        <f>#REF!+K1848+#REF!</f>
        <v>#REF!</v>
      </c>
      <c r="O1848" s="181" t="e">
        <f t="shared" si="225"/>
        <v>#REF!</v>
      </c>
    </row>
    <row r="1849" spans="1:15" s="193" customFormat="1" outlineLevel="2">
      <c r="A1849" s="155"/>
      <c r="B1849" s="197" t="s">
        <v>1214</v>
      </c>
      <c r="C1849" s="190" t="s">
        <v>93</v>
      </c>
      <c r="D1849" s="191"/>
      <c r="E1849" s="242"/>
      <c r="F1849" s="243"/>
      <c r="G1849" s="192"/>
      <c r="H1849" s="179"/>
      <c r="I1849" s="283" t="e">
        <f>IF(#REF!="",#REF!*#REF!,IF(#REF!=0,#REF!*#REF!,#REF!*#REF!*#REF!))</f>
        <v>#REF!</v>
      </c>
      <c r="J1849" s="180" t="e">
        <f>#REF!*#REF!</f>
        <v>#REF!</v>
      </c>
      <c r="K1849" s="178" t="e">
        <f>#REF!*mo</f>
        <v>#REF!</v>
      </c>
      <c r="L1849" s="178" t="e">
        <f t="shared" si="217"/>
        <v>#REF!</v>
      </c>
      <c r="M1849" s="178" t="e">
        <f>#REF!*#REF!</f>
        <v>#REF!</v>
      </c>
      <c r="N1849" s="178" t="e">
        <f>#REF!+K1849+#REF!</f>
        <v>#REF!</v>
      </c>
      <c r="O1849" s="181" t="e">
        <f t="shared" si="225"/>
        <v>#REF!</v>
      </c>
    </row>
    <row r="1850" spans="1:15" s="193" customFormat="1" outlineLevel="2">
      <c r="A1850" s="155"/>
      <c r="B1850" s="197" t="s">
        <v>1215</v>
      </c>
      <c r="C1850" s="190" t="s">
        <v>93</v>
      </c>
      <c r="D1850" s="191"/>
      <c r="E1850" s="242"/>
      <c r="F1850" s="243"/>
      <c r="G1850" s="192"/>
      <c r="H1850" s="179"/>
      <c r="I1850" s="283" t="e">
        <f>IF(#REF!="",#REF!*#REF!,IF(#REF!=0,#REF!*#REF!,#REF!*#REF!*#REF!))</f>
        <v>#REF!</v>
      </c>
      <c r="J1850" s="180" t="e">
        <f>#REF!*#REF!</f>
        <v>#REF!</v>
      </c>
      <c r="K1850" s="178" t="e">
        <f>#REF!*mo</f>
        <v>#REF!</v>
      </c>
      <c r="L1850" s="178" t="e">
        <f t="shared" si="217"/>
        <v>#REF!</v>
      </c>
      <c r="M1850" s="178" t="e">
        <f>#REF!*#REF!</f>
        <v>#REF!</v>
      </c>
      <c r="N1850" s="178" t="e">
        <f>#REF!+K1850+#REF!</f>
        <v>#REF!</v>
      </c>
      <c r="O1850" s="181" t="e">
        <f t="shared" si="225"/>
        <v>#REF!</v>
      </c>
    </row>
    <row r="1851" spans="1:15" s="193" customFormat="1" outlineLevel="2">
      <c r="A1851" s="296"/>
      <c r="B1851" s="297" t="s">
        <v>1216</v>
      </c>
      <c r="C1851" s="190" t="s">
        <v>93</v>
      </c>
      <c r="D1851" s="191"/>
      <c r="E1851" s="242"/>
      <c r="F1851" s="243"/>
      <c r="G1851" s="192"/>
      <c r="H1851" s="179"/>
      <c r="I1851" s="283" t="e">
        <f>IF(#REF!="",#REF!*#REF!,IF(#REF!=0,#REF!*#REF!,#REF!*#REF!*#REF!))</f>
        <v>#REF!</v>
      </c>
      <c r="J1851" s="180" t="e">
        <f>#REF!*#REF!</f>
        <v>#REF!</v>
      </c>
      <c r="K1851" s="178" t="e">
        <f>#REF!*mo</f>
        <v>#REF!</v>
      </c>
      <c r="L1851" s="178" t="e">
        <f t="shared" si="217"/>
        <v>#REF!</v>
      </c>
      <c r="M1851" s="178" t="e">
        <f>#REF!*#REF!</f>
        <v>#REF!</v>
      </c>
      <c r="N1851" s="178" t="e">
        <f>#REF!+K1851+#REF!</f>
        <v>#REF!</v>
      </c>
      <c r="O1851" s="181" t="e">
        <f t="shared" si="225"/>
        <v>#REF!</v>
      </c>
    </row>
    <row r="1852" spans="1:15" s="193" customFormat="1" outlineLevel="2">
      <c r="A1852" s="155"/>
      <c r="B1852" s="156"/>
      <c r="C1852" s="190"/>
      <c r="D1852" s="191"/>
      <c r="E1852" s="242"/>
      <c r="F1852" s="243"/>
      <c r="G1852" s="192"/>
      <c r="H1852" s="179"/>
      <c r="I1852" s="283" t="e">
        <f>IF(#REF!="",#REF!*#REF!,IF(#REF!=0,#REF!*#REF!,#REF!*#REF!*#REF!))</f>
        <v>#REF!</v>
      </c>
      <c r="J1852" s="180" t="e">
        <f>#REF!*#REF!</f>
        <v>#REF!</v>
      </c>
      <c r="K1852" s="178" t="e">
        <f>#REF!*mo</f>
        <v>#REF!</v>
      </c>
      <c r="L1852" s="178" t="e">
        <f t="shared" si="217"/>
        <v>#REF!</v>
      </c>
      <c r="M1852" s="178" t="e">
        <f>#REF!*#REF!</f>
        <v>#REF!</v>
      </c>
      <c r="N1852" s="178" t="e">
        <f>#REF!+K1852+#REF!</f>
        <v>#REF!</v>
      </c>
      <c r="O1852" s="181" t="e">
        <f t="shared" si="225"/>
        <v>#REF!</v>
      </c>
    </row>
    <row r="1853" spans="1:15" s="193" customFormat="1" outlineLevel="2">
      <c r="A1853" s="155"/>
      <c r="B1853" s="156" t="s">
        <v>1217</v>
      </c>
      <c r="C1853" s="190" t="s">
        <v>795</v>
      </c>
      <c r="D1853" s="191"/>
      <c r="E1853" s="242"/>
      <c r="F1853" s="243"/>
      <c r="G1853" s="192"/>
      <c r="H1853" s="179"/>
      <c r="I1853" s="283" t="e">
        <f>IF(#REF!="",#REF!*#REF!,IF(#REF!=0,#REF!*#REF!,#REF!*#REF!*#REF!))</f>
        <v>#REF!</v>
      </c>
      <c r="J1853" s="180" t="e">
        <f>#REF!*#REF!</f>
        <v>#REF!</v>
      </c>
      <c r="K1853" s="178" t="e">
        <f>#REF!*mo</f>
        <v>#REF!</v>
      </c>
      <c r="L1853" s="178" t="e">
        <f t="shared" si="217"/>
        <v>#REF!</v>
      </c>
      <c r="M1853" s="178" t="e">
        <f>#REF!*#REF!</f>
        <v>#REF!</v>
      </c>
      <c r="N1853" s="178" t="e">
        <f>#REF!+K1853+#REF!</f>
        <v>#REF!</v>
      </c>
      <c r="O1853" s="181" t="e">
        <f t="shared" si="225"/>
        <v>#REF!</v>
      </c>
    </row>
    <row r="1854" spans="1:15" s="193" customFormat="1" outlineLevel="2">
      <c r="A1854" s="155"/>
      <c r="B1854" s="156" t="s">
        <v>1218</v>
      </c>
      <c r="C1854" s="190" t="s">
        <v>795</v>
      </c>
      <c r="D1854" s="191"/>
      <c r="E1854" s="242"/>
      <c r="F1854" s="243"/>
      <c r="G1854" s="192"/>
      <c r="H1854" s="179"/>
      <c r="I1854" s="283" t="e">
        <f>IF(#REF!="",#REF!*#REF!,IF(#REF!=0,#REF!*#REF!,#REF!*#REF!*#REF!))</f>
        <v>#REF!</v>
      </c>
      <c r="J1854" s="180" t="e">
        <f>#REF!*#REF!</f>
        <v>#REF!</v>
      </c>
      <c r="K1854" s="178" t="e">
        <f>#REF!*mo</f>
        <v>#REF!</v>
      </c>
      <c r="L1854" s="178" t="e">
        <f t="shared" si="217"/>
        <v>#REF!</v>
      </c>
      <c r="M1854" s="178" t="e">
        <f>#REF!*#REF!</f>
        <v>#REF!</v>
      </c>
      <c r="N1854" s="178" t="e">
        <f>#REF!+K1854+#REF!</f>
        <v>#REF!</v>
      </c>
      <c r="O1854" s="181" t="e">
        <f t="shared" si="225"/>
        <v>#REF!</v>
      </c>
    </row>
    <row r="1855" spans="1:15" s="193" customFormat="1" outlineLevel="2">
      <c r="A1855" s="155"/>
      <c r="B1855" s="156" t="s">
        <v>1219</v>
      </c>
      <c r="C1855" s="190" t="s">
        <v>795</v>
      </c>
      <c r="D1855" s="191"/>
      <c r="E1855" s="242"/>
      <c r="F1855" s="243"/>
      <c r="G1855" s="192"/>
      <c r="H1855" s="179"/>
      <c r="I1855" s="283" t="e">
        <f>IF(#REF!="",#REF!*#REF!,IF(#REF!=0,#REF!*#REF!,#REF!*#REF!*#REF!))</f>
        <v>#REF!</v>
      </c>
      <c r="J1855" s="180" t="e">
        <f>#REF!*#REF!</f>
        <v>#REF!</v>
      </c>
      <c r="K1855" s="178" t="e">
        <f>#REF!*mo</f>
        <v>#REF!</v>
      </c>
      <c r="L1855" s="178" t="e">
        <f t="shared" ref="L1855:L1884" si="233">J1855*mo</f>
        <v>#REF!</v>
      </c>
      <c r="M1855" s="178" t="e">
        <f>#REF!*#REF!</f>
        <v>#REF!</v>
      </c>
      <c r="N1855" s="178" t="e">
        <f>#REF!+K1855+#REF!</f>
        <v>#REF!</v>
      </c>
      <c r="O1855" s="181" t="e">
        <f t="shared" si="225"/>
        <v>#REF!</v>
      </c>
    </row>
    <row r="1856" spans="1:15" s="193" customFormat="1" outlineLevel="2">
      <c r="A1856" s="155"/>
      <c r="B1856" s="156"/>
      <c r="C1856" s="190"/>
      <c r="D1856" s="191"/>
      <c r="E1856" s="242"/>
      <c r="F1856" s="243"/>
      <c r="G1856" s="192"/>
      <c r="H1856" s="179"/>
      <c r="I1856" s="283" t="e">
        <f>IF(#REF!="",#REF!*#REF!,IF(#REF!=0,#REF!*#REF!,#REF!*#REF!*#REF!))</f>
        <v>#REF!</v>
      </c>
      <c r="J1856" s="180" t="e">
        <f>#REF!*#REF!</f>
        <v>#REF!</v>
      </c>
      <c r="K1856" s="178" t="e">
        <f>#REF!*mo</f>
        <v>#REF!</v>
      </c>
      <c r="L1856" s="178" t="e">
        <f t="shared" si="233"/>
        <v>#REF!</v>
      </c>
      <c r="M1856" s="178" t="e">
        <f>#REF!*#REF!</f>
        <v>#REF!</v>
      </c>
      <c r="N1856" s="178" t="e">
        <f>#REF!+K1856+#REF!</f>
        <v>#REF!</v>
      </c>
      <c r="O1856" s="181" t="e">
        <f t="shared" si="225"/>
        <v>#REF!</v>
      </c>
    </row>
    <row r="1857" spans="1:15" s="193" customFormat="1" outlineLevel="1">
      <c r="A1857" s="155"/>
      <c r="B1857" s="198" t="str">
        <f>"Total "&amp;B1844</f>
        <v>Total GTB</v>
      </c>
      <c r="C1857" s="190"/>
      <c r="D1857" s="191"/>
      <c r="E1857" s="242"/>
      <c r="F1857" s="243"/>
      <c r="G1857" s="192"/>
      <c r="H1857" s="179">
        <f>G1844</f>
        <v>0</v>
      </c>
      <c r="I1857" s="283" t="e">
        <f>IF(#REF!="",#REF!*#REF!,IF(#REF!=0,#REF!*#REF!,#REF!*#REF!*#REF!))</f>
        <v>#REF!</v>
      </c>
      <c r="J1857" s="180" t="e">
        <f>#REF!*#REF!</f>
        <v>#REF!</v>
      </c>
      <c r="K1857" s="178" t="e">
        <f>#REF!*mo</f>
        <v>#REF!</v>
      </c>
      <c r="L1857" s="178" t="e">
        <f t="shared" si="233"/>
        <v>#REF!</v>
      </c>
      <c r="M1857" s="178" t="e">
        <f>#REF!*#REF!</f>
        <v>#REF!</v>
      </c>
      <c r="N1857" s="178" t="e">
        <f>#REF!+K1857+#REF!</f>
        <v>#REF!</v>
      </c>
      <c r="O1857" s="181" t="e">
        <f t="shared" si="225"/>
        <v>#REF!</v>
      </c>
    </row>
    <row r="1858" spans="1:15" s="193" customFormat="1" outlineLevel="1">
      <c r="A1858" s="155"/>
      <c r="B1858" s="156"/>
      <c r="C1858" s="190"/>
      <c r="D1858" s="191"/>
      <c r="E1858" s="242"/>
      <c r="F1858" s="243"/>
      <c r="G1858" s="192"/>
      <c r="H1858" s="179"/>
      <c r="I1858" s="283" t="e">
        <f>IF(#REF!="",#REF!*#REF!,IF(#REF!=0,#REF!*#REF!,#REF!*#REF!*#REF!))</f>
        <v>#REF!</v>
      </c>
      <c r="J1858" s="180" t="e">
        <f>#REF!*#REF!</f>
        <v>#REF!</v>
      </c>
      <c r="K1858" s="178" t="e">
        <f>#REF!*mo</f>
        <v>#REF!</v>
      </c>
      <c r="L1858" s="178" t="e">
        <f t="shared" si="233"/>
        <v>#REF!</v>
      </c>
      <c r="M1858" s="178" t="e">
        <f>#REF!*#REF!</f>
        <v>#REF!</v>
      </c>
      <c r="N1858" s="178" t="e">
        <f>#REF!+K1858+#REF!</f>
        <v>#REF!</v>
      </c>
      <c r="O1858" s="181" t="e">
        <f t="shared" si="225"/>
        <v>#REF!</v>
      </c>
    </row>
    <row r="1859" spans="1:15" s="194" customFormat="1" ht="12.6">
      <c r="A1859" s="153">
        <v>10</v>
      </c>
      <c r="B1859" s="154" t="s">
        <v>1114</v>
      </c>
      <c r="C1859" s="182"/>
      <c r="D1859" s="183"/>
      <c r="E1859" s="184"/>
      <c r="F1859" s="185"/>
      <c r="G1859" s="186"/>
      <c r="H1859" s="187">
        <f>SUM(H1860:H1886)</f>
        <v>0</v>
      </c>
      <c r="I1859" s="283" t="e">
        <f>IF(#REF!="",#REF!*#REF!,IF(#REF!=0,#REF!*#REF!,#REF!*#REF!*#REF!))</f>
        <v>#REF!</v>
      </c>
      <c r="J1859" s="180" t="e">
        <f>#REF!*#REF!</f>
        <v>#REF!</v>
      </c>
      <c r="K1859" s="178" t="e">
        <f>#REF!*mo</f>
        <v>#REF!</v>
      </c>
      <c r="L1859" s="178" t="e">
        <f t="shared" si="233"/>
        <v>#REF!</v>
      </c>
      <c r="M1859" s="178" t="e">
        <f>#REF!*#REF!</f>
        <v>#REF!</v>
      </c>
      <c r="N1859" s="178" t="e">
        <f>#REF!+K1859+#REF!</f>
        <v>#REF!</v>
      </c>
      <c r="O1859" s="181" t="e">
        <f t="shared" si="225"/>
        <v>#REF!</v>
      </c>
    </row>
    <row r="1860" spans="1:15" s="193" customFormat="1" outlineLevel="1">
      <c r="A1860" s="155"/>
      <c r="B1860" s="156"/>
      <c r="C1860" s="190"/>
      <c r="D1860" s="191"/>
      <c r="E1860" s="176"/>
      <c r="F1860" s="177"/>
      <c r="G1860" s="192"/>
      <c r="H1860" s="179"/>
      <c r="I1860" s="283" t="e">
        <f>IF(#REF!="",#REF!*#REF!,IF(#REF!=0,#REF!*#REF!,#REF!*#REF!*#REF!))</f>
        <v>#REF!</v>
      </c>
      <c r="J1860" s="180" t="e">
        <f>#REF!*#REF!</f>
        <v>#REF!</v>
      </c>
      <c r="K1860" s="178" t="e">
        <f>#REF!*mo</f>
        <v>#REF!</v>
      </c>
      <c r="L1860" s="178" t="e">
        <f t="shared" si="233"/>
        <v>#REF!</v>
      </c>
      <c r="M1860" s="178" t="e">
        <f>#REF!*#REF!</f>
        <v>#REF!</v>
      </c>
      <c r="N1860" s="178" t="e">
        <f>#REF!+K1860+#REF!</f>
        <v>#REF!</v>
      </c>
      <c r="O1860" s="181" t="e">
        <f t="shared" si="225"/>
        <v>#REF!</v>
      </c>
    </row>
    <row r="1861" spans="1:15" s="193" customFormat="1" outlineLevel="1">
      <c r="A1861" s="155"/>
      <c r="B1861" s="198"/>
      <c r="C1861" s="190"/>
      <c r="D1861" s="191"/>
      <c r="E1861" s="176"/>
      <c r="F1861" s="177"/>
      <c r="G1861" s="192"/>
      <c r="H1861" s="235"/>
      <c r="I1861" s="283" t="e">
        <f>IF(#REF!="",#REF!*#REF!,IF(#REF!=0,#REF!*#REF!,#REF!*#REF!*#REF!))</f>
        <v>#REF!</v>
      </c>
      <c r="J1861" s="180" t="e">
        <f>#REF!*#REF!</f>
        <v>#REF!</v>
      </c>
      <c r="K1861" s="178" t="e">
        <f>#REF!*mo</f>
        <v>#REF!</v>
      </c>
      <c r="L1861" s="178" t="e">
        <f t="shared" si="233"/>
        <v>#REF!</v>
      </c>
      <c r="M1861" s="178" t="e">
        <f>#REF!*#REF!</f>
        <v>#REF!</v>
      </c>
      <c r="N1861" s="178" t="e">
        <f>#REF!+K1861+#REF!</f>
        <v>#REF!</v>
      </c>
      <c r="O1861" s="181" t="e">
        <f t="shared" si="225"/>
        <v>#REF!</v>
      </c>
    </row>
    <row r="1862" spans="1:15" s="209" customFormat="1" outlineLevel="1">
      <c r="A1862" s="157" t="str">
        <f>$A$973&amp;".4"</f>
        <v>.4</v>
      </c>
      <c r="B1862" s="158" t="s">
        <v>1220</v>
      </c>
      <c r="C1862" s="195"/>
      <c r="D1862" s="170"/>
      <c r="E1862" s="176"/>
      <c r="F1862" s="177"/>
      <c r="G1862" s="192">
        <f>SUM(F1863:F1871)</f>
        <v>0</v>
      </c>
      <c r="H1862" s="196"/>
      <c r="I1862" s="283" t="e">
        <f>IF(#REF!="",#REF!*#REF!,IF(#REF!=0,#REF!*#REF!,#REF!*#REF!*#REF!))</f>
        <v>#REF!</v>
      </c>
      <c r="J1862" s="180" t="e">
        <f>#REF!*#REF!</f>
        <v>#REF!</v>
      </c>
      <c r="K1862" s="178" t="e">
        <f>#REF!*mo</f>
        <v>#REF!</v>
      </c>
      <c r="L1862" s="178" t="e">
        <f t="shared" si="233"/>
        <v>#REF!</v>
      </c>
      <c r="M1862" s="178" t="e">
        <f>#REF!*#REF!</f>
        <v>#REF!</v>
      </c>
      <c r="N1862" s="178" t="e">
        <f>#REF!+K1862+#REF!</f>
        <v>#REF!</v>
      </c>
      <c r="O1862" s="181" t="e">
        <f t="shared" si="225"/>
        <v>#REF!</v>
      </c>
    </row>
    <row r="1863" spans="1:15" s="193" customFormat="1" outlineLevel="2">
      <c r="A1863" s="155"/>
      <c r="B1863" s="156"/>
      <c r="C1863" s="190"/>
      <c r="D1863" s="191"/>
      <c r="E1863" s="176"/>
      <c r="F1863" s="177"/>
      <c r="G1863" s="192"/>
      <c r="H1863" s="179"/>
      <c r="I1863" s="283" t="e">
        <f>IF(#REF!="",#REF!*#REF!,IF(#REF!=0,#REF!*#REF!,#REF!*#REF!*#REF!))</f>
        <v>#REF!</v>
      </c>
      <c r="J1863" s="180" t="e">
        <f>#REF!*#REF!</f>
        <v>#REF!</v>
      </c>
      <c r="K1863" s="178" t="e">
        <f>#REF!*mo</f>
        <v>#REF!</v>
      </c>
      <c r="L1863" s="178" t="e">
        <f t="shared" si="233"/>
        <v>#REF!</v>
      </c>
      <c r="M1863" s="178" t="e">
        <f>#REF!*#REF!</f>
        <v>#REF!</v>
      </c>
      <c r="N1863" s="178" t="e">
        <f>#REF!+K1863+#REF!</f>
        <v>#REF!</v>
      </c>
      <c r="O1863" s="181" t="e">
        <f t="shared" si="225"/>
        <v>#REF!</v>
      </c>
    </row>
    <row r="1864" spans="1:15" s="193" customFormat="1" outlineLevel="2">
      <c r="A1864" s="155"/>
      <c r="B1864" s="156" t="s">
        <v>1221</v>
      </c>
      <c r="C1864" s="190" t="s">
        <v>801</v>
      </c>
      <c r="D1864" s="191"/>
      <c r="E1864" s="176"/>
      <c r="F1864" s="177"/>
      <c r="G1864" s="192"/>
      <c r="H1864" s="179"/>
      <c r="I1864" s="283" t="e">
        <f>IF(#REF!="",#REF!*#REF!,IF(#REF!=0,#REF!*#REF!,#REF!*#REF!*#REF!))</f>
        <v>#REF!</v>
      </c>
      <c r="J1864" s="180" t="e">
        <f>#REF!*#REF!</f>
        <v>#REF!</v>
      </c>
      <c r="K1864" s="178" t="e">
        <f>#REF!*mo</f>
        <v>#REF!</v>
      </c>
      <c r="L1864" s="178" t="e">
        <f t="shared" si="233"/>
        <v>#REF!</v>
      </c>
      <c r="M1864" s="178" t="e">
        <f>#REF!*#REF!</f>
        <v>#REF!</v>
      </c>
      <c r="N1864" s="178" t="e">
        <f>#REF!+K1864+#REF!</f>
        <v>#REF!</v>
      </c>
      <c r="O1864" s="181" t="e">
        <f t="shared" si="225"/>
        <v>#REF!</v>
      </c>
    </row>
    <row r="1865" spans="1:15" s="193" customFormat="1" outlineLevel="2">
      <c r="A1865" s="155"/>
      <c r="B1865" s="156" t="s">
        <v>1222</v>
      </c>
      <c r="C1865" s="190" t="s">
        <v>795</v>
      </c>
      <c r="D1865" s="191"/>
      <c r="E1865" s="176"/>
      <c r="F1865" s="177"/>
      <c r="G1865" s="192"/>
      <c r="H1865" s="179"/>
      <c r="I1865" s="283" t="e">
        <f>IF(#REF!="",#REF!*#REF!,IF(#REF!=0,#REF!*#REF!,#REF!*#REF!*#REF!))</f>
        <v>#REF!</v>
      </c>
      <c r="J1865" s="180" t="e">
        <f>#REF!*#REF!</f>
        <v>#REF!</v>
      </c>
      <c r="K1865" s="178" t="e">
        <f>#REF!*mo</f>
        <v>#REF!</v>
      </c>
      <c r="L1865" s="178" t="e">
        <f t="shared" si="233"/>
        <v>#REF!</v>
      </c>
      <c r="M1865" s="178" t="e">
        <f>#REF!*#REF!</f>
        <v>#REF!</v>
      </c>
      <c r="N1865" s="178" t="e">
        <f>#REF!+K1865+#REF!</f>
        <v>#REF!</v>
      </c>
      <c r="O1865" s="181" t="e">
        <f t="shared" si="225"/>
        <v>#REF!</v>
      </c>
    </row>
    <row r="1866" spans="1:15" s="193" customFormat="1" outlineLevel="2">
      <c r="A1866" s="155"/>
      <c r="B1866" s="156" t="s">
        <v>1223</v>
      </c>
      <c r="C1866" s="190" t="s">
        <v>93</v>
      </c>
      <c r="D1866" s="191"/>
      <c r="E1866" s="176"/>
      <c r="F1866" s="177"/>
      <c r="G1866" s="192"/>
      <c r="H1866" s="179"/>
      <c r="I1866" s="283" t="e">
        <f>IF(#REF!="",#REF!*#REF!,IF(#REF!=0,#REF!*#REF!,#REF!*#REF!*#REF!))</f>
        <v>#REF!</v>
      </c>
      <c r="J1866" s="180" t="e">
        <f>#REF!*#REF!</f>
        <v>#REF!</v>
      </c>
      <c r="K1866" s="178" t="e">
        <f>#REF!*mo</f>
        <v>#REF!</v>
      </c>
      <c r="L1866" s="178" t="e">
        <f t="shared" si="233"/>
        <v>#REF!</v>
      </c>
      <c r="M1866" s="178" t="e">
        <f>#REF!*#REF!</f>
        <v>#REF!</v>
      </c>
      <c r="N1866" s="178" t="e">
        <f>#REF!+K1866+#REF!</f>
        <v>#REF!</v>
      </c>
      <c r="O1866" s="181" t="e">
        <f t="shared" si="225"/>
        <v>#REF!</v>
      </c>
    </row>
    <row r="1867" spans="1:15" s="193" customFormat="1" outlineLevel="2">
      <c r="A1867" s="155"/>
      <c r="B1867" s="156" t="s">
        <v>1224</v>
      </c>
      <c r="C1867" s="190" t="s">
        <v>93</v>
      </c>
      <c r="D1867" s="191"/>
      <c r="E1867" s="176"/>
      <c r="F1867" s="177"/>
      <c r="G1867" s="192"/>
      <c r="H1867" s="179"/>
      <c r="I1867" s="283" t="e">
        <f>IF(#REF!="",#REF!*#REF!,IF(#REF!=0,#REF!*#REF!,#REF!*#REF!*#REF!))</f>
        <v>#REF!</v>
      </c>
      <c r="J1867" s="180" t="e">
        <f>#REF!*#REF!</f>
        <v>#REF!</v>
      </c>
      <c r="K1867" s="178" t="e">
        <f>#REF!*mo</f>
        <v>#REF!</v>
      </c>
      <c r="L1867" s="178" t="e">
        <f t="shared" si="233"/>
        <v>#REF!</v>
      </c>
      <c r="M1867" s="178" t="e">
        <f>#REF!*#REF!</f>
        <v>#REF!</v>
      </c>
      <c r="N1867" s="178" t="e">
        <f>#REF!+K1867+#REF!</f>
        <v>#REF!</v>
      </c>
      <c r="O1867" s="181" t="e">
        <f t="shared" si="225"/>
        <v>#REF!</v>
      </c>
    </row>
    <row r="1868" spans="1:15" s="193" customFormat="1" outlineLevel="2">
      <c r="A1868" s="155"/>
      <c r="B1868" s="156" t="s">
        <v>1225</v>
      </c>
      <c r="C1868" s="190" t="s">
        <v>93</v>
      </c>
      <c r="D1868" s="191"/>
      <c r="E1868" s="176"/>
      <c r="F1868" s="177"/>
      <c r="G1868" s="192"/>
      <c r="H1868" s="179"/>
      <c r="I1868" s="283" t="e">
        <f>IF(#REF!="",#REF!*#REF!,IF(#REF!=0,#REF!*#REF!,#REF!*#REF!*#REF!))</f>
        <v>#REF!</v>
      </c>
      <c r="J1868" s="180" t="e">
        <f>#REF!*#REF!</f>
        <v>#REF!</v>
      </c>
      <c r="K1868" s="178" t="e">
        <f>#REF!*mo</f>
        <v>#REF!</v>
      </c>
      <c r="L1868" s="178" t="e">
        <f t="shared" si="233"/>
        <v>#REF!</v>
      </c>
      <c r="M1868" s="178" t="e">
        <f>#REF!*#REF!</f>
        <v>#REF!</v>
      </c>
      <c r="N1868" s="178" t="e">
        <f>#REF!+K1868+#REF!</f>
        <v>#REF!</v>
      </c>
      <c r="O1868" s="181" t="e">
        <f t="shared" si="225"/>
        <v>#REF!</v>
      </c>
    </row>
    <row r="1869" spans="1:15" s="193" customFormat="1" outlineLevel="2">
      <c r="A1869" s="155"/>
      <c r="B1869" s="156" t="s">
        <v>1226</v>
      </c>
      <c r="C1869" s="190" t="s">
        <v>93</v>
      </c>
      <c r="D1869" s="191"/>
      <c r="E1869" s="176"/>
      <c r="F1869" s="177"/>
      <c r="G1869" s="192"/>
      <c r="H1869" s="179"/>
      <c r="I1869" s="283" t="e">
        <f>IF(#REF!="",#REF!*#REF!,IF(#REF!=0,#REF!*#REF!,#REF!*#REF!*#REF!))</f>
        <v>#REF!</v>
      </c>
      <c r="J1869" s="180" t="e">
        <f>#REF!*#REF!</f>
        <v>#REF!</v>
      </c>
      <c r="K1869" s="178" t="e">
        <f>#REF!*mo</f>
        <v>#REF!</v>
      </c>
      <c r="L1869" s="178" t="e">
        <f t="shared" si="233"/>
        <v>#REF!</v>
      </c>
      <c r="M1869" s="178" t="e">
        <f>#REF!*#REF!</f>
        <v>#REF!</v>
      </c>
      <c r="N1869" s="178" t="e">
        <f>#REF!+K1869+#REF!</f>
        <v>#REF!</v>
      </c>
      <c r="O1869" s="181" t="e">
        <f t="shared" si="225"/>
        <v>#REF!</v>
      </c>
    </row>
    <row r="1870" spans="1:15" s="193" customFormat="1" outlineLevel="2">
      <c r="A1870" s="155"/>
      <c r="B1870" s="156"/>
      <c r="C1870" s="190"/>
      <c r="D1870" s="191"/>
      <c r="E1870" s="176"/>
      <c r="F1870" s="177"/>
      <c r="G1870" s="192"/>
      <c r="H1870" s="179"/>
      <c r="I1870" s="283" t="e">
        <f>IF(#REF!="",#REF!*#REF!,IF(#REF!=0,#REF!*#REF!,#REF!*#REF!*#REF!))</f>
        <v>#REF!</v>
      </c>
      <c r="J1870" s="180" t="e">
        <f>#REF!*#REF!</f>
        <v>#REF!</v>
      </c>
      <c r="K1870" s="178" t="e">
        <f>#REF!*mo</f>
        <v>#REF!</v>
      </c>
      <c r="L1870" s="178" t="e">
        <f t="shared" si="233"/>
        <v>#REF!</v>
      </c>
      <c r="M1870" s="178" t="e">
        <f>#REF!*#REF!</f>
        <v>#REF!</v>
      </c>
      <c r="N1870" s="178" t="e">
        <f>#REF!+K1870+#REF!</f>
        <v>#REF!</v>
      </c>
      <c r="O1870" s="181" t="e">
        <f t="shared" si="225"/>
        <v>#REF!</v>
      </c>
    </row>
    <row r="1871" spans="1:15" s="193" customFormat="1" outlineLevel="1">
      <c r="A1871" s="155"/>
      <c r="B1871" s="198" t="str">
        <f>"Total "&amp;B1862</f>
        <v>Total REPERAGES</v>
      </c>
      <c r="C1871" s="190"/>
      <c r="D1871" s="191"/>
      <c r="E1871" s="176"/>
      <c r="F1871" s="177"/>
      <c r="G1871" s="192"/>
      <c r="H1871" s="179">
        <f>G1862</f>
        <v>0</v>
      </c>
      <c r="I1871" s="283" t="e">
        <f>IF(#REF!="",#REF!*#REF!,IF(#REF!=0,#REF!*#REF!,#REF!*#REF!*#REF!))</f>
        <v>#REF!</v>
      </c>
      <c r="J1871" s="180" t="e">
        <f>#REF!*#REF!</f>
        <v>#REF!</v>
      </c>
      <c r="K1871" s="178" t="e">
        <f>#REF!*mo</f>
        <v>#REF!</v>
      </c>
      <c r="L1871" s="178" t="e">
        <f t="shared" si="233"/>
        <v>#REF!</v>
      </c>
      <c r="M1871" s="178" t="e">
        <f>#REF!*#REF!</f>
        <v>#REF!</v>
      </c>
      <c r="N1871" s="178" t="e">
        <f>#REF!+K1871+#REF!</f>
        <v>#REF!</v>
      </c>
      <c r="O1871" s="181" t="e">
        <f t="shared" si="225"/>
        <v>#REF!</v>
      </c>
    </row>
    <row r="1872" spans="1:15" s="193" customFormat="1" outlineLevel="1">
      <c r="A1872" s="155"/>
      <c r="B1872" s="198"/>
      <c r="C1872" s="190"/>
      <c r="D1872" s="191"/>
      <c r="E1872" s="176"/>
      <c r="F1872" s="177"/>
      <c r="G1872" s="192"/>
      <c r="H1872" s="235"/>
      <c r="I1872" s="283" t="e">
        <f>IF(#REF!="",#REF!*#REF!,IF(#REF!=0,#REF!*#REF!,#REF!*#REF!*#REF!))</f>
        <v>#REF!</v>
      </c>
      <c r="J1872" s="180" t="e">
        <f>#REF!*#REF!</f>
        <v>#REF!</v>
      </c>
      <c r="K1872" s="178" t="e">
        <f>#REF!*mo</f>
        <v>#REF!</v>
      </c>
      <c r="L1872" s="178" t="e">
        <f t="shared" si="233"/>
        <v>#REF!</v>
      </c>
      <c r="M1872" s="178" t="e">
        <f>#REF!*#REF!</f>
        <v>#REF!</v>
      </c>
      <c r="N1872" s="178" t="e">
        <f>#REF!+K1872+#REF!</f>
        <v>#REF!</v>
      </c>
      <c r="O1872" s="181" t="e">
        <f t="shared" si="225"/>
        <v>#REF!</v>
      </c>
    </row>
    <row r="1873" spans="1:15" s="209" customFormat="1" outlineLevel="1">
      <c r="A1873" s="157" t="str">
        <f>$A$973&amp;".5"</f>
        <v>.5</v>
      </c>
      <c r="B1873" s="158" t="s">
        <v>1124</v>
      </c>
      <c r="C1873" s="195"/>
      <c r="D1873" s="170"/>
      <c r="E1873" s="176"/>
      <c r="F1873" s="177"/>
      <c r="G1873" s="192">
        <f>SUM(F1874:F1879)</f>
        <v>0</v>
      </c>
      <c r="H1873" s="196"/>
      <c r="I1873" s="283" t="e">
        <f>IF(#REF!="",#REF!*#REF!,IF(#REF!=0,#REF!*#REF!,#REF!*#REF!*#REF!))</f>
        <v>#REF!</v>
      </c>
      <c r="J1873" s="180" t="e">
        <f>#REF!*#REF!</f>
        <v>#REF!</v>
      </c>
      <c r="K1873" s="178" t="e">
        <f>#REF!*mo</f>
        <v>#REF!</v>
      </c>
      <c r="L1873" s="178" t="e">
        <f t="shared" si="233"/>
        <v>#REF!</v>
      </c>
      <c r="M1873" s="178" t="e">
        <f>#REF!*#REF!</f>
        <v>#REF!</v>
      </c>
      <c r="N1873" s="178" t="e">
        <f>#REF!+K1873+#REF!</f>
        <v>#REF!</v>
      </c>
      <c r="O1873" s="181" t="e">
        <f t="shared" si="225"/>
        <v>#REF!</v>
      </c>
    </row>
    <row r="1874" spans="1:15" s="193" customFormat="1" outlineLevel="2">
      <c r="A1874" s="155"/>
      <c r="B1874" s="156"/>
      <c r="C1874" s="190"/>
      <c r="D1874" s="191"/>
      <c r="E1874" s="176"/>
      <c r="F1874" s="177"/>
      <c r="G1874" s="192"/>
      <c r="H1874" s="179"/>
      <c r="I1874" s="283" t="e">
        <f>IF(#REF!="",#REF!*#REF!,IF(#REF!=0,#REF!*#REF!,#REF!*#REF!*#REF!))</f>
        <v>#REF!</v>
      </c>
      <c r="J1874" s="180" t="e">
        <f>#REF!*#REF!</f>
        <v>#REF!</v>
      </c>
      <c r="K1874" s="178" t="e">
        <f>#REF!*mo</f>
        <v>#REF!</v>
      </c>
      <c r="L1874" s="178" t="e">
        <f t="shared" si="233"/>
        <v>#REF!</v>
      </c>
      <c r="M1874" s="178" t="e">
        <f>#REF!*#REF!</f>
        <v>#REF!</v>
      </c>
      <c r="N1874" s="178" t="e">
        <f>#REF!+K1874+#REF!</f>
        <v>#REF!</v>
      </c>
      <c r="O1874" s="181" t="e">
        <f t="shared" si="225"/>
        <v>#REF!</v>
      </c>
    </row>
    <row r="1875" spans="1:15" s="193" customFormat="1" outlineLevel="2">
      <c r="A1875" s="155"/>
      <c r="B1875" s="156" t="s">
        <v>1125</v>
      </c>
      <c r="C1875" s="190" t="s">
        <v>801</v>
      </c>
      <c r="D1875" s="191"/>
      <c r="E1875" s="176"/>
      <c r="F1875" s="177"/>
      <c r="G1875" s="192"/>
      <c r="H1875" s="179"/>
      <c r="I1875" s="283" t="e">
        <f>IF(#REF!="",#REF!*#REF!,IF(#REF!=0,#REF!*#REF!,#REF!*#REF!*#REF!))</f>
        <v>#REF!</v>
      </c>
      <c r="J1875" s="180" t="e">
        <f>#REF!*#REF!</f>
        <v>#REF!</v>
      </c>
      <c r="K1875" s="178" t="e">
        <f>#REF!*mo</f>
        <v>#REF!</v>
      </c>
      <c r="L1875" s="178" t="e">
        <f t="shared" si="233"/>
        <v>#REF!</v>
      </c>
      <c r="M1875" s="178" t="e">
        <f>#REF!*#REF!</f>
        <v>#REF!</v>
      </c>
      <c r="N1875" s="178" t="e">
        <f>#REF!+K1875+#REF!</f>
        <v>#REF!</v>
      </c>
      <c r="O1875" s="181" t="e">
        <f t="shared" si="225"/>
        <v>#REF!</v>
      </c>
    </row>
    <row r="1876" spans="1:15" s="193" customFormat="1" outlineLevel="2">
      <c r="A1876" s="155"/>
      <c r="B1876" s="156" t="s">
        <v>1126</v>
      </c>
      <c r="C1876" s="190" t="s">
        <v>801</v>
      </c>
      <c r="D1876" s="191"/>
      <c r="E1876" s="176"/>
      <c r="F1876" s="177"/>
      <c r="G1876" s="192"/>
      <c r="H1876" s="179"/>
      <c r="I1876" s="283" t="e">
        <f>IF(#REF!="",#REF!*#REF!,IF(#REF!=0,#REF!*#REF!,#REF!*#REF!*#REF!))</f>
        <v>#REF!</v>
      </c>
      <c r="J1876" s="180" t="e">
        <f>#REF!*#REF!</f>
        <v>#REF!</v>
      </c>
      <c r="K1876" s="178" t="e">
        <f>#REF!*mo</f>
        <v>#REF!</v>
      </c>
      <c r="L1876" s="178" t="e">
        <f t="shared" si="233"/>
        <v>#REF!</v>
      </c>
      <c r="M1876" s="178" t="e">
        <f>#REF!*#REF!</f>
        <v>#REF!</v>
      </c>
      <c r="N1876" s="178" t="e">
        <f>#REF!+K1876+#REF!</f>
        <v>#REF!</v>
      </c>
      <c r="O1876" s="181" t="e">
        <f t="shared" si="225"/>
        <v>#REF!</v>
      </c>
    </row>
    <row r="1877" spans="1:15" s="193" customFormat="1" outlineLevel="2">
      <c r="A1877" s="155"/>
      <c r="B1877" s="156" t="s">
        <v>1127</v>
      </c>
      <c r="C1877" s="190" t="s">
        <v>801</v>
      </c>
      <c r="D1877" s="191"/>
      <c r="E1877" s="176"/>
      <c r="F1877" s="177"/>
      <c r="G1877" s="192"/>
      <c r="H1877" s="179"/>
      <c r="I1877" s="283" t="e">
        <f>IF(#REF!="",#REF!*#REF!,IF(#REF!=0,#REF!*#REF!,#REF!*#REF!*#REF!))</f>
        <v>#REF!</v>
      </c>
      <c r="J1877" s="180" t="e">
        <f>#REF!*#REF!</f>
        <v>#REF!</v>
      </c>
      <c r="K1877" s="178" t="e">
        <f>#REF!*mo</f>
        <v>#REF!</v>
      </c>
      <c r="L1877" s="178" t="e">
        <f t="shared" si="233"/>
        <v>#REF!</v>
      </c>
      <c r="M1877" s="178" t="e">
        <f>#REF!*#REF!</f>
        <v>#REF!</v>
      </c>
      <c r="N1877" s="178" t="e">
        <f>#REF!+K1877+#REF!</f>
        <v>#REF!</v>
      </c>
      <c r="O1877" s="181" t="e">
        <f t="shared" si="225"/>
        <v>#REF!</v>
      </c>
    </row>
    <row r="1878" spans="1:15" s="193" customFormat="1" outlineLevel="2">
      <c r="A1878" s="155"/>
      <c r="B1878" s="156"/>
      <c r="C1878" s="190"/>
      <c r="D1878" s="191"/>
      <c r="E1878" s="176"/>
      <c r="F1878" s="177"/>
      <c r="G1878" s="192"/>
      <c r="H1878" s="179"/>
      <c r="I1878" s="283" t="e">
        <f>IF(#REF!="",#REF!*#REF!,IF(#REF!=0,#REF!*#REF!,#REF!*#REF!*#REF!))</f>
        <v>#REF!</v>
      </c>
      <c r="J1878" s="180" t="e">
        <f>#REF!*#REF!</f>
        <v>#REF!</v>
      </c>
      <c r="K1878" s="178" t="e">
        <f>#REF!*mo</f>
        <v>#REF!</v>
      </c>
      <c r="L1878" s="178" t="e">
        <f t="shared" si="233"/>
        <v>#REF!</v>
      </c>
      <c r="M1878" s="178" t="e">
        <f>#REF!*#REF!</f>
        <v>#REF!</v>
      </c>
      <c r="N1878" s="178" t="e">
        <f>#REF!+K1878+#REF!</f>
        <v>#REF!</v>
      </c>
      <c r="O1878" s="181" t="e">
        <f t="shared" si="225"/>
        <v>#REF!</v>
      </c>
    </row>
    <row r="1879" spans="1:15" s="193" customFormat="1" outlineLevel="1">
      <c r="A1879" s="155"/>
      <c r="B1879" s="198" t="str">
        <f>"Total "&amp;B1873</f>
        <v>Total MISE EN SERVICE</v>
      </c>
      <c r="C1879" s="190"/>
      <c r="D1879" s="191"/>
      <c r="E1879" s="176"/>
      <c r="F1879" s="177"/>
      <c r="G1879" s="192"/>
      <c r="H1879" s="179">
        <f>G1873</f>
        <v>0</v>
      </c>
      <c r="I1879" s="283" t="e">
        <f>IF(#REF!="",#REF!*#REF!,IF(#REF!=0,#REF!*#REF!,#REF!*#REF!*#REF!))</f>
        <v>#REF!</v>
      </c>
      <c r="J1879" s="180" t="e">
        <f>#REF!*#REF!</f>
        <v>#REF!</v>
      </c>
      <c r="K1879" s="178" t="e">
        <f>#REF!*mo</f>
        <v>#REF!</v>
      </c>
      <c r="L1879" s="178" t="e">
        <f t="shared" si="233"/>
        <v>#REF!</v>
      </c>
      <c r="M1879" s="178" t="e">
        <f>#REF!*#REF!</f>
        <v>#REF!</v>
      </c>
      <c r="N1879" s="178" t="e">
        <f>#REF!+K1879+#REF!</f>
        <v>#REF!</v>
      </c>
      <c r="O1879" s="181" t="e">
        <f t="shared" si="225"/>
        <v>#REF!</v>
      </c>
    </row>
    <row r="1880" spans="1:15" s="193" customFormat="1" outlineLevel="1">
      <c r="A1880" s="155"/>
      <c r="B1880" s="198"/>
      <c r="C1880" s="190"/>
      <c r="D1880" s="191"/>
      <c r="E1880" s="176"/>
      <c r="F1880" s="177"/>
      <c r="G1880" s="192"/>
      <c r="H1880" s="235"/>
      <c r="I1880" s="283" t="e">
        <f>IF(#REF!="",#REF!*#REF!,IF(#REF!=0,#REF!*#REF!,#REF!*#REF!*#REF!))</f>
        <v>#REF!</v>
      </c>
      <c r="J1880" s="180" t="e">
        <f>#REF!*#REF!</f>
        <v>#REF!</v>
      </c>
      <c r="K1880" s="178" t="e">
        <f>#REF!*mo</f>
        <v>#REF!</v>
      </c>
      <c r="L1880" s="178" t="e">
        <f t="shared" si="233"/>
        <v>#REF!</v>
      </c>
      <c r="M1880" s="178" t="e">
        <f>#REF!*#REF!</f>
        <v>#REF!</v>
      </c>
      <c r="N1880" s="178" t="e">
        <f>#REF!+K1880+#REF!</f>
        <v>#REF!</v>
      </c>
      <c r="O1880" s="181" t="e">
        <f t="shared" si="225"/>
        <v>#REF!</v>
      </c>
    </row>
    <row r="1881" spans="1:15" s="209" customFormat="1" outlineLevel="1">
      <c r="A1881" s="157" t="str">
        <f>$A$973&amp;".6"</f>
        <v>.6</v>
      </c>
      <c r="B1881" s="158" t="s">
        <v>1128</v>
      </c>
      <c r="C1881" s="195"/>
      <c r="D1881" s="170"/>
      <c r="E1881" s="176"/>
      <c r="F1881" s="177"/>
      <c r="G1881" s="192">
        <f>SUM(F1881:F1886)</f>
        <v>0</v>
      </c>
      <c r="H1881" s="196"/>
      <c r="I1881" s="283" t="e">
        <f>IF(#REF!="",#REF!*#REF!,IF(#REF!=0,#REF!*#REF!,#REF!*#REF!*#REF!))</f>
        <v>#REF!</v>
      </c>
      <c r="J1881" s="180" t="e">
        <f>#REF!*#REF!</f>
        <v>#REF!</v>
      </c>
      <c r="K1881" s="178" t="e">
        <f>#REF!*mo</f>
        <v>#REF!</v>
      </c>
      <c r="L1881" s="178" t="e">
        <f t="shared" si="233"/>
        <v>#REF!</v>
      </c>
      <c r="M1881" s="178" t="e">
        <f>#REF!*#REF!</f>
        <v>#REF!</v>
      </c>
      <c r="N1881" s="178" t="e">
        <f>#REF!+K1881+#REF!</f>
        <v>#REF!</v>
      </c>
      <c r="O1881" s="181" t="e">
        <f t="shared" si="225"/>
        <v>#REF!</v>
      </c>
    </row>
    <row r="1882" spans="1:15" s="193" customFormat="1" outlineLevel="2">
      <c r="A1882" s="155"/>
      <c r="B1882" s="156"/>
      <c r="C1882" s="190"/>
      <c r="D1882" s="191"/>
      <c r="E1882" s="176"/>
      <c r="F1882" s="177"/>
      <c r="G1882" s="192"/>
      <c r="H1882" s="179"/>
      <c r="I1882" s="283" t="e">
        <f>IF(#REF!="",#REF!*#REF!,IF(#REF!=0,#REF!*#REF!,#REF!*#REF!*#REF!))</f>
        <v>#REF!</v>
      </c>
      <c r="J1882" s="180" t="e">
        <f>#REF!*#REF!</f>
        <v>#REF!</v>
      </c>
      <c r="K1882" s="178" t="e">
        <f>#REF!*mo</f>
        <v>#REF!</v>
      </c>
      <c r="L1882" s="178" t="e">
        <f t="shared" si="233"/>
        <v>#REF!</v>
      </c>
      <c r="M1882" s="178" t="e">
        <f>#REF!*#REF!</f>
        <v>#REF!</v>
      </c>
      <c r="N1882" s="178" t="e">
        <f>#REF!+K1882+#REF!</f>
        <v>#REF!</v>
      </c>
      <c r="O1882" s="181" t="e">
        <f t="shared" si="225"/>
        <v>#REF!</v>
      </c>
    </row>
    <row r="1883" spans="1:15" s="193" customFormat="1" outlineLevel="2">
      <c r="A1883" s="155"/>
      <c r="B1883" s="156" t="s">
        <v>1129</v>
      </c>
      <c r="C1883" s="190" t="s">
        <v>93</v>
      </c>
      <c r="D1883" s="191"/>
      <c r="E1883" s="176"/>
      <c r="F1883" s="177"/>
      <c r="G1883" s="192"/>
      <c r="H1883" s="179"/>
      <c r="I1883" s="283" t="e">
        <f>IF(#REF!="",#REF!*#REF!,IF(#REF!=0,#REF!*#REF!,#REF!*#REF!*#REF!))</f>
        <v>#REF!</v>
      </c>
      <c r="J1883" s="180" t="e">
        <f>#REF!*#REF!</f>
        <v>#REF!</v>
      </c>
      <c r="K1883" s="178" t="e">
        <f>#REF!*mo</f>
        <v>#REF!</v>
      </c>
      <c r="L1883" s="178" t="e">
        <f t="shared" si="233"/>
        <v>#REF!</v>
      </c>
      <c r="M1883" s="178" t="e">
        <f>#REF!*#REF!</f>
        <v>#REF!</v>
      </c>
      <c r="N1883" s="178" t="e">
        <f>#REF!+K1883+#REF!</f>
        <v>#REF!</v>
      </c>
      <c r="O1883" s="181" t="e">
        <f t="shared" si="225"/>
        <v>#REF!</v>
      </c>
    </row>
    <row r="1884" spans="1:15" s="193" customFormat="1" outlineLevel="2">
      <c r="A1884" s="155"/>
      <c r="B1884" s="156" t="s">
        <v>1130</v>
      </c>
      <c r="C1884" s="190" t="s">
        <v>93</v>
      </c>
      <c r="D1884" s="191"/>
      <c r="E1884" s="176"/>
      <c r="F1884" s="177"/>
      <c r="G1884" s="192"/>
      <c r="H1884" s="179"/>
      <c r="I1884" s="283" t="e">
        <f>IF(#REF!="",#REF!*#REF!,IF(#REF!=0,#REF!*#REF!,#REF!*#REF!*#REF!))</f>
        <v>#REF!</v>
      </c>
      <c r="J1884" s="180" t="e">
        <f>#REF!*#REF!</f>
        <v>#REF!</v>
      </c>
      <c r="K1884" s="178" t="e">
        <f>#REF!*mo</f>
        <v>#REF!</v>
      </c>
      <c r="L1884" s="178" t="e">
        <f t="shared" si="233"/>
        <v>#REF!</v>
      </c>
      <c r="M1884" s="178" t="e">
        <f>#REF!*#REF!</f>
        <v>#REF!</v>
      </c>
      <c r="N1884" s="178" t="e">
        <f>#REF!+K1884+#REF!</f>
        <v>#REF!</v>
      </c>
      <c r="O1884" s="181" t="e">
        <f t="shared" si="225"/>
        <v>#REF!</v>
      </c>
    </row>
    <row r="1885" spans="1:15" s="193" customFormat="1" outlineLevel="1">
      <c r="A1885" s="155"/>
      <c r="B1885" s="198" t="str">
        <f>"Total "&amp;B1881</f>
        <v>Total DOE</v>
      </c>
      <c r="C1885" s="190"/>
      <c r="D1885" s="191"/>
      <c r="E1885" s="176"/>
      <c r="F1885" s="177"/>
      <c r="G1885" s="192"/>
      <c r="H1885" s="179">
        <f>G1881</f>
        <v>0</v>
      </c>
      <c r="I1885" s="283" t="e">
        <f>IF(#REF!="",#REF!*#REF!,IF(#REF!=0,#REF!*#REF!,#REF!*#REF!*#REF!))</f>
        <v>#REF!</v>
      </c>
      <c r="J1885" s="180" t="e">
        <f>#REF!*#REF!</f>
        <v>#REF!</v>
      </c>
      <c r="K1885" s="178" t="e">
        <f>#REF!*mo</f>
        <v>#REF!</v>
      </c>
      <c r="L1885" s="178" t="e">
        <f t="shared" ref="L1885:L1886" si="234">J1885*mo</f>
        <v>#REF!</v>
      </c>
      <c r="M1885" s="178" t="e">
        <f>#REF!*#REF!</f>
        <v>#REF!</v>
      </c>
      <c r="N1885" s="178" t="e">
        <f>#REF!+K1885+#REF!</f>
        <v>#REF!</v>
      </c>
      <c r="O1885" s="181" t="e">
        <f t="shared" si="225"/>
        <v>#REF!</v>
      </c>
    </row>
    <row r="1886" spans="1:15" s="193" customFormat="1" ht="12" thickBot="1">
      <c r="A1886" s="155"/>
      <c r="B1886" s="156"/>
      <c r="C1886" s="190"/>
      <c r="D1886" s="191"/>
      <c r="E1886" s="176"/>
      <c r="F1886" s="177"/>
      <c r="G1886" s="192"/>
      <c r="H1886" s="179"/>
      <c r="I1886" s="284" t="e">
        <f>IF(#REF!="",#REF!*#REF!,IF(#REF!=0,#REF!*#REF!,#REF!*#REF!*#REF!))</f>
        <v>#REF!</v>
      </c>
      <c r="J1886" s="253" t="e">
        <f>#REF!*#REF!</f>
        <v>#REF!</v>
      </c>
      <c r="K1886" s="254" t="e">
        <f>#REF!*mo</f>
        <v>#REF!</v>
      </c>
      <c r="L1886" s="254" t="e">
        <f t="shared" si="234"/>
        <v>#REF!</v>
      </c>
      <c r="M1886" s="254" t="e">
        <f>#REF!*#REF!</f>
        <v>#REF!</v>
      </c>
      <c r="N1886" s="254" t="e">
        <f>#REF!+K1886+#REF!</f>
        <v>#REF!</v>
      </c>
      <c r="O1886" s="255" t="e">
        <f t="shared" si="225"/>
        <v>#REF!</v>
      </c>
    </row>
    <row r="1887" spans="1:15" s="261" customFormat="1" ht="25.8" thickBot="1">
      <c r="A1887" s="406">
        <f>[3]PDG!B892</f>
        <v>0</v>
      </c>
      <c r="B1887" s="408"/>
      <c r="C1887" s="256" t="s">
        <v>1131</v>
      </c>
      <c r="D1887" s="257"/>
      <c r="E1887" s="258"/>
      <c r="F1887" s="259"/>
      <c r="G1887" s="259">
        <f>SUM(G892:G1886)</f>
        <v>0</v>
      </c>
      <c r="H1887" s="260">
        <f>SUM(H892:H1886)/2</f>
        <v>0</v>
      </c>
    </row>
    <row r="1888" spans="1:15" s="261" customFormat="1" ht="13.2" outlineLevel="1" thickBot="1">
      <c r="A1888" s="409"/>
      <c r="B1888" s="411"/>
      <c r="C1888" s="262" t="e">
        <f>IF(Crem="","Remise 0%",IF(Crem=0,"Remise 0%",Crem))</f>
        <v>#REF!</v>
      </c>
      <c r="D1888" s="263"/>
      <c r="E1888" s="264"/>
      <c r="F1888" s="265"/>
      <c r="G1888" s="265" t="e">
        <f>IF(Crem="","0,00 €",IF(Crem=0,"0,00 €",-G1887*Crem))</f>
        <v>#REF!</v>
      </c>
      <c r="H1888" s="266" t="e">
        <f>IF(Crem="","0,00 €",IF(Crem=0,"0,00 €",-H1887*Crem))</f>
        <v>#REF!</v>
      </c>
    </row>
    <row r="1889" spans="1:15" s="261" customFormat="1" ht="30" customHeight="1" outlineLevel="1" thickBot="1">
      <c r="A1889" s="409"/>
      <c r="B1889" s="411"/>
      <c r="C1889" s="256" t="s">
        <v>1132</v>
      </c>
      <c r="D1889" s="267"/>
      <c r="E1889" s="268"/>
      <c r="F1889" s="269"/>
      <c r="G1889" s="269" t="e">
        <f>G1887+G1888</f>
        <v>#REF!</v>
      </c>
      <c r="H1889" s="270" t="e">
        <f>H1887+H1888</f>
        <v>#REF!</v>
      </c>
    </row>
    <row r="1890" spans="1:15" ht="12.75" customHeight="1" thickBot="1">
      <c r="A1890" s="409"/>
      <c r="B1890" s="411"/>
      <c r="C1890" s="271">
        <v>0.2</v>
      </c>
      <c r="D1890" s="272"/>
      <c r="E1890" s="273"/>
      <c r="F1890" s="274"/>
      <c r="G1890" s="274" t="e">
        <f>G1889*$C1890</f>
        <v>#REF!</v>
      </c>
      <c r="H1890" s="275" t="e">
        <f t="shared" ref="H1890" si="235">H1889*$C1890</f>
        <v>#REF!</v>
      </c>
      <c r="I1890" s="160"/>
      <c r="K1890" s="160"/>
      <c r="L1890" s="160"/>
      <c r="M1890" s="160"/>
      <c r="N1890" s="160"/>
      <c r="O1890" s="160"/>
    </row>
    <row r="1891" spans="1:15" s="261" customFormat="1" ht="43.5" customHeight="1" thickBot="1">
      <c r="A1891" s="412"/>
      <c r="B1891" s="414"/>
      <c r="C1891" s="256" t="s">
        <v>1133</v>
      </c>
      <c r="D1891" s="276"/>
      <c r="E1891" s="277"/>
      <c r="F1891" s="278"/>
      <c r="G1891" s="278" t="e">
        <f>G1887+G1890</f>
        <v>#REF!</v>
      </c>
      <c r="H1891" s="279" t="e">
        <f>H1887+H1890</f>
        <v>#REF!</v>
      </c>
    </row>
  </sheetData>
  <mergeCells count="12">
    <mergeCell ref="A1887:B1891"/>
    <mergeCell ref="A1:H1"/>
    <mergeCell ref="A2:H2"/>
    <mergeCell ref="A3:H3"/>
    <mergeCell ref="A4:B4"/>
    <mergeCell ref="A5:H5"/>
    <mergeCell ref="A881:B885"/>
    <mergeCell ref="A887:H887"/>
    <mergeCell ref="A888:H888"/>
    <mergeCell ref="A889:H889"/>
    <mergeCell ref="A890:B890"/>
    <mergeCell ref="A891:H891"/>
  </mergeCells>
  <conditionalFormatting sqref="F881:G883">
    <cfRule type="expression" dxfId="3" priority="4">
      <formula>($F$881&lt;&gt;#REF!)</formula>
    </cfRule>
  </conditionalFormatting>
  <conditionalFormatting sqref="F1887:G1889">
    <cfRule type="expression" dxfId="2" priority="2">
      <formula>($F$1001&lt;&gt;#REF!)</formula>
    </cfRule>
  </conditionalFormatting>
  <conditionalFormatting sqref="H881:H883">
    <cfRule type="expression" dxfId="1" priority="3">
      <formula>$H$881&lt;&gt;#REF!</formula>
    </cfRule>
  </conditionalFormatting>
  <conditionalFormatting sqref="H1887:H1889">
    <cfRule type="expression" dxfId="0" priority="1">
      <formula>$H$1001&lt;&gt;#REF!</formula>
    </cfRule>
  </conditionalFormatting>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F3515-D016-452A-8A1C-751B77CDAE83}">
  <sheetPr>
    <pageSetUpPr fitToPage="1"/>
  </sheetPr>
  <dimension ref="A1:O81"/>
  <sheetViews>
    <sheetView zoomScale="80" zoomScaleNormal="80" workbookViewId="0">
      <selection activeCell="J6" sqref="J6"/>
    </sheetView>
  </sheetViews>
  <sheetFormatPr baseColWidth="10" defaultColWidth="11.44140625" defaultRowHeight="15"/>
  <cols>
    <col min="1" max="2" width="9.77734375" style="1" customWidth="1"/>
    <col min="3" max="3" width="22.21875" style="1" customWidth="1"/>
    <col min="4" max="4" width="31.44140625" style="1" customWidth="1"/>
    <col min="5" max="5" width="12.77734375" style="1" bestFit="1" customWidth="1"/>
    <col min="6" max="6" width="13.5546875" style="67" bestFit="1" customWidth="1"/>
    <col min="7" max="7" width="15.5546875" style="12" customWidth="1"/>
    <col min="8" max="8" width="19.44140625" style="12" bestFit="1" customWidth="1"/>
    <col min="9" max="9" width="10.44140625" style="1" customWidth="1"/>
    <col min="10" max="10" width="16.21875" style="1" customWidth="1"/>
    <col min="11" max="200" width="11.44140625" style="1"/>
    <col min="201" max="201" width="4.21875" style="1" customWidth="1"/>
    <col min="202" max="203" width="11.44140625" style="1"/>
    <col min="204" max="204" width="22" style="1" customWidth="1"/>
    <col min="205" max="205" width="6.77734375" style="1" customWidth="1"/>
    <col min="206" max="206" width="15.44140625" style="1" bestFit="1" customWidth="1"/>
    <col min="207" max="207" width="11.44140625" style="1"/>
    <col min="208" max="208" width="14.21875" style="1" bestFit="1" customWidth="1"/>
    <col min="209" max="209" width="11.77734375" style="1" bestFit="1" customWidth="1"/>
    <col min="210" max="210" width="13.21875" style="1" bestFit="1" customWidth="1"/>
    <col min="211" max="211" width="11.77734375" style="1" bestFit="1" customWidth="1"/>
    <col min="212" max="456" width="11.44140625" style="1"/>
    <col min="457" max="457" width="4.21875" style="1" customWidth="1"/>
    <col min="458" max="459" width="11.44140625" style="1"/>
    <col min="460" max="460" width="22" style="1" customWidth="1"/>
    <col min="461" max="461" width="6.77734375" style="1" customWidth="1"/>
    <col min="462" max="462" width="15.44140625" style="1" bestFit="1" customWidth="1"/>
    <col min="463" max="463" width="11.44140625" style="1"/>
    <col min="464" max="464" width="14.21875" style="1" bestFit="1" customWidth="1"/>
    <col min="465" max="465" width="11.77734375" style="1" bestFit="1" customWidth="1"/>
    <col min="466" max="466" width="13.21875" style="1" bestFit="1" customWidth="1"/>
    <col min="467" max="467" width="11.77734375" style="1" bestFit="1" customWidth="1"/>
    <col min="468" max="712" width="11.44140625" style="1"/>
    <col min="713" max="713" width="4.21875" style="1" customWidth="1"/>
    <col min="714" max="715" width="11.44140625" style="1"/>
    <col min="716" max="716" width="22" style="1" customWidth="1"/>
    <col min="717" max="717" width="6.77734375" style="1" customWidth="1"/>
    <col min="718" max="718" width="15.44140625" style="1" bestFit="1" customWidth="1"/>
    <col min="719" max="719" width="11.44140625" style="1"/>
    <col min="720" max="720" width="14.21875" style="1" bestFit="1" customWidth="1"/>
    <col min="721" max="721" width="11.77734375" style="1" bestFit="1" customWidth="1"/>
    <col min="722" max="722" width="13.21875" style="1" bestFit="1" customWidth="1"/>
    <col min="723" max="723" width="11.77734375" style="1" bestFit="1" customWidth="1"/>
    <col min="724" max="968" width="11.44140625" style="1"/>
    <col min="969" max="969" width="4.21875" style="1" customWidth="1"/>
    <col min="970" max="971" width="11.44140625" style="1"/>
    <col min="972" max="972" width="22" style="1" customWidth="1"/>
    <col min="973" max="973" width="6.77734375" style="1" customWidth="1"/>
    <col min="974" max="974" width="15.44140625" style="1" bestFit="1" customWidth="1"/>
    <col min="975" max="975" width="11.44140625" style="1"/>
    <col min="976" max="976" width="14.21875" style="1" bestFit="1" customWidth="1"/>
    <col min="977" max="977" width="11.77734375" style="1" bestFit="1" customWidth="1"/>
    <col min="978" max="978" width="13.21875" style="1" bestFit="1" customWidth="1"/>
    <col min="979" max="979" width="11.77734375" style="1" bestFit="1" customWidth="1"/>
    <col min="980" max="1224" width="11.44140625" style="1"/>
    <col min="1225" max="1225" width="4.21875" style="1" customWidth="1"/>
    <col min="1226" max="1227" width="11.44140625" style="1"/>
    <col min="1228" max="1228" width="22" style="1" customWidth="1"/>
    <col min="1229" max="1229" width="6.77734375" style="1" customWidth="1"/>
    <col min="1230" max="1230" width="15.44140625" style="1" bestFit="1" customWidth="1"/>
    <col min="1231" max="1231" width="11.44140625" style="1"/>
    <col min="1232" max="1232" width="14.21875" style="1" bestFit="1" customWidth="1"/>
    <col min="1233" max="1233" width="11.77734375" style="1" bestFit="1" customWidth="1"/>
    <col min="1234" max="1234" width="13.21875" style="1" bestFit="1" customWidth="1"/>
    <col min="1235" max="1235" width="11.77734375" style="1" bestFit="1" customWidth="1"/>
    <col min="1236" max="1480" width="11.44140625" style="1"/>
    <col min="1481" max="1481" width="4.21875" style="1" customWidth="1"/>
    <col min="1482" max="1483" width="11.44140625" style="1"/>
    <col min="1484" max="1484" width="22" style="1" customWidth="1"/>
    <col min="1485" max="1485" width="6.77734375" style="1" customWidth="1"/>
    <col min="1486" max="1486" width="15.44140625" style="1" bestFit="1" customWidth="1"/>
    <col min="1487" max="1487" width="11.44140625" style="1"/>
    <col min="1488" max="1488" width="14.21875" style="1" bestFit="1" customWidth="1"/>
    <col min="1489" max="1489" width="11.77734375" style="1" bestFit="1" customWidth="1"/>
    <col min="1490" max="1490" width="13.21875" style="1" bestFit="1" customWidth="1"/>
    <col min="1491" max="1491" width="11.77734375" style="1" bestFit="1" customWidth="1"/>
    <col min="1492" max="1736" width="11.44140625" style="1"/>
    <col min="1737" max="1737" width="4.21875" style="1" customWidth="1"/>
    <col min="1738" max="1739" width="11.44140625" style="1"/>
    <col min="1740" max="1740" width="22" style="1" customWidth="1"/>
    <col min="1741" max="1741" width="6.77734375" style="1" customWidth="1"/>
    <col min="1742" max="1742" width="15.44140625" style="1" bestFit="1" customWidth="1"/>
    <col min="1743" max="1743" width="11.44140625" style="1"/>
    <col min="1744" max="1744" width="14.21875" style="1" bestFit="1" customWidth="1"/>
    <col min="1745" max="1745" width="11.77734375" style="1" bestFit="1" customWidth="1"/>
    <col min="1746" max="1746" width="13.21875" style="1" bestFit="1" customWidth="1"/>
    <col min="1747" max="1747" width="11.77734375" style="1" bestFit="1" customWidth="1"/>
    <col min="1748" max="1992" width="11.44140625" style="1"/>
    <col min="1993" max="1993" width="4.21875" style="1" customWidth="1"/>
    <col min="1994" max="1995" width="11.44140625" style="1"/>
    <col min="1996" max="1996" width="22" style="1" customWidth="1"/>
    <col min="1997" max="1997" width="6.77734375" style="1" customWidth="1"/>
    <col min="1998" max="1998" width="15.44140625" style="1" bestFit="1" customWidth="1"/>
    <col min="1999" max="1999" width="11.44140625" style="1"/>
    <col min="2000" max="2000" width="14.21875" style="1" bestFit="1" customWidth="1"/>
    <col min="2001" max="2001" width="11.77734375" style="1" bestFit="1" customWidth="1"/>
    <col min="2002" max="2002" width="13.21875" style="1" bestFit="1" customWidth="1"/>
    <col min="2003" max="2003" width="11.77734375" style="1" bestFit="1" customWidth="1"/>
    <col min="2004" max="2248" width="11.44140625" style="1"/>
    <col min="2249" max="2249" width="4.21875" style="1" customWidth="1"/>
    <col min="2250" max="2251" width="11.44140625" style="1"/>
    <col min="2252" max="2252" width="22" style="1" customWidth="1"/>
    <col min="2253" max="2253" width="6.77734375" style="1" customWidth="1"/>
    <col min="2254" max="2254" width="15.44140625" style="1" bestFit="1" customWidth="1"/>
    <col min="2255" max="2255" width="11.44140625" style="1"/>
    <col min="2256" max="2256" width="14.21875" style="1" bestFit="1" customWidth="1"/>
    <col min="2257" max="2257" width="11.77734375" style="1" bestFit="1" customWidth="1"/>
    <col min="2258" max="2258" width="13.21875" style="1" bestFit="1" customWidth="1"/>
    <col min="2259" max="2259" width="11.77734375" style="1" bestFit="1" customWidth="1"/>
    <col min="2260" max="2504" width="11.44140625" style="1"/>
    <col min="2505" max="2505" width="4.21875" style="1" customWidth="1"/>
    <col min="2506" max="2507" width="11.44140625" style="1"/>
    <col min="2508" max="2508" width="22" style="1" customWidth="1"/>
    <col min="2509" max="2509" width="6.77734375" style="1" customWidth="1"/>
    <col min="2510" max="2510" width="15.44140625" style="1" bestFit="1" customWidth="1"/>
    <col min="2511" max="2511" width="11.44140625" style="1"/>
    <col min="2512" max="2512" width="14.21875" style="1" bestFit="1" customWidth="1"/>
    <col min="2513" max="2513" width="11.77734375" style="1" bestFit="1" customWidth="1"/>
    <col min="2514" max="2514" width="13.21875" style="1" bestFit="1" customWidth="1"/>
    <col min="2515" max="2515" width="11.77734375" style="1" bestFit="1" customWidth="1"/>
    <col min="2516" max="2760" width="11.44140625" style="1"/>
    <col min="2761" max="2761" width="4.21875" style="1" customWidth="1"/>
    <col min="2762" max="2763" width="11.44140625" style="1"/>
    <col min="2764" max="2764" width="22" style="1" customWidth="1"/>
    <col min="2765" max="2765" width="6.77734375" style="1" customWidth="1"/>
    <col min="2766" max="2766" width="15.44140625" style="1" bestFit="1" customWidth="1"/>
    <col min="2767" max="2767" width="11.44140625" style="1"/>
    <col min="2768" max="2768" width="14.21875" style="1" bestFit="1" customWidth="1"/>
    <col min="2769" max="2769" width="11.77734375" style="1" bestFit="1" customWidth="1"/>
    <col min="2770" max="2770" width="13.21875" style="1" bestFit="1" customWidth="1"/>
    <col min="2771" max="2771" width="11.77734375" style="1" bestFit="1" customWidth="1"/>
    <col min="2772" max="3016" width="11.44140625" style="1"/>
    <col min="3017" max="3017" width="4.21875" style="1" customWidth="1"/>
    <col min="3018" max="3019" width="11.44140625" style="1"/>
    <col min="3020" max="3020" width="22" style="1" customWidth="1"/>
    <col min="3021" max="3021" width="6.77734375" style="1" customWidth="1"/>
    <col min="3022" max="3022" width="15.44140625" style="1" bestFit="1" customWidth="1"/>
    <col min="3023" max="3023" width="11.44140625" style="1"/>
    <col min="3024" max="3024" width="14.21875" style="1" bestFit="1" customWidth="1"/>
    <col min="3025" max="3025" width="11.77734375" style="1" bestFit="1" customWidth="1"/>
    <col min="3026" max="3026" width="13.21875" style="1" bestFit="1" customWidth="1"/>
    <col min="3027" max="3027" width="11.77734375" style="1" bestFit="1" customWidth="1"/>
    <col min="3028" max="3272" width="11.44140625" style="1"/>
    <col min="3273" max="3273" width="4.21875" style="1" customWidth="1"/>
    <col min="3274" max="3275" width="11.44140625" style="1"/>
    <col min="3276" max="3276" width="22" style="1" customWidth="1"/>
    <col min="3277" max="3277" width="6.77734375" style="1" customWidth="1"/>
    <col min="3278" max="3278" width="15.44140625" style="1" bestFit="1" customWidth="1"/>
    <col min="3279" max="3279" width="11.44140625" style="1"/>
    <col min="3280" max="3280" width="14.21875" style="1" bestFit="1" customWidth="1"/>
    <col min="3281" max="3281" width="11.77734375" style="1" bestFit="1" customWidth="1"/>
    <col min="3282" max="3282" width="13.21875" style="1" bestFit="1" customWidth="1"/>
    <col min="3283" max="3283" width="11.77734375" style="1" bestFit="1" customWidth="1"/>
    <col min="3284" max="3528" width="11.44140625" style="1"/>
    <col min="3529" max="3529" width="4.21875" style="1" customWidth="1"/>
    <col min="3530" max="3531" width="11.44140625" style="1"/>
    <col min="3532" max="3532" width="22" style="1" customWidth="1"/>
    <col min="3533" max="3533" width="6.77734375" style="1" customWidth="1"/>
    <col min="3534" max="3534" width="15.44140625" style="1" bestFit="1" customWidth="1"/>
    <col min="3535" max="3535" width="11.44140625" style="1"/>
    <col min="3536" max="3536" width="14.21875" style="1" bestFit="1" customWidth="1"/>
    <col min="3537" max="3537" width="11.77734375" style="1" bestFit="1" customWidth="1"/>
    <col min="3538" max="3538" width="13.21875" style="1" bestFit="1" customWidth="1"/>
    <col min="3539" max="3539" width="11.77734375" style="1" bestFit="1" customWidth="1"/>
    <col min="3540" max="3784" width="11.44140625" style="1"/>
    <col min="3785" max="3785" width="4.21875" style="1" customWidth="1"/>
    <col min="3786" max="3787" width="11.44140625" style="1"/>
    <col min="3788" max="3788" width="22" style="1" customWidth="1"/>
    <col min="3789" max="3789" width="6.77734375" style="1" customWidth="1"/>
    <col min="3790" max="3790" width="15.44140625" style="1" bestFit="1" customWidth="1"/>
    <col min="3791" max="3791" width="11.44140625" style="1"/>
    <col min="3792" max="3792" width="14.21875" style="1" bestFit="1" customWidth="1"/>
    <col min="3793" max="3793" width="11.77734375" style="1" bestFit="1" customWidth="1"/>
    <col min="3794" max="3794" width="13.21875" style="1" bestFit="1" customWidth="1"/>
    <col min="3795" max="3795" width="11.77734375" style="1" bestFit="1" customWidth="1"/>
    <col min="3796" max="4040" width="11.44140625" style="1"/>
    <col min="4041" max="4041" width="4.21875" style="1" customWidth="1"/>
    <col min="4042" max="4043" width="11.44140625" style="1"/>
    <col min="4044" max="4044" width="22" style="1" customWidth="1"/>
    <col min="4045" max="4045" width="6.77734375" style="1" customWidth="1"/>
    <col min="4046" max="4046" width="15.44140625" style="1" bestFit="1" customWidth="1"/>
    <col min="4047" max="4047" width="11.44140625" style="1"/>
    <col min="4048" max="4048" width="14.21875" style="1" bestFit="1" customWidth="1"/>
    <col min="4049" max="4049" width="11.77734375" style="1" bestFit="1" customWidth="1"/>
    <col min="4050" max="4050" width="13.21875" style="1" bestFit="1" customWidth="1"/>
    <col min="4051" max="4051" width="11.77734375" style="1" bestFit="1" customWidth="1"/>
    <col min="4052" max="4296" width="11.44140625" style="1"/>
    <col min="4297" max="4297" width="4.21875" style="1" customWidth="1"/>
    <col min="4298" max="4299" width="11.44140625" style="1"/>
    <col min="4300" max="4300" width="22" style="1" customWidth="1"/>
    <col min="4301" max="4301" width="6.77734375" style="1" customWidth="1"/>
    <col min="4302" max="4302" width="15.44140625" style="1" bestFit="1" customWidth="1"/>
    <col min="4303" max="4303" width="11.44140625" style="1"/>
    <col min="4304" max="4304" width="14.21875" style="1" bestFit="1" customWidth="1"/>
    <col min="4305" max="4305" width="11.77734375" style="1" bestFit="1" customWidth="1"/>
    <col min="4306" max="4306" width="13.21875" style="1" bestFit="1" customWidth="1"/>
    <col min="4307" max="4307" width="11.77734375" style="1" bestFit="1" customWidth="1"/>
    <col min="4308" max="4552" width="11.44140625" style="1"/>
    <col min="4553" max="4553" width="4.21875" style="1" customWidth="1"/>
    <col min="4554" max="4555" width="11.44140625" style="1"/>
    <col min="4556" max="4556" width="22" style="1" customWidth="1"/>
    <col min="4557" max="4557" width="6.77734375" style="1" customWidth="1"/>
    <col min="4558" max="4558" width="15.44140625" style="1" bestFit="1" customWidth="1"/>
    <col min="4559" max="4559" width="11.44140625" style="1"/>
    <col min="4560" max="4560" width="14.21875" style="1" bestFit="1" customWidth="1"/>
    <col min="4561" max="4561" width="11.77734375" style="1" bestFit="1" customWidth="1"/>
    <col min="4562" max="4562" width="13.21875" style="1" bestFit="1" customWidth="1"/>
    <col min="4563" max="4563" width="11.77734375" style="1" bestFit="1" customWidth="1"/>
    <col min="4564" max="4808" width="11.44140625" style="1"/>
    <col min="4809" max="4809" width="4.21875" style="1" customWidth="1"/>
    <col min="4810" max="4811" width="11.44140625" style="1"/>
    <col min="4812" max="4812" width="22" style="1" customWidth="1"/>
    <col min="4813" max="4813" width="6.77734375" style="1" customWidth="1"/>
    <col min="4814" max="4814" width="15.44140625" style="1" bestFit="1" customWidth="1"/>
    <col min="4815" max="4815" width="11.44140625" style="1"/>
    <col min="4816" max="4816" width="14.21875" style="1" bestFit="1" customWidth="1"/>
    <col min="4817" max="4817" width="11.77734375" style="1" bestFit="1" customWidth="1"/>
    <col min="4818" max="4818" width="13.21875" style="1" bestFit="1" customWidth="1"/>
    <col min="4819" max="4819" width="11.77734375" style="1" bestFit="1" customWidth="1"/>
    <col min="4820" max="5064" width="11.44140625" style="1"/>
    <col min="5065" max="5065" width="4.21875" style="1" customWidth="1"/>
    <col min="5066" max="5067" width="11.44140625" style="1"/>
    <col min="5068" max="5068" width="22" style="1" customWidth="1"/>
    <col min="5069" max="5069" width="6.77734375" style="1" customWidth="1"/>
    <col min="5070" max="5070" width="15.44140625" style="1" bestFit="1" customWidth="1"/>
    <col min="5071" max="5071" width="11.44140625" style="1"/>
    <col min="5072" max="5072" width="14.21875" style="1" bestFit="1" customWidth="1"/>
    <col min="5073" max="5073" width="11.77734375" style="1" bestFit="1" customWidth="1"/>
    <col min="5074" max="5074" width="13.21875" style="1" bestFit="1" customWidth="1"/>
    <col min="5075" max="5075" width="11.77734375" style="1" bestFit="1" customWidth="1"/>
    <col min="5076" max="5320" width="11.44140625" style="1"/>
    <col min="5321" max="5321" width="4.21875" style="1" customWidth="1"/>
    <col min="5322" max="5323" width="11.44140625" style="1"/>
    <col min="5324" max="5324" width="22" style="1" customWidth="1"/>
    <col min="5325" max="5325" width="6.77734375" style="1" customWidth="1"/>
    <col min="5326" max="5326" width="15.44140625" style="1" bestFit="1" customWidth="1"/>
    <col min="5327" max="5327" width="11.44140625" style="1"/>
    <col min="5328" max="5328" width="14.21875" style="1" bestFit="1" customWidth="1"/>
    <col min="5329" max="5329" width="11.77734375" style="1" bestFit="1" customWidth="1"/>
    <col min="5330" max="5330" width="13.21875" style="1" bestFit="1" customWidth="1"/>
    <col min="5331" max="5331" width="11.77734375" style="1" bestFit="1" customWidth="1"/>
    <col min="5332" max="5576" width="11.44140625" style="1"/>
    <col min="5577" max="5577" width="4.21875" style="1" customWidth="1"/>
    <col min="5578" max="5579" width="11.44140625" style="1"/>
    <col min="5580" max="5580" width="22" style="1" customWidth="1"/>
    <col min="5581" max="5581" width="6.77734375" style="1" customWidth="1"/>
    <col min="5582" max="5582" width="15.44140625" style="1" bestFit="1" customWidth="1"/>
    <col min="5583" max="5583" width="11.44140625" style="1"/>
    <col min="5584" max="5584" width="14.21875" style="1" bestFit="1" customWidth="1"/>
    <col min="5585" max="5585" width="11.77734375" style="1" bestFit="1" customWidth="1"/>
    <col min="5586" max="5586" width="13.21875" style="1" bestFit="1" customWidth="1"/>
    <col min="5587" max="5587" width="11.77734375" style="1" bestFit="1" customWidth="1"/>
    <col min="5588" max="5832" width="11.44140625" style="1"/>
    <col min="5833" max="5833" width="4.21875" style="1" customWidth="1"/>
    <col min="5834" max="5835" width="11.44140625" style="1"/>
    <col min="5836" max="5836" width="22" style="1" customWidth="1"/>
    <col min="5837" max="5837" width="6.77734375" style="1" customWidth="1"/>
    <col min="5838" max="5838" width="15.44140625" style="1" bestFit="1" customWidth="1"/>
    <col min="5839" max="5839" width="11.44140625" style="1"/>
    <col min="5840" max="5840" width="14.21875" style="1" bestFit="1" customWidth="1"/>
    <col min="5841" max="5841" width="11.77734375" style="1" bestFit="1" customWidth="1"/>
    <col min="5842" max="5842" width="13.21875" style="1" bestFit="1" customWidth="1"/>
    <col min="5843" max="5843" width="11.77734375" style="1" bestFit="1" customWidth="1"/>
    <col min="5844" max="6088" width="11.44140625" style="1"/>
    <col min="6089" max="6089" width="4.21875" style="1" customWidth="1"/>
    <col min="6090" max="6091" width="11.44140625" style="1"/>
    <col min="6092" max="6092" width="22" style="1" customWidth="1"/>
    <col min="6093" max="6093" width="6.77734375" style="1" customWidth="1"/>
    <col min="6094" max="6094" width="15.44140625" style="1" bestFit="1" customWidth="1"/>
    <col min="6095" max="6095" width="11.44140625" style="1"/>
    <col min="6096" max="6096" width="14.21875" style="1" bestFit="1" customWidth="1"/>
    <col min="6097" max="6097" width="11.77734375" style="1" bestFit="1" customWidth="1"/>
    <col min="6098" max="6098" width="13.21875" style="1" bestFit="1" customWidth="1"/>
    <col min="6099" max="6099" width="11.77734375" style="1" bestFit="1" customWidth="1"/>
    <col min="6100" max="6344" width="11.44140625" style="1"/>
    <col min="6345" max="6345" width="4.21875" style="1" customWidth="1"/>
    <col min="6346" max="6347" width="11.44140625" style="1"/>
    <col min="6348" max="6348" width="22" style="1" customWidth="1"/>
    <col min="6349" max="6349" width="6.77734375" style="1" customWidth="1"/>
    <col min="6350" max="6350" width="15.44140625" style="1" bestFit="1" customWidth="1"/>
    <col min="6351" max="6351" width="11.44140625" style="1"/>
    <col min="6352" max="6352" width="14.21875" style="1" bestFit="1" customWidth="1"/>
    <col min="6353" max="6353" width="11.77734375" style="1" bestFit="1" customWidth="1"/>
    <col min="6354" max="6354" width="13.21875" style="1" bestFit="1" customWidth="1"/>
    <col min="6355" max="6355" width="11.77734375" style="1" bestFit="1" customWidth="1"/>
    <col min="6356" max="6600" width="11.44140625" style="1"/>
    <col min="6601" max="6601" width="4.21875" style="1" customWidth="1"/>
    <col min="6602" max="6603" width="11.44140625" style="1"/>
    <col min="6604" max="6604" width="22" style="1" customWidth="1"/>
    <col min="6605" max="6605" width="6.77734375" style="1" customWidth="1"/>
    <col min="6606" max="6606" width="15.44140625" style="1" bestFit="1" customWidth="1"/>
    <col min="6607" max="6607" width="11.44140625" style="1"/>
    <col min="6608" max="6608" width="14.21875" style="1" bestFit="1" customWidth="1"/>
    <col min="6609" max="6609" width="11.77734375" style="1" bestFit="1" customWidth="1"/>
    <col min="6610" max="6610" width="13.21875" style="1" bestFit="1" customWidth="1"/>
    <col min="6611" max="6611" width="11.77734375" style="1" bestFit="1" customWidth="1"/>
    <col min="6612" max="6856" width="11.44140625" style="1"/>
    <col min="6857" max="6857" width="4.21875" style="1" customWidth="1"/>
    <col min="6858" max="6859" width="11.44140625" style="1"/>
    <col min="6860" max="6860" width="22" style="1" customWidth="1"/>
    <col min="6861" max="6861" width="6.77734375" style="1" customWidth="1"/>
    <col min="6862" max="6862" width="15.44140625" style="1" bestFit="1" customWidth="1"/>
    <col min="6863" max="6863" width="11.44140625" style="1"/>
    <col min="6864" max="6864" width="14.21875" style="1" bestFit="1" customWidth="1"/>
    <col min="6865" max="6865" width="11.77734375" style="1" bestFit="1" customWidth="1"/>
    <col min="6866" max="6866" width="13.21875" style="1" bestFit="1" customWidth="1"/>
    <col min="6867" max="6867" width="11.77734375" style="1" bestFit="1" customWidth="1"/>
    <col min="6868" max="7112" width="11.44140625" style="1"/>
    <col min="7113" max="7113" width="4.21875" style="1" customWidth="1"/>
    <col min="7114" max="7115" width="11.44140625" style="1"/>
    <col min="7116" max="7116" width="22" style="1" customWidth="1"/>
    <col min="7117" max="7117" width="6.77734375" style="1" customWidth="1"/>
    <col min="7118" max="7118" width="15.44140625" style="1" bestFit="1" customWidth="1"/>
    <col min="7119" max="7119" width="11.44140625" style="1"/>
    <col min="7120" max="7120" width="14.21875" style="1" bestFit="1" customWidth="1"/>
    <col min="7121" max="7121" width="11.77734375" style="1" bestFit="1" customWidth="1"/>
    <col min="7122" max="7122" width="13.21875" style="1" bestFit="1" customWidth="1"/>
    <col min="7123" max="7123" width="11.77734375" style="1" bestFit="1" customWidth="1"/>
    <col min="7124" max="7368" width="11.44140625" style="1"/>
    <col min="7369" max="7369" width="4.21875" style="1" customWidth="1"/>
    <col min="7370" max="7371" width="11.44140625" style="1"/>
    <col min="7372" max="7372" width="22" style="1" customWidth="1"/>
    <col min="7373" max="7373" width="6.77734375" style="1" customWidth="1"/>
    <col min="7374" max="7374" width="15.44140625" style="1" bestFit="1" customWidth="1"/>
    <col min="7375" max="7375" width="11.44140625" style="1"/>
    <col min="7376" max="7376" width="14.21875" style="1" bestFit="1" customWidth="1"/>
    <col min="7377" max="7377" width="11.77734375" style="1" bestFit="1" customWidth="1"/>
    <col min="7378" max="7378" width="13.21875" style="1" bestFit="1" customWidth="1"/>
    <col min="7379" max="7379" width="11.77734375" style="1" bestFit="1" customWidth="1"/>
    <col min="7380" max="7624" width="11.44140625" style="1"/>
    <col min="7625" max="7625" width="4.21875" style="1" customWidth="1"/>
    <col min="7626" max="7627" width="11.44140625" style="1"/>
    <col min="7628" max="7628" width="22" style="1" customWidth="1"/>
    <col min="7629" max="7629" width="6.77734375" style="1" customWidth="1"/>
    <col min="7630" max="7630" width="15.44140625" style="1" bestFit="1" customWidth="1"/>
    <col min="7631" max="7631" width="11.44140625" style="1"/>
    <col min="7632" max="7632" width="14.21875" style="1" bestFit="1" customWidth="1"/>
    <col min="7633" max="7633" width="11.77734375" style="1" bestFit="1" customWidth="1"/>
    <col min="7634" max="7634" width="13.21875" style="1" bestFit="1" customWidth="1"/>
    <col min="7635" max="7635" width="11.77734375" style="1" bestFit="1" customWidth="1"/>
    <col min="7636" max="7880" width="11.44140625" style="1"/>
    <col min="7881" max="7881" width="4.21875" style="1" customWidth="1"/>
    <col min="7882" max="7883" width="11.44140625" style="1"/>
    <col min="7884" max="7884" width="22" style="1" customWidth="1"/>
    <col min="7885" max="7885" width="6.77734375" style="1" customWidth="1"/>
    <col min="7886" max="7886" width="15.44140625" style="1" bestFit="1" customWidth="1"/>
    <col min="7887" max="7887" width="11.44140625" style="1"/>
    <col min="7888" max="7888" width="14.21875" style="1" bestFit="1" customWidth="1"/>
    <col min="7889" max="7889" width="11.77734375" style="1" bestFit="1" customWidth="1"/>
    <col min="7890" max="7890" width="13.21875" style="1" bestFit="1" customWidth="1"/>
    <col min="7891" max="7891" width="11.77734375" style="1" bestFit="1" customWidth="1"/>
    <col min="7892" max="8136" width="11.44140625" style="1"/>
    <col min="8137" max="8137" width="4.21875" style="1" customWidth="1"/>
    <col min="8138" max="8139" width="11.44140625" style="1"/>
    <col min="8140" max="8140" width="22" style="1" customWidth="1"/>
    <col min="8141" max="8141" width="6.77734375" style="1" customWidth="1"/>
    <col min="8142" max="8142" width="15.44140625" style="1" bestFit="1" customWidth="1"/>
    <col min="8143" max="8143" width="11.44140625" style="1"/>
    <col min="8144" max="8144" width="14.21875" style="1" bestFit="1" customWidth="1"/>
    <col min="8145" max="8145" width="11.77734375" style="1" bestFit="1" customWidth="1"/>
    <col min="8146" max="8146" width="13.21875" style="1" bestFit="1" customWidth="1"/>
    <col min="8147" max="8147" width="11.77734375" style="1" bestFit="1" customWidth="1"/>
    <col min="8148" max="8392" width="11.44140625" style="1"/>
    <col min="8393" max="8393" width="4.21875" style="1" customWidth="1"/>
    <col min="8394" max="8395" width="11.44140625" style="1"/>
    <col min="8396" max="8396" width="22" style="1" customWidth="1"/>
    <col min="8397" max="8397" width="6.77734375" style="1" customWidth="1"/>
    <col min="8398" max="8398" width="15.44140625" style="1" bestFit="1" customWidth="1"/>
    <col min="8399" max="8399" width="11.44140625" style="1"/>
    <col min="8400" max="8400" width="14.21875" style="1" bestFit="1" customWidth="1"/>
    <col min="8401" max="8401" width="11.77734375" style="1" bestFit="1" customWidth="1"/>
    <col min="8402" max="8402" width="13.21875" style="1" bestFit="1" customWidth="1"/>
    <col min="8403" max="8403" width="11.77734375" style="1" bestFit="1" customWidth="1"/>
    <col min="8404" max="8648" width="11.44140625" style="1"/>
    <col min="8649" max="8649" width="4.21875" style="1" customWidth="1"/>
    <col min="8650" max="8651" width="11.44140625" style="1"/>
    <col min="8652" max="8652" width="22" style="1" customWidth="1"/>
    <col min="8653" max="8653" width="6.77734375" style="1" customWidth="1"/>
    <col min="8654" max="8654" width="15.44140625" style="1" bestFit="1" customWidth="1"/>
    <col min="8655" max="8655" width="11.44140625" style="1"/>
    <col min="8656" max="8656" width="14.21875" style="1" bestFit="1" customWidth="1"/>
    <col min="8657" max="8657" width="11.77734375" style="1" bestFit="1" customWidth="1"/>
    <col min="8658" max="8658" width="13.21875" style="1" bestFit="1" customWidth="1"/>
    <col min="8659" max="8659" width="11.77734375" style="1" bestFit="1" customWidth="1"/>
    <col min="8660" max="8904" width="11.44140625" style="1"/>
    <col min="8905" max="8905" width="4.21875" style="1" customWidth="1"/>
    <col min="8906" max="8907" width="11.44140625" style="1"/>
    <col min="8908" max="8908" width="22" style="1" customWidth="1"/>
    <col min="8909" max="8909" width="6.77734375" style="1" customWidth="1"/>
    <col min="8910" max="8910" width="15.44140625" style="1" bestFit="1" customWidth="1"/>
    <col min="8911" max="8911" width="11.44140625" style="1"/>
    <col min="8912" max="8912" width="14.21875" style="1" bestFit="1" customWidth="1"/>
    <col min="8913" max="8913" width="11.77734375" style="1" bestFit="1" customWidth="1"/>
    <col min="8914" max="8914" width="13.21875" style="1" bestFit="1" customWidth="1"/>
    <col min="8915" max="8915" width="11.77734375" style="1" bestFit="1" customWidth="1"/>
    <col min="8916" max="9160" width="11.44140625" style="1"/>
    <col min="9161" max="9161" width="4.21875" style="1" customWidth="1"/>
    <col min="9162" max="9163" width="11.44140625" style="1"/>
    <col min="9164" max="9164" width="22" style="1" customWidth="1"/>
    <col min="9165" max="9165" width="6.77734375" style="1" customWidth="1"/>
    <col min="9166" max="9166" width="15.44140625" style="1" bestFit="1" customWidth="1"/>
    <col min="9167" max="9167" width="11.44140625" style="1"/>
    <col min="9168" max="9168" width="14.21875" style="1" bestFit="1" customWidth="1"/>
    <col min="9169" max="9169" width="11.77734375" style="1" bestFit="1" customWidth="1"/>
    <col min="9170" max="9170" width="13.21875" style="1" bestFit="1" customWidth="1"/>
    <col min="9171" max="9171" width="11.77734375" style="1" bestFit="1" customWidth="1"/>
    <col min="9172" max="9416" width="11.44140625" style="1"/>
    <col min="9417" max="9417" width="4.21875" style="1" customWidth="1"/>
    <col min="9418" max="9419" width="11.44140625" style="1"/>
    <col min="9420" max="9420" width="22" style="1" customWidth="1"/>
    <col min="9421" max="9421" width="6.77734375" style="1" customWidth="1"/>
    <col min="9422" max="9422" width="15.44140625" style="1" bestFit="1" customWidth="1"/>
    <col min="9423" max="9423" width="11.44140625" style="1"/>
    <col min="9424" max="9424" width="14.21875" style="1" bestFit="1" customWidth="1"/>
    <col min="9425" max="9425" width="11.77734375" style="1" bestFit="1" customWidth="1"/>
    <col min="9426" max="9426" width="13.21875" style="1" bestFit="1" customWidth="1"/>
    <col min="9427" max="9427" width="11.77734375" style="1" bestFit="1" customWidth="1"/>
    <col min="9428" max="9672" width="11.44140625" style="1"/>
    <col min="9673" max="9673" width="4.21875" style="1" customWidth="1"/>
    <col min="9674" max="9675" width="11.44140625" style="1"/>
    <col min="9676" max="9676" width="22" style="1" customWidth="1"/>
    <col min="9677" max="9677" width="6.77734375" style="1" customWidth="1"/>
    <col min="9678" max="9678" width="15.44140625" style="1" bestFit="1" customWidth="1"/>
    <col min="9679" max="9679" width="11.44140625" style="1"/>
    <col min="9680" max="9680" width="14.21875" style="1" bestFit="1" customWidth="1"/>
    <col min="9681" max="9681" width="11.77734375" style="1" bestFit="1" customWidth="1"/>
    <col min="9682" max="9682" width="13.21875" style="1" bestFit="1" customWidth="1"/>
    <col min="9683" max="9683" width="11.77734375" style="1" bestFit="1" customWidth="1"/>
    <col min="9684" max="9928" width="11.44140625" style="1"/>
    <col min="9929" max="9929" width="4.21875" style="1" customWidth="1"/>
    <col min="9930" max="9931" width="11.44140625" style="1"/>
    <col min="9932" max="9932" width="22" style="1" customWidth="1"/>
    <col min="9933" max="9933" width="6.77734375" style="1" customWidth="1"/>
    <col min="9934" max="9934" width="15.44140625" style="1" bestFit="1" customWidth="1"/>
    <col min="9935" max="9935" width="11.44140625" style="1"/>
    <col min="9936" max="9936" width="14.21875" style="1" bestFit="1" customWidth="1"/>
    <col min="9937" max="9937" width="11.77734375" style="1" bestFit="1" customWidth="1"/>
    <col min="9938" max="9938" width="13.21875" style="1" bestFit="1" customWidth="1"/>
    <col min="9939" max="9939" width="11.77734375" style="1" bestFit="1" customWidth="1"/>
    <col min="9940" max="10184" width="11.44140625" style="1"/>
    <col min="10185" max="10185" width="4.21875" style="1" customWidth="1"/>
    <col min="10186" max="10187" width="11.44140625" style="1"/>
    <col min="10188" max="10188" width="22" style="1" customWidth="1"/>
    <col min="10189" max="10189" width="6.77734375" style="1" customWidth="1"/>
    <col min="10190" max="10190" width="15.44140625" style="1" bestFit="1" customWidth="1"/>
    <col min="10191" max="10191" width="11.44140625" style="1"/>
    <col min="10192" max="10192" width="14.21875" style="1" bestFit="1" customWidth="1"/>
    <col min="10193" max="10193" width="11.77734375" style="1" bestFit="1" customWidth="1"/>
    <col min="10194" max="10194" width="13.21875" style="1" bestFit="1" customWidth="1"/>
    <col min="10195" max="10195" width="11.77734375" style="1" bestFit="1" customWidth="1"/>
    <col min="10196" max="10440" width="11.44140625" style="1"/>
    <col min="10441" max="10441" width="4.21875" style="1" customWidth="1"/>
    <col min="10442" max="10443" width="11.44140625" style="1"/>
    <col min="10444" max="10444" width="22" style="1" customWidth="1"/>
    <col min="10445" max="10445" width="6.77734375" style="1" customWidth="1"/>
    <col min="10446" max="10446" width="15.44140625" style="1" bestFit="1" customWidth="1"/>
    <col min="10447" max="10447" width="11.44140625" style="1"/>
    <col min="10448" max="10448" width="14.21875" style="1" bestFit="1" customWidth="1"/>
    <col min="10449" max="10449" width="11.77734375" style="1" bestFit="1" customWidth="1"/>
    <col min="10450" max="10450" width="13.21875" style="1" bestFit="1" customWidth="1"/>
    <col min="10451" max="10451" width="11.77734375" style="1" bestFit="1" customWidth="1"/>
    <col min="10452" max="10696" width="11.44140625" style="1"/>
    <col min="10697" max="10697" width="4.21875" style="1" customWidth="1"/>
    <col min="10698" max="10699" width="11.44140625" style="1"/>
    <col min="10700" max="10700" width="22" style="1" customWidth="1"/>
    <col min="10701" max="10701" width="6.77734375" style="1" customWidth="1"/>
    <col min="10702" max="10702" width="15.44140625" style="1" bestFit="1" customWidth="1"/>
    <col min="10703" max="10703" width="11.44140625" style="1"/>
    <col min="10704" max="10704" width="14.21875" style="1" bestFit="1" customWidth="1"/>
    <col min="10705" max="10705" width="11.77734375" style="1" bestFit="1" customWidth="1"/>
    <col min="10706" max="10706" width="13.21875" style="1" bestFit="1" customWidth="1"/>
    <col min="10707" max="10707" width="11.77734375" style="1" bestFit="1" customWidth="1"/>
    <col min="10708" max="10952" width="11.44140625" style="1"/>
    <col min="10953" max="10953" width="4.21875" style="1" customWidth="1"/>
    <col min="10954" max="10955" width="11.44140625" style="1"/>
    <col min="10956" max="10956" width="22" style="1" customWidth="1"/>
    <col min="10957" max="10957" width="6.77734375" style="1" customWidth="1"/>
    <col min="10958" max="10958" width="15.44140625" style="1" bestFit="1" customWidth="1"/>
    <col min="10959" max="10959" width="11.44140625" style="1"/>
    <col min="10960" max="10960" width="14.21875" style="1" bestFit="1" customWidth="1"/>
    <col min="10961" max="10961" width="11.77734375" style="1" bestFit="1" customWidth="1"/>
    <col min="10962" max="10962" width="13.21875" style="1" bestFit="1" customWidth="1"/>
    <col min="10963" max="10963" width="11.77734375" style="1" bestFit="1" customWidth="1"/>
    <col min="10964" max="11208" width="11.44140625" style="1"/>
    <col min="11209" max="11209" width="4.21875" style="1" customWidth="1"/>
    <col min="11210" max="11211" width="11.44140625" style="1"/>
    <col min="11212" max="11212" width="22" style="1" customWidth="1"/>
    <col min="11213" max="11213" width="6.77734375" style="1" customWidth="1"/>
    <col min="11214" max="11214" width="15.44140625" style="1" bestFit="1" customWidth="1"/>
    <col min="11215" max="11215" width="11.44140625" style="1"/>
    <col min="11216" max="11216" width="14.21875" style="1" bestFit="1" customWidth="1"/>
    <col min="11217" max="11217" width="11.77734375" style="1" bestFit="1" customWidth="1"/>
    <col min="11218" max="11218" width="13.21875" style="1" bestFit="1" customWidth="1"/>
    <col min="11219" max="11219" width="11.77734375" style="1" bestFit="1" customWidth="1"/>
    <col min="11220" max="11464" width="11.44140625" style="1"/>
    <col min="11465" max="11465" width="4.21875" style="1" customWidth="1"/>
    <col min="11466" max="11467" width="11.44140625" style="1"/>
    <col min="11468" max="11468" width="22" style="1" customWidth="1"/>
    <col min="11469" max="11469" width="6.77734375" style="1" customWidth="1"/>
    <col min="11470" max="11470" width="15.44140625" style="1" bestFit="1" customWidth="1"/>
    <col min="11471" max="11471" width="11.44140625" style="1"/>
    <col min="11472" max="11472" width="14.21875" style="1" bestFit="1" customWidth="1"/>
    <col min="11473" max="11473" width="11.77734375" style="1" bestFit="1" customWidth="1"/>
    <col min="11474" max="11474" width="13.21875" style="1" bestFit="1" customWidth="1"/>
    <col min="11475" max="11475" width="11.77734375" style="1" bestFit="1" customWidth="1"/>
    <col min="11476" max="11720" width="11.44140625" style="1"/>
    <col min="11721" max="11721" width="4.21875" style="1" customWidth="1"/>
    <col min="11722" max="11723" width="11.44140625" style="1"/>
    <col min="11724" max="11724" width="22" style="1" customWidth="1"/>
    <col min="11725" max="11725" width="6.77734375" style="1" customWidth="1"/>
    <col min="11726" max="11726" width="15.44140625" style="1" bestFit="1" customWidth="1"/>
    <col min="11727" max="11727" width="11.44140625" style="1"/>
    <col min="11728" max="11728" width="14.21875" style="1" bestFit="1" customWidth="1"/>
    <col min="11729" max="11729" width="11.77734375" style="1" bestFit="1" customWidth="1"/>
    <col min="11730" max="11730" width="13.21875" style="1" bestFit="1" customWidth="1"/>
    <col min="11731" max="11731" width="11.77734375" style="1" bestFit="1" customWidth="1"/>
    <col min="11732" max="11976" width="11.44140625" style="1"/>
    <col min="11977" max="11977" width="4.21875" style="1" customWidth="1"/>
    <col min="11978" max="11979" width="11.44140625" style="1"/>
    <col min="11980" max="11980" width="22" style="1" customWidth="1"/>
    <col min="11981" max="11981" width="6.77734375" style="1" customWidth="1"/>
    <col min="11982" max="11982" width="15.44140625" style="1" bestFit="1" customWidth="1"/>
    <col min="11983" max="11983" width="11.44140625" style="1"/>
    <col min="11984" max="11984" width="14.21875" style="1" bestFit="1" customWidth="1"/>
    <col min="11985" max="11985" width="11.77734375" style="1" bestFit="1" customWidth="1"/>
    <col min="11986" max="11986" width="13.21875" style="1" bestFit="1" customWidth="1"/>
    <col min="11987" max="11987" width="11.77734375" style="1" bestFit="1" customWidth="1"/>
    <col min="11988" max="12232" width="11.44140625" style="1"/>
    <col min="12233" max="12233" width="4.21875" style="1" customWidth="1"/>
    <col min="12234" max="12235" width="11.44140625" style="1"/>
    <col min="12236" max="12236" width="22" style="1" customWidth="1"/>
    <col min="12237" max="12237" width="6.77734375" style="1" customWidth="1"/>
    <col min="12238" max="12238" width="15.44140625" style="1" bestFit="1" customWidth="1"/>
    <col min="12239" max="12239" width="11.44140625" style="1"/>
    <col min="12240" max="12240" width="14.21875" style="1" bestFit="1" customWidth="1"/>
    <col min="12241" max="12241" width="11.77734375" style="1" bestFit="1" customWidth="1"/>
    <col min="12242" max="12242" width="13.21875" style="1" bestFit="1" customWidth="1"/>
    <col min="12243" max="12243" width="11.77734375" style="1" bestFit="1" customWidth="1"/>
    <col min="12244" max="12488" width="11.44140625" style="1"/>
    <col min="12489" max="12489" width="4.21875" style="1" customWidth="1"/>
    <col min="12490" max="12491" width="11.44140625" style="1"/>
    <col min="12492" max="12492" width="22" style="1" customWidth="1"/>
    <col min="12493" max="12493" width="6.77734375" style="1" customWidth="1"/>
    <col min="12494" max="12494" width="15.44140625" style="1" bestFit="1" customWidth="1"/>
    <col min="12495" max="12495" width="11.44140625" style="1"/>
    <col min="12496" max="12496" width="14.21875" style="1" bestFit="1" customWidth="1"/>
    <col min="12497" max="12497" width="11.77734375" style="1" bestFit="1" customWidth="1"/>
    <col min="12498" max="12498" width="13.21875" style="1" bestFit="1" customWidth="1"/>
    <col min="12499" max="12499" width="11.77734375" style="1" bestFit="1" customWidth="1"/>
    <col min="12500" max="12744" width="11.44140625" style="1"/>
    <col min="12745" max="12745" width="4.21875" style="1" customWidth="1"/>
    <col min="12746" max="12747" width="11.44140625" style="1"/>
    <col min="12748" max="12748" width="22" style="1" customWidth="1"/>
    <col min="12749" max="12749" width="6.77734375" style="1" customWidth="1"/>
    <col min="12750" max="12750" width="15.44140625" style="1" bestFit="1" customWidth="1"/>
    <col min="12751" max="12751" width="11.44140625" style="1"/>
    <col min="12752" max="12752" width="14.21875" style="1" bestFit="1" customWidth="1"/>
    <col min="12753" max="12753" width="11.77734375" style="1" bestFit="1" customWidth="1"/>
    <col min="12754" max="12754" width="13.21875" style="1" bestFit="1" customWidth="1"/>
    <col min="12755" max="12755" width="11.77734375" style="1" bestFit="1" customWidth="1"/>
    <col min="12756" max="13000" width="11.44140625" style="1"/>
    <col min="13001" max="13001" width="4.21875" style="1" customWidth="1"/>
    <col min="13002" max="13003" width="11.44140625" style="1"/>
    <col min="13004" max="13004" width="22" style="1" customWidth="1"/>
    <col min="13005" max="13005" width="6.77734375" style="1" customWidth="1"/>
    <col min="13006" max="13006" width="15.44140625" style="1" bestFit="1" customWidth="1"/>
    <col min="13007" max="13007" width="11.44140625" style="1"/>
    <col min="13008" max="13008" width="14.21875" style="1" bestFit="1" customWidth="1"/>
    <col min="13009" max="13009" width="11.77734375" style="1" bestFit="1" customWidth="1"/>
    <col min="13010" max="13010" width="13.21875" style="1" bestFit="1" customWidth="1"/>
    <col min="13011" max="13011" width="11.77734375" style="1" bestFit="1" customWidth="1"/>
    <col min="13012" max="13256" width="11.44140625" style="1"/>
    <col min="13257" max="13257" width="4.21875" style="1" customWidth="1"/>
    <col min="13258" max="13259" width="11.44140625" style="1"/>
    <col min="13260" max="13260" width="22" style="1" customWidth="1"/>
    <col min="13261" max="13261" width="6.77734375" style="1" customWidth="1"/>
    <col min="13262" max="13262" width="15.44140625" style="1" bestFit="1" customWidth="1"/>
    <col min="13263" max="13263" width="11.44140625" style="1"/>
    <col min="13264" max="13264" width="14.21875" style="1" bestFit="1" customWidth="1"/>
    <col min="13265" max="13265" width="11.77734375" style="1" bestFit="1" customWidth="1"/>
    <col min="13266" max="13266" width="13.21875" style="1" bestFit="1" customWidth="1"/>
    <col min="13267" max="13267" width="11.77734375" style="1" bestFit="1" customWidth="1"/>
    <col min="13268" max="13512" width="11.44140625" style="1"/>
    <col min="13513" max="13513" width="4.21875" style="1" customWidth="1"/>
    <col min="13514" max="13515" width="11.44140625" style="1"/>
    <col min="13516" max="13516" width="22" style="1" customWidth="1"/>
    <col min="13517" max="13517" width="6.77734375" style="1" customWidth="1"/>
    <col min="13518" max="13518" width="15.44140625" style="1" bestFit="1" customWidth="1"/>
    <col min="13519" max="13519" width="11.44140625" style="1"/>
    <col min="13520" max="13520" width="14.21875" style="1" bestFit="1" customWidth="1"/>
    <col min="13521" max="13521" width="11.77734375" style="1" bestFit="1" customWidth="1"/>
    <col min="13522" max="13522" width="13.21875" style="1" bestFit="1" customWidth="1"/>
    <col min="13523" max="13523" width="11.77734375" style="1" bestFit="1" customWidth="1"/>
    <col min="13524" max="13768" width="11.44140625" style="1"/>
    <col min="13769" max="13769" width="4.21875" style="1" customWidth="1"/>
    <col min="13770" max="13771" width="11.44140625" style="1"/>
    <col min="13772" max="13772" width="22" style="1" customWidth="1"/>
    <col min="13773" max="13773" width="6.77734375" style="1" customWidth="1"/>
    <col min="13774" max="13774" width="15.44140625" style="1" bestFit="1" customWidth="1"/>
    <col min="13775" max="13775" width="11.44140625" style="1"/>
    <col min="13776" max="13776" width="14.21875" style="1" bestFit="1" customWidth="1"/>
    <col min="13777" max="13777" width="11.77734375" style="1" bestFit="1" customWidth="1"/>
    <col min="13778" max="13778" width="13.21875" style="1" bestFit="1" customWidth="1"/>
    <col min="13779" max="13779" width="11.77734375" style="1" bestFit="1" customWidth="1"/>
    <col min="13780" max="14024" width="11.44140625" style="1"/>
    <col min="14025" max="14025" width="4.21875" style="1" customWidth="1"/>
    <col min="14026" max="14027" width="11.44140625" style="1"/>
    <col min="14028" max="14028" width="22" style="1" customWidth="1"/>
    <col min="14029" max="14029" width="6.77734375" style="1" customWidth="1"/>
    <col min="14030" max="14030" width="15.44140625" style="1" bestFit="1" customWidth="1"/>
    <col min="14031" max="14031" width="11.44140625" style="1"/>
    <col min="14032" max="14032" width="14.21875" style="1" bestFit="1" customWidth="1"/>
    <col min="14033" max="14033" width="11.77734375" style="1" bestFit="1" customWidth="1"/>
    <col min="14034" max="14034" width="13.21875" style="1" bestFit="1" customWidth="1"/>
    <col min="14035" max="14035" width="11.77734375" style="1" bestFit="1" customWidth="1"/>
    <col min="14036" max="14280" width="11.44140625" style="1"/>
    <col min="14281" max="14281" width="4.21875" style="1" customWidth="1"/>
    <col min="14282" max="14283" width="11.44140625" style="1"/>
    <col min="14284" max="14284" width="22" style="1" customWidth="1"/>
    <col min="14285" max="14285" width="6.77734375" style="1" customWidth="1"/>
    <col min="14286" max="14286" width="15.44140625" style="1" bestFit="1" customWidth="1"/>
    <col min="14287" max="14287" width="11.44140625" style="1"/>
    <col min="14288" max="14288" width="14.21875" style="1" bestFit="1" customWidth="1"/>
    <col min="14289" max="14289" width="11.77734375" style="1" bestFit="1" customWidth="1"/>
    <col min="14290" max="14290" width="13.21875" style="1" bestFit="1" customWidth="1"/>
    <col min="14291" max="14291" width="11.77734375" style="1" bestFit="1" customWidth="1"/>
    <col min="14292" max="14536" width="11.44140625" style="1"/>
    <col min="14537" max="14537" width="4.21875" style="1" customWidth="1"/>
    <col min="14538" max="14539" width="11.44140625" style="1"/>
    <col min="14540" max="14540" width="22" style="1" customWidth="1"/>
    <col min="14541" max="14541" width="6.77734375" style="1" customWidth="1"/>
    <col min="14542" max="14542" width="15.44140625" style="1" bestFit="1" customWidth="1"/>
    <col min="14543" max="14543" width="11.44140625" style="1"/>
    <col min="14544" max="14544" width="14.21875" style="1" bestFit="1" customWidth="1"/>
    <col min="14545" max="14545" width="11.77734375" style="1" bestFit="1" customWidth="1"/>
    <col min="14546" max="14546" width="13.21875" style="1" bestFit="1" customWidth="1"/>
    <col min="14547" max="14547" width="11.77734375" style="1" bestFit="1" customWidth="1"/>
    <col min="14548" max="14792" width="11.44140625" style="1"/>
    <col min="14793" max="14793" width="4.21875" style="1" customWidth="1"/>
    <col min="14794" max="14795" width="11.44140625" style="1"/>
    <col min="14796" max="14796" width="22" style="1" customWidth="1"/>
    <col min="14797" max="14797" width="6.77734375" style="1" customWidth="1"/>
    <col min="14798" max="14798" width="15.44140625" style="1" bestFit="1" customWidth="1"/>
    <col min="14799" max="14799" width="11.44140625" style="1"/>
    <col min="14800" max="14800" width="14.21875" style="1" bestFit="1" customWidth="1"/>
    <col min="14801" max="14801" width="11.77734375" style="1" bestFit="1" customWidth="1"/>
    <col min="14802" max="14802" width="13.21875" style="1" bestFit="1" customWidth="1"/>
    <col min="14803" max="14803" width="11.77734375" style="1" bestFit="1" customWidth="1"/>
    <col min="14804" max="15048" width="11.44140625" style="1"/>
    <col min="15049" max="15049" width="4.21875" style="1" customWidth="1"/>
    <col min="15050" max="15051" width="11.44140625" style="1"/>
    <col min="15052" max="15052" width="22" style="1" customWidth="1"/>
    <col min="15053" max="15053" width="6.77734375" style="1" customWidth="1"/>
    <col min="15054" max="15054" width="15.44140625" style="1" bestFit="1" customWidth="1"/>
    <col min="15055" max="15055" width="11.44140625" style="1"/>
    <col min="15056" max="15056" width="14.21875" style="1" bestFit="1" customWidth="1"/>
    <col min="15057" max="15057" width="11.77734375" style="1" bestFit="1" customWidth="1"/>
    <col min="15058" max="15058" width="13.21875" style="1" bestFit="1" customWidth="1"/>
    <col min="15059" max="15059" width="11.77734375" style="1" bestFit="1" customWidth="1"/>
    <col min="15060" max="15304" width="11.44140625" style="1"/>
    <col min="15305" max="15305" width="4.21875" style="1" customWidth="1"/>
    <col min="15306" max="15307" width="11.44140625" style="1"/>
    <col min="15308" max="15308" width="22" style="1" customWidth="1"/>
    <col min="15309" max="15309" width="6.77734375" style="1" customWidth="1"/>
    <col min="15310" max="15310" width="15.44140625" style="1" bestFit="1" customWidth="1"/>
    <col min="15311" max="15311" width="11.44140625" style="1"/>
    <col min="15312" max="15312" width="14.21875" style="1" bestFit="1" customWidth="1"/>
    <col min="15313" max="15313" width="11.77734375" style="1" bestFit="1" customWidth="1"/>
    <col min="15314" max="15314" width="13.21875" style="1" bestFit="1" customWidth="1"/>
    <col min="15315" max="15315" width="11.77734375" style="1" bestFit="1" customWidth="1"/>
    <col min="15316" max="15560" width="11.44140625" style="1"/>
    <col min="15561" max="15561" width="4.21875" style="1" customWidth="1"/>
    <col min="15562" max="15563" width="11.44140625" style="1"/>
    <col min="15564" max="15564" width="22" style="1" customWidth="1"/>
    <col min="15565" max="15565" width="6.77734375" style="1" customWidth="1"/>
    <col min="15566" max="15566" width="15.44140625" style="1" bestFit="1" customWidth="1"/>
    <col min="15567" max="15567" width="11.44140625" style="1"/>
    <col min="15568" max="15568" width="14.21875" style="1" bestFit="1" customWidth="1"/>
    <col min="15569" max="15569" width="11.77734375" style="1" bestFit="1" customWidth="1"/>
    <col min="15570" max="15570" width="13.21875" style="1" bestFit="1" customWidth="1"/>
    <col min="15571" max="15571" width="11.77734375" style="1" bestFit="1" customWidth="1"/>
    <col min="15572" max="15816" width="11.44140625" style="1"/>
    <col min="15817" max="15817" width="4.21875" style="1" customWidth="1"/>
    <col min="15818" max="15819" width="11.44140625" style="1"/>
    <col min="15820" max="15820" width="22" style="1" customWidth="1"/>
    <col min="15821" max="15821" width="6.77734375" style="1" customWidth="1"/>
    <col min="15822" max="15822" width="15.44140625" style="1" bestFit="1" customWidth="1"/>
    <col min="15823" max="15823" width="11.44140625" style="1"/>
    <col min="15824" max="15824" width="14.21875" style="1" bestFit="1" customWidth="1"/>
    <col min="15825" max="15825" width="11.77734375" style="1" bestFit="1" customWidth="1"/>
    <col min="15826" max="15826" width="13.21875" style="1" bestFit="1" customWidth="1"/>
    <col min="15827" max="15827" width="11.77734375" style="1" bestFit="1" customWidth="1"/>
    <col min="15828" max="16072" width="11.44140625" style="1"/>
    <col min="16073" max="16073" width="4.21875" style="1" customWidth="1"/>
    <col min="16074" max="16075" width="11.44140625" style="1"/>
    <col min="16076" max="16076" width="22" style="1" customWidth="1"/>
    <col min="16077" max="16077" width="6.77734375" style="1" customWidth="1"/>
    <col min="16078" max="16078" width="15.44140625" style="1" bestFit="1" customWidth="1"/>
    <col min="16079" max="16079" width="11.44140625" style="1"/>
    <col min="16080" max="16080" width="14.21875" style="1" bestFit="1" customWidth="1"/>
    <col min="16081" max="16081" width="11.77734375" style="1" bestFit="1" customWidth="1"/>
    <col min="16082" max="16082" width="13.21875" style="1" bestFit="1" customWidth="1"/>
    <col min="16083" max="16083" width="11.77734375" style="1" bestFit="1" customWidth="1"/>
    <col min="16084" max="16384" width="11.44140625" style="1"/>
  </cols>
  <sheetData>
    <row r="1" spans="1:15" ht="122.1" customHeight="1" thickTop="1" thickBot="1">
      <c r="A1" s="355" t="s">
        <v>36</v>
      </c>
      <c r="B1" s="356"/>
      <c r="C1" s="356"/>
      <c r="D1" s="356"/>
      <c r="E1" s="356"/>
      <c r="F1" s="356"/>
      <c r="G1" s="356"/>
      <c r="H1" s="357"/>
    </row>
    <row r="2" spans="1:15" ht="57" customHeight="1" thickTop="1" thickBot="1">
      <c r="A2" s="358" t="s">
        <v>1497</v>
      </c>
      <c r="B2" s="359"/>
      <c r="C2" s="359"/>
      <c r="D2" s="360"/>
      <c r="E2" s="360"/>
      <c r="F2" s="360"/>
      <c r="G2" s="360"/>
      <c r="H2" s="361"/>
    </row>
    <row r="3" spans="1:15" ht="44.25" customHeight="1" thickTop="1" thickBot="1">
      <c r="A3" s="15" t="s">
        <v>1</v>
      </c>
      <c r="B3" s="362" t="s">
        <v>38</v>
      </c>
      <c r="C3" s="362"/>
      <c r="D3" s="363"/>
      <c r="E3" s="16" t="s">
        <v>39</v>
      </c>
      <c r="F3" s="17" t="s">
        <v>40</v>
      </c>
      <c r="G3" s="18" t="s">
        <v>41</v>
      </c>
      <c r="H3" s="19" t="s">
        <v>42</v>
      </c>
    </row>
    <row r="4" spans="1:15" ht="13.05" customHeight="1" thickTop="1">
      <c r="A4" s="20"/>
      <c r="B4" s="21"/>
      <c r="C4" s="21"/>
      <c r="D4" s="21"/>
      <c r="E4" s="22"/>
      <c r="F4" s="23"/>
      <c r="G4" s="24"/>
      <c r="H4" s="25"/>
    </row>
    <row r="5" spans="1:15" ht="13.05" customHeight="1">
      <c r="A5" s="26"/>
      <c r="B5" s="27" t="s">
        <v>43</v>
      </c>
      <c r="C5" s="28"/>
      <c r="D5" s="28"/>
      <c r="E5" s="29"/>
      <c r="F5" s="30"/>
      <c r="G5" s="31"/>
      <c r="H5" s="32"/>
    </row>
    <row r="6" spans="1:15" ht="46.95" customHeight="1">
      <c r="A6" s="372" t="s">
        <v>1525</v>
      </c>
      <c r="B6" s="373"/>
      <c r="C6" s="373"/>
      <c r="D6" s="373"/>
      <c r="E6" s="373"/>
      <c r="F6" s="373"/>
      <c r="G6" s="373"/>
      <c r="H6" s="374"/>
    </row>
    <row r="7" spans="1:15" ht="13.05" customHeight="1">
      <c r="A7" s="26"/>
      <c r="B7" s="28"/>
      <c r="C7" s="28"/>
      <c r="D7" s="28"/>
      <c r="E7" s="29"/>
      <c r="F7" s="33"/>
      <c r="G7" s="34"/>
      <c r="H7" s="35"/>
      <c r="J7" s="36"/>
      <c r="K7" s="36"/>
      <c r="L7" s="36"/>
      <c r="M7" s="75"/>
      <c r="N7" s="75"/>
      <c r="O7" s="68"/>
    </row>
    <row r="8" spans="1:15" ht="13.05" customHeight="1">
      <c r="A8" s="37"/>
      <c r="B8" s="38"/>
      <c r="C8" s="13"/>
      <c r="D8" s="13"/>
      <c r="E8" s="39"/>
      <c r="F8" s="40"/>
      <c r="G8" s="41"/>
      <c r="H8" s="42"/>
      <c r="J8" s="36"/>
      <c r="K8" s="36"/>
      <c r="L8" s="36"/>
      <c r="M8" s="75"/>
      <c r="N8" s="75"/>
      <c r="O8" s="68"/>
    </row>
    <row r="9" spans="1:15" ht="13.05" customHeight="1">
      <c r="A9" s="37" t="s">
        <v>66</v>
      </c>
      <c r="B9" s="38" t="s">
        <v>67</v>
      </c>
      <c r="C9" s="47"/>
      <c r="D9" s="82"/>
      <c r="E9" s="39" t="s">
        <v>70</v>
      </c>
      <c r="F9" s="40"/>
      <c r="G9" s="41"/>
      <c r="H9" s="42"/>
      <c r="J9" s="36"/>
      <c r="K9" s="36"/>
      <c r="L9" s="36"/>
      <c r="M9" s="75"/>
      <c r="N9" s="75"/>
      <c r="O9" s="68"/>
    </row>
    <row r="10" spans="1:15" ht="13.05" customHeight="1">
      <c r="A10" s="37"/>
      <c r="B10" s="38"/>
      <c r="C10" s="47"/>
      <c r="D10" s="82"/>
      <c r="E10" s="39"/>
      <c r="F10" s="40"/>
      <c r="G10" s="41"/>
      <c r="H10" s="42"/>
      <c r="J10" s="36"/>
      <c r="K10" s="36"/>
      <c r="L10" s="36"/>
      <c r="M10" s="71"/>
      <c r="N10" s="71"/>
      <c r="O10"/>
    </row>
    <row r="11" spans="1:15" ht="13.05" customHeight="1">
      <c r="A11" s="37" t="s">
        <v>68</v>
      </c>
      <c r="B11" s="38" t="s">
        <v>353</v>
      </c>
      <c r="C11" s="47"/>
      <c r="D11" s="82"/>
      <c r="E11" s="39" t="s">
        <v>70</v>
      </c>
      <c r="F11" s="40"/>
      <c r="G11" s="41"/>
      <c r="H11" s="42"/>
      <c r="J11" s="36"/>
      <c r="K11" s="36"/>
      <c r="L11" s="36"/>
    </row>
    <row r="12" spans="1:15" ht="13.05" customHeight="1">
      <c r="A12" s="37"/>
      <c r="B12" s="38"/>
      <c r="C12" s="47"/>
      <c r="D12" s="82"/>
      <c r="E12" s="39"/>
      <c r="F12" s="40"/>
      <c r="G12" s="41"/>
      <c r="H12" s="42"/>
      <c r="J12" s="36"/>
      <c r="K12" s="36"/>
      <c r="L12" s="36"/>
    </row>
    <row r="13" spans="1:15" ht="13.05" customHeight="1">
      <c r="A13" s="37" t="s">
        <v>71</v>
      </c>
      <c r="B13" s="38" t="s">
        <v>186</v>
      </c>
      <c r="C13" s="47"/>
      <c r="D13" s="82"/>
      <c r="E13" s="39" t="s">
        <v>363</v>
      </c>
      <c r="F13" s="40"/>
      <c r="G13" s="41"/>
      <c r="H13" s="42"/>
      <c r="J13" s="36"/>
      <c r="K13" s="36"/>
      <c r="L13" s="36"/>
    </row>
    <row r="14" spans="1:15" ht="13.05" customHeight="1">
      <c r="A14" s="37"/>
      <c r="B14" s="38"/>
      <c r="C14" s="47"/>
      <c r="D14" s="82"/>
      <c r="E14" s="39"/>
      <c r="F14" s="40"/>
      <c r="G14" s="41"/>
      <c r="H14" s="42"/>
      <c r="J14" s="36"/>
      <c r="K14" s="36"/>
      <c r="L14" s="36"/>
    </row>
    <row r="15" spans="1:15" ht="13.05" customHeight="1">
      <c r="A15" s="37" t="s">
        <v>73</v>
      </c>
      <c r="B15" s="38" t="s">
        <v>1498</v>
      </c>
      <c r="C15" s="47"/>
      <c r="D15" s="82"/>
      <c r="E15" s="39" t="s">
        <v>52</v>
      </c>
      <c r="F15" s="40"/>
      <c r="G15" s="41"/>
      <c r="H15" s="42"/>
      <c r="J15" s="36"/>
      <c r="K15" s="36"/>
      <c r="L15" s="36"/>
    </row>
    <row r="16" spans="1:15" ht="13.05" customHeight="1">
      <c r="A16" s="37"/>
      <c r="B16" s="38"/>
      <c r="C16" s="47" t="s">
        <v>1499</v>
      </c>
      <c r="D16" s="13" t="s">
        <v>1500</v>
      </c>
      <c r="E16" s="39"/>
      <c r="F16" s="40"/>
      <c r="G16" s="41"/>
      <c r="H16" s="42"/>
      <c r="J16" s="36"/>
      <c r="K16" s="36"/>
      <c r="L16" s="36"/>
    </row>
    <row r="17" spans="1:12" ht="13.05" customHeight="1">
      <c r="A17" s="37"/>
      <c r="B17" s="38"/>
      <c r="C17" s="47"/>
      <c r="D17" s="13"/>
      <c r="E17" s="39"/>
      <c r="F17" s="40"/>
      <c r="G17" s="41"/>
      <c r="H17" s="42"/>
      <c r="J17" s="36"/>
      <c r="K17" s="36"/>
      <c r="L17" s="36"/>
    </row>
    <row r="18" spans="1:12" ht="13.05" customHeight="1">
      <c r="A18" s="37" t="s">
        <v>76</v>
      </c>
      <c r="B18" s="38" t="s">
        <v>1501</v>
      </c>
      <c r="C18" s="13"/>
      <c r="D18" s="13"/>
      <c r="E18" s="77"/>
      <c r="F18" s="78"/>
      <c r="G18" s="79"/>
      <c r="H18" s="80"/>
      <c r="J18" s="36"/>
      <c r="K18" s="36"/>
      <c r="L18" s="36"/>
    </row>
    <row r="19" spans="1:12" ht="13.05" customHeight="1">
      <c r="A19" s="37"/>
      <c r="B19" s="38"/>
      <c r="C19" s="13"/>
      <c r="D19" s="13"/>
      <c r="E19" s="77"/>
      <c r="F19" s="78"/>
      <c r="G19" s="79"/>
      <c r="H19" s="80"/>
      <c r="J19" s="36"/>
      <c r="K19" s="36"/>
      <c r="L19" s="36"/>
    </row>
    <row r="20" spans="1:12" ht="13.05" customHeight="1">
      <c r="A20" s="44" t="s">
        <v>535</v>
      </c>
      <c r="B20" s="13" t="s">
        <v>1502</v>
      </c>
      <c r="C20" s="13"/>
      <c r="D20" s="13"/>
      <c r="E20" s="39" t="s">
        <v>52</v>
      </c>
      <c r="F20" s="40"/>
      <c r="G20" s="41"/>
      <c r="H20" s="42"/>
      <c r="J20" s="69"/>
      <c r="K20" s="69"/>
      <c r="L20" s="69"/>
    </row>
    <row r="21" spans="1:12" ht="13.05" customHeight="1">
      <c r="A21" s="44"/>
      <c r="B21" s="13"/>
      <c r="C21" s="13" t="s">
        <v>1503</v>
      </c>
      <c r="D21" s="13" t="s">
        <v>1504</v>
      </c>
      <c r="E21" s="39"/>
      <c r="F21" s="40"/>
      <c r="G21" s="41"/>
      <c r="H21" s="42"/>
      <c r="J21" s="69"/>
      <c r="K21" s="69"/>
      <c r="L21" s="69"/>
    </row>
    <row r="22" spans="1:12" ht="13.05" customHeight="1">
      <c r="A22" s="44"/>
      <c r="B22" s="13"/>
      <c r="C22" s="13"/>
      <c r="D22" s="13"/>
      <c r="E22" s="39"/>
      <c r="F22" s="40"/>
      <c r="G22" s="41"/>
      <c r="H22" s="42"/>
      <c r="J22" s="69"/>
      <c r="K22" s="69"/>
      <c r="L22" s="69"/>
    </row>
    <row r="23" spans="1:12" ht="13.05" customHeight="1">
      <c r="A23" s="44" t="s">
        <v>537</v>
      </c>
      <c r="B23" s="13" t="s">
        <v>1505</v>
      </c>
      <c r="C23" s="13"/>
      <c r="D23" s="13"/>
      <c r="E23" s="39" t="s">
        <v>52</v>
      </c>
      <c r="F23" s="40"/>
      <c r="G23" s="41"/>
      <c r="H23" s="42"/>
      <c r="J23" s="69"/>
      <c r="K23" s="69"/>
      <c r="L23" s="69"/>
    </row>
    <row r="24" spans="1:12" ht="13.05" customHeight="1">
      <c r="A24" s="44"/>
      <c r="B24" s="13"/>
      <c r="C24" s="13"/>
      <c r="D24" s="13"/>
      <c r="E24" s="39"/>
      <c r="F24" s="40"/>
      <c r="G24" s="41"/>
      <c r="H24" s="42"/>
      <c r="J24" s="69"/>
      <c r="K24" s="69"/>
      <c r="L24" s="69"/>
    </row>
    <row r="25" spans="1:12" ht="13.05" customHeight="1">
      <c r="A25" s="44" t="s">
        <v>542</v>
      </c>
      <c r="B25" s="13" t="s">
        <v>1506</v>
      </c>
      <c r="C25" s="13"/>
      <c r="D25" s="13"/>
      <c r="E25" s="39" t="s">
        <v>52</v>
      </c>
      <c r="F25" s="40"/>
      <c r="G25" s="41"/>
      <c r="H25" s="42"/>
      <c r="J25" s="69"/>
      <c r="K25" s="69"/>
      <c r="L25" s="69"/>
    </row>
    <row r="26" spans="1:12" ht="13.05" customHeight="1">
      <c r="A26" s="44"/>
      <c r="B26" s="13"/>
      <c r="C26" s="13"/>
      <c r="D26" s="13"/>
      <c r="E26" s="39"/>
      <c r="F26" s="40"/>
      <c r="G26" s="41"/>
      <c r="H26" s="42"/>
      <c r="J26" s="69"/>
      <c r="K26" s="69"/>
      <c r="L26" s="69"/>
    </row>
    <row r="27" spans="1:12" ht="13.05" customHeight="1">
      <c r="A27" s="44" t="s">
        <v>544</v>
      </c>
      <c r="B27" s="13" t="s">
        <v>1507</v>
      </c>
      <c r="C27" s="13"/>
      <c r="D27" s="13"/>
      <c r="E27" s="39"/>
      <c r="F27" s="40"/>
      <c r="G27" s="41"/>
      <c r="H27" s="42"/>
      <c r="J27" s="36"/>
      <c r="K27" s="36"/>
      <c r="L27" s="36"/>
    </row>
    <row r="28" spans="1:12" ht="13.05" customHeight="1">
      <c r="A28" s="44"/>
      <c r="B28" s="13"/>
      <c r="C28" s="13" t="s">
        <v>1508</v>
      </c>
      <c r="D28" s="13"/>
      <c r="E28" s="39" t="s">
        <v>93</v>
      </c>
      <c r="F28" s="40"/>
      <c r="G28" s="41"/>
      <c r="H28" s="42"/>
      <c r="J28" s="36"/>
      <c r="K28" s="36"/>
      <c r="L28" s="36"/>
    </row>
    <row r="29" spans="1:12" ht="13.05" customHeight="1">
      <c r="A29" s="44"/>
      <c r="B29" s="13"/>
      <c r="C29" s="13" t="s">
        <v>1509</v>
      </c>
      <c r="D29" s="13"/>
      <c r="E29" s="39" t="s">
        <v>93</v>
      </c>
      <c r="F29" s="40"/>
      <c r="G29" s="41"/>
      <c r="H29" s="42"/>
      <c r="J29" s="36"/>
      <c r="K29" s="36"/>
      <c r="L29" s="36"/>
    </row>
    <row r="30" spans="1:12" ht="13.05" customHeight="1">
      <c r="A30" s="44"/>
      <c r="B30" s="13"/>
      <c r="C30" s="13" t="s">
        <v>1510</v>
      </c>
      <c r="D30" s="13"/>
      <c r="E30" s="39" t="s">
        <v>93</v>
      </c>
      <c r="F30" s="40"/>
      <c r="G30" s="41"/>
      <c r="H30" s="42"/>
      <c r="J30" s="36"/>
      <c r="K30" s="36"/>
      <c r="L30" s="36"/>
    </row>
    <row r="31" spans="1:12" ht="13.05" customHeight="1">
      <c r="A31" s="44"/>
      <c r="B31" s="13"/>
      <c r="C31" s="13" t="s">
        <v>1511</v>
      </c>
      <c r="D31" s="13"/>
      <c r="E31" s="39" t="s">
        <v>93</v>
      </c>
      <c r="F31" s="40"/>
      <c r="G31" s="41"/>
      <c r="H31" s="42"/>
      <c r="J31" s="36"/>
      <c r="K31" s="36"/>
      <c r="L31" s="36"/>
    </row>
    <row r="32" spans="1:12" ht="13.05" customHeight="1">
      <c r="A32" s="44"/>
      <c r="B32" s="13"/>
      <c r="C32" s="13" t="s">
        <v>1512</v>
      </c>
      <c r="D32" s="13"/>
      <c r="E32" s="39" t="s">
        <v>93</v>
      </c>
      <c r="F32" s="40"/>
      <c r="G32" s="41"/>
      <c r="H32" s="42"/>
      <c r="J32" s="36"/>
      <c r="K32" s="36"/>
      <c r="L32" s="36"/>
    </row>
    <row r="33" spans="1:12" ht="13.05" customHeight="1">
      <c r="A33" s="44"/>
      <c r="B33" s="13"/>
      <c r="C33" s="13"/>
      <c r="D33" s="13"/>
      <c r="E33" s="39"/>
      <c r="F33" s="40"/>
      <c r="G33" s="41"/>
      <c r="H33" s="42"/>
      <c r="J33" s="36"/>
      <c r="K33" s="36"/>
      <c r="L33" s="36"/>
    </row>
    <row r="34" spans="1:12" ht="13.05" customHeight="1">
      <c r="A34" s="44" t="s">
        <v>546</v>
      </c>
      <c r="B34" s="13" t="s">
        <v>1513</v>
      </c>
      <c r="C34" s="13"/>
      <c r="D34" s="13"/>
      <c r="E34" s="39" t="s">
        <v>93</v>
      </c>
      <c r="F34" s="40"/>
      <c r="G34" s="41"/>
      <c r="H34" s="42"/>
      <c r="J34" s="36"/>
      <c r="K34" s="36"/>
      <c r="L34" s="36"/>
    </row>
    <row r="35" spans="1:12" ht="13.05" customHeight="1">
      <c r="A35" s="44"/>
      <c r="B35" s="13"/>
      <c r="C35" s="13"/>
      <c r="D35" s="13"/>
      <c r="E35" s="39"/>
      <c r="F35" s="40"/>
      <c r="G35" s="41"/>
      <c r="H35" s="42"/>
      <c r="J35" s="36"/>
      <c r="K35" s="36"/>
      <c r="L35" s="36"/>
    </row>
    <row r="36" spans="1:12" ht="13.05" customHeight="1">
      <c r="A36" s="44" t="s">
        <v>548</v>
      </c>
      <c r="B36" s="13" t="s">
        <v>1514</v>
      </c>
      <c r="C36" s="13"/>
      <c r="D36" s="13"/>
      <c r="E36" s="39" t="s">
        <v>70</v>
      </c>
      <c r="F36" s="40"/>
      <c r="G36" s="41"/>
      <c r="H36" s="42"/>
      <c r="J36" s="68"/>
      <c r="K36"/>
      <c r="L36"/>
    </row>
    <row r="37" spans="1:12" ht="13.05" customHeight="1">
      <c r="A37" s="44"/>
      <c r="B37" s="13"/>
      <c r="C37" s="13"/>
      <c r="D37" s="13"/>
      <c r="E37" s="39"/>
      <c r="F37" s="40"/>
      <c r="G37" s="41"/>
      <c r="H37" s="42"/>
      <c r="J37" s="68"/>
      <c r="K37"/>
      <c r="L37"/>
    </row>
    <row r="38" spans="1:12" ht="13.05" customHeight="1">
      <c r="A38" s="44" t="s">
        <v>652</v>
      </c>
      <c r="B38" s="13" t="s">
        <v>1515</v>
      </c>
      <c r="C38" s="13"/>
      <c r="D38" s="13"/>
      <c r="E38" s="77" t="s">
        <v>70</v>
      </c>
      <c r="F38" s="78"/>
      <c r="G38" s="79"/>
      <c r="H38" s="80"/>
      <c r="J38" s="69"/>
      <c r="K38" s="69"/>
      <c r="L38" s="69"/>
    </row>
    <row r="39" spans="1:12" ht="13.05" customHeight="1">
      <c r="A39" s="44"/>
      <c r="B39" s="13"/>
      <c r="C39" s="13"/>
      <c r="D39" s="13"/>
      <c r="E39" s="77"/>
      <c r="F39" s="78"/>
      <c r="G39" s="79"/>
      <c r="H39" s="80"/>
      <c r="J39" s="69"/>
      <c r="K39" s="69"/>
      <c r="L39" s="69"/>
    </row>
    <row r="40" spans="1:12" ht="13.05" customHeight="1">
      <c r="A40" s="37" t="s">
        <v>78</v>
      </c>
      <c r="B40" s="38" t="s">
        <v>1516</v>
      </c>
      <c r="C40" s="13"/>
      <c r="D40" s="13"/>
      <c r="E40" s="77" t="s">
        <v>46</v>
      </c>
      <c r="F40" s="78"/>
      <c r="G40" s="79"/>
      <c r="H40" s="80"/>
      <c r="J40" s="36"/>
      <c r="K40" s="36"/>
      <c r="L40" s="36"/>
    </row>
    <row r="41" spans="1:12" ht="13.05" customHeight="1">
      <c r="A41" s="37"/>
      <c r="B41" s="38"/>
      <c r="C41" s="13"/>
      <c r="D41" s="13"/>
      <c r="E41" s="77"/>
      <c r="F41" s="78"/>
      <c r="G41" s="79"/>
      <c r="H41" s="80"/>
      <c r="J41" s="36"/>
      <c r="K41" s="36"/>
      <c r="L41" s="36"/>
    </row>
    <row r="42" spans="1:12" ht="13.05" customHeight="1">
      <c r="A42" s="37" t="s">
        <v>81</v>
      </c>
      <c r="B42" s="38" t="s">
        <v>1517</v>
      </c>
      <c r="C42" s="86"/>
      <c r="D42" s="86"/>
      <c r="E42" s="87" t="s">
        <v>93</v>
      </c>
      <c r="F42" s="33"/>
      <c r="G42" s="34"/>
      <c r="H42" s="35"/>
      <c r="J42" s="36"/>
      <c r="K42" s="36"/>
      <c r="L42" s="36"/>
    </row>
    <row r="43" spans="1:12" ht="13.05" customHeight="1">
      <c r="A43" s="37"/>
      <c r="B43" s="38"/>
      <c r="C43" s="13"/>
      <c r="D43" s="13"/>
      <c r="E43" s="39"/>
      <c r="F43" s="33"/>
      <c r="G43" s="34"/>
      <c r="H43" s="35"/>
      <c r="J43" s="36"/>
      <c r="K43" s="36"/>
      <c r="L43" s="36"/>
    </row>
    <row r="44" spans="1:12" ht="13.05" customHeight="1">
      <c r="A44" s="37" t="s">
        <v>83</v>
      </c>
      <c r="B44" s="38" t="s">
        <v>1518</v>
      </c>
      <c r="C44" s="47"/>
      <c r="D44" s="82"/>
      <c r="E44" s="39" t="s">
        <v>93</v>
      </c>
      <c r="F44" s="40"/>
      <c r="G44" s="41"/>
      <c r="H44" s="42"/>
      <c r="J44" s="36"/>
      <c r="K44" s="43"/>
    </row>
    <row r="45" spans="1:12" ht="13.05" customHeight="1">
      <c r="A45" s="37"/>
      <c r="B45" s="38"/>
      <c r="C45" s="47"/>
      <c r="D45" s="13"/>
      <c r="E45" s="39"/>
      <c r="F45" s="40"/>
      <c r="G45" s="41"/>
      <c r="H45" s="42"/>
      <c r="J45" s="36"/>
      <c r="K45" s="43"/>
    </row>
    <row r="46" spans="1:12" ht="13.05" customHeight="1">
      <c r="A46" s="37" t="s">
        <v>136</v>
      </c>
      <c r="B46" s="38" t="s">
        <v>1519</v>
      </c>
      <c r="C46" s="13"/>
      <c r="D46" s="13"/>
      <c r="E46" s="39"/>
      <c r="F46" s="40"/>
      <c r="G46" s="41"/>
      <c r="H46" s="42"/>
      <c r="J46" s="36"/>
    </row>
    <row r="47" spans="1:12" ht="13.05" customHeight="1">
      <c r="A47" s="37"/>
      <c r="B47" s="38"/>
      <c r="C47" s="13" t="s">
        <v>1520</v>
      </c>
      <c r="D47" s="13"/>
      <c r="E47" s="39" t="s">
        <v>93</v>
      </c>
      <c r="F47" s="40"/>
      <c r="G47" s="41"/>
      <c r="H47" s="42"/>
      <c r="J47" s="36"/>
    </row>
    <row r="48" spans="1:12" ht="13.05" customHeight="1">
      <c r="A48" s="37"/>
      <c r="B48" s="38"/>
      <c r="C48" s="13" t="s">
        <v>1521</v>
      </c>
      <c r="D48" s="13"/>
      <c r="E48" s="39" t="s">
        <v>93</v>
      </c>
      <c r="F48" s="40"/>
      <c r="G48" s="41"/>
      <c r="H48" s="42"/>
      <c r="J48" s="36"/>
    </row>
    <row r="49" spans="1:11" ht="13.05" customHeight="1">
      <c r="A49" s="37"/>
      <c r="B49" s="38"/>
      <c r="C49" s="13"/>
      <c r="D49" s="13"/>
      <c r="E49" s="39"/>
      <c r="F49" s="40"/>
      <c r="G49" s="41"/>
      <c r="H49" s="42"/>
      <c r="J49" s="36"/>
    </row>
    <row r="50" spans="1:11" ht="13.05" customHeight="1">
      <c r="A50" s="37" t="s">
        <v>464</v>
      </c>
      <c r="B50" s="38" t="s">
        <v>1522</v>
      </c>
      <c r="C50" s="47"/>
      <c r="D50" s="82"/>
      <c r="E50" s="39" t="s">
        <v>1523</v>
      </c>
      <c r="F50" s="40"/>
      <c r="G50" s="41"/>
      <c r="H50" s="42"/>
      <c r="J50" s="36"/>
      <c r="K50" s="43"/>
    </row>
    <row r="51" spans="1:11" ht="13.05" customHeight="1">
      <c r="A51" s="37"/>
      <c r="B51" s="38"/>
      <c r="C51" s="47"/>
      <c r="D51" s="82"/>
      <c r="E51" s="39"/>
      <c r="F51" s="40"/>
      <c r="G51" s="41"/>
      <c r="H51" s="42"/>
      <c r="J51" s="36"/>
      <c r="K51" s="43"/>
    </row>
    <row r="52" spans="1:11" ht="13.05" customHeight="1">
      <c r="A52" s="37" t="s">
        <v>471</v>
      </c>
      <c r="B52" s="38" t="s">
        <v>1524</v>
      </c>
      <c r="C52" s="47"/>
      <c r="D52" s="82"/>
      <c r="E52" s="39" t="s">
        <v>93</v>
      </c>
      <c r="F52" s="40"/>
      <c r="G52" s="41"/>
      <c r="H52" s="42"/>
      <c r="J52" s="36"/>
      <c r="K52" s="43"/>
    </row>
    <row r="53" spans="1:11" ht="13.05" customHeight="1" thickBot="1">
      <c r="A53" s="49"/>
      <c r="B53" s="50"/>
      <c r="C53" s="50"/>
      <c r="D53" s="50"/>
      <c r="E53" s="51"/>
      <c r="F53" s="52"/>
      <c r="G53" s="53"/>
      <c r="H53" s="54"/>
      <c r="J53"/>
    </row>
    <row r="54" spans="1:11" ht="20.100000000000001" customHeight="1" thickTop="1">
      <c r="A54" s="366" t="s">
        <v>62</v>
      </c>
      <c r="B54" s="367"/>
      <c r="C54" s="367"/>
      <c r="D54" s="368"/>
      <c r="E54" s="55"/>
      <c r="F54" s="56"/>
      <c r="G54" s="57"/>
      <c r="H54" s="58"/>
      <c r="J54"/>
    </row>
    <row r="55" spans="1:11" ht="20.100000000000001" customHeight="1">
      <c r="A55" s="369" t="s">
        <v>63</v>
      </c>
      <c r="B55" s="370"/>
      <c r="C55" s="370"/>
      <c r="D55" s="371"/>
      <c r="E55" s="59"/>
      <c r="F55" s="60"/>
      <c r="G55" s="61"/>
      <c r="H55" s="62"/>
      <c r="J55"/>
    </row>
    <row r="56" spans="1:11" ht="20.100000000000001" customHeight="1" thickBot="1">
      <c r="A56" s="352" t="s">
        <v>64</v>
      </c>
      <c r="B56" s="353"/>
      <c r="C56" s="353"/>
      <c r="D56" s="354"/>
      <c r="E56" s="63"/>
      <c r="F56" s="64"/>
      <c r="G56" s="65"/>
      <c r="H56" s="66"/>
      <c r="J56"/>
    </row>
    <row r="57" spans="1:11" ht="15.6" thickTop="1">
      <c r="J57"/>
    </row>
    <row r="58" spans="1:11">
      <c r="J58"/>
    </row>
    <row r="59" spans="1:11">
      <c r="J59"/>
    </row>
    <row r="81" spans="10:10">
      <c r="J81" s="68"/>
    </row>
  </sheetData>
  <mergeCells count="7">
    <mergeCell ref="A56:D56"/>
    <mergeCell ref="A1:H1"/>
    <mergeCell ref="A2:H2"/>
    <mergeCell ref="B3:D3"/>
    <mergeCell ref="A54:D54"/>
    <mergeCell ref="A55:D55"/>
    <mergeCell ref="A6:H6"/>
  </mergeCells>
  <phoneticPr fontId="15" type="noConversion"/>
  <pageMargins left="0.70866141732283472" right="0.70866141732283472" top="0.74803149606299213" bottom="0.74803149606299213" header="0.31496062992125984" footer="0.31496062992125984"/>
  <pageSetup paperSize="9" scale="66" fitToHeight="11" orientation="portrait" horizontalDpi="0" verticalDpi="0"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831459CE1FBA2C44844F9BE042661912" ma:contentTypeVersion="14" ma:contentTypeDescription="Crée un document." ma:contentTypeScope="" ma:versionID="6296e3e7a546748b813ee81c86ff7dc8">
  <xsd:schema xmlns:xsd="http://www.w3.org/2001/XMLSchema" xmlns:xs="http://www.w3.org/2001/XMLSchema" xmlns:p="http://schemas.microsoft.com/office/2006/metadata/properties" xmlns:ns2="6409cef8-e449-4e13-8761-3b7bad6d1753" xmlns:ns3="bd54a7ac-f905-43f0-840a-084125615949" targetNamespace="http://schemas.microsoft.com/office/2006/metadata/properties" ma:root="true" ma:fieldsID="8638325d11ab06e00a6c9ac60bdb67fd" ns2:_="" ns3:_="">
    <xsd:import namespace="6409cef8-e449-4e13-8761-3b7bad6d1753"/>
    <xsd:import namespace="bd54a7ac-f905-43f0-840a-08412561594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OCR" minOccurs="0"/>
                <xsd:element ref="ns2:MediaServiceLocation" minOccurs="0"/>
                <xsd:element ref="ns2:MediaLengthInSecond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6409cef8-e449-4e13-8761-3b7bad6d175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lcf76f155ced4ddcb4097134ff3c332f" ma:index="16" nillable="true" ma:taxonomy="true" ma:internalName="lcf76f155ced4ddcb4097134ff3c332f" ma:taxonomyFieldName="MediaServiceImageTags" ma:displayName="Balises d’images" ma:readOnly="false" ma:fieldId="{5cf76f15-5ced-4ddc-b409-7134ff3c332f}" ma:taxonomyMulti="true" ma:sspId="d76e62e4-78a4-4845-b0f6-52a576300589"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Location" ma:index="19" nillable="true" ma:displayName="Location" ma:description="" ma:internalName="MediaServiceLocation" ma:readOnly="true">
      <xsd:simpleType>
        <xsd:restriction base="dms:Text"/>
      </xsd:simpleType>
    </xsd:element>
    <xsd:element name="MediaLengthInSeconds" ma:index="20" nillable="true" ma:displayName="MediaLengthInSeconds" ma:hidden="true" ma:internalName="MediaLengthInSeconds" ma:readOnly="true">
      <xsd:simpleType>
        <xsd:restriction base="dms:Unknown"/>
      </xsd:simpleType>
    </xsd:element>
    <xsd:element name="MediaServiceBillingMetadata" ma:index="21"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bd54a7ac-f905-43f0-840a-084125615949" elementFormDefault="qualified">
    <xsd:import namespace="http://schemas.microsoft.com/office/2006/documentManagement/types"/>
    <xsd:import namespace="http://schemas.microsoft.com/office/infopath/2007/PartnerControls"/>
    <xsd:element name="TaxCatchAll" ma:index="17" nillable="true" ma:displayName="Taxonomy Catch All Column" ma:hidden="true" ma:list="{aa74c6f4-decd-4ed7-aa8d-920332bce5c8}" ma:internalName="TaxCatchAll" ma:showField="CatchAllData" ma:web="bd54a7ac-f905-43f0-840a-08412561594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6409cef8-e449-4e13-8761-3b7bad6d1753">
      <Terms xmlns="http://schemas.microsoft.com/office/infopath/2007/PartnerControls"/>
    </lcf76f155ced4ddcb4097134ff3c332f>
    <TaxCatchAll xmlns="bd54a7ac-f905-43f0-840a-084125615949" xsi:nil="true"/>
  </documentManagement>
</p:properties>
</file>

<file path=customXml/itemProps1.xml><?xml version="1.0" encoding="utf-8"?>
<ds:datastoreItem xmlns:ds="http://schemas.openxmlformats.org/officeDocument/2006/customXml" ds:itemID="{F7E76F88-2BCF-4D5A-865A-C525C134058B}">
  <ds:schemaRefs>
    <ds:schemaRef ds:uri="http://schemas.microsoft.com/sharepoint/v3/contenttype/forms"/>
  </ds:schemaRefs>
</ds:datastoreItem>
</file>

<file path=customXml/itemProps2.xml><?xml version="1.0" encoding="utf-8"?>
<ds:datastoreItem xmlns:ds="http://schemas.openxmlformats.org/officeDocument/2006/customXml" ds:itemID="{3B1C919A-F4B2-4F65-957A-46F701414A0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6409cef8-e449-4e13-8761-3b7bad6d1753"/>
    <ds:schemaRef ds:uri="bd54a7ac-f905-43f0-840a-08412561594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8CB6E3-8ED5-459D-A9B9-E97125CF5627}">
  <ds:schemaRefs>
    <ds:schemaRef ds:uri="http://purl.org/dc/terms/"/>
    <ds:schemaRef ds:uri="http://schemas.microsoft.com/office/2006/metadata/properties"/>
    <ds:schemaRef ds:uri="http://purl.org/dc/elements/1.1/"/>
    <ds:schemaRef ds:uri="http://www.w3.org/XML/1998/namespace"/>
    <ds:schemaRef ds:uri="http://schemas.openxmlformats.org/package/2006/metadata/core-properties"/>
    <ds:schemaRef ds:uri="http://schemas.microsoft.com/office/2006/documentManagement/types"/>
    <ds:schemaRef ds:uri="http://purl.org/dc/dcmitype/"/>
    <ds:schemaRef ds:uri="http://schemas.microsoft.com/office/infopath/2007/PartnerControls"/>
    <ds:schemaRef ds:uri="bd54a7ac-f905-43f0-840a-084125615949"/>
    <ds:schemaRef ds:uri="6409cef8-e449-4e13-8761-3b7bad6d175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16</vt:i4>
      </vt:variant>
      <vt:variant>
        <vt:lpstr>Plages nommées</vt:lpstr>
      </vt:variant>
      <vt:variant>
        <vt:i4>23</vt:i4>
      </vt:variant>
    </vt:vector>
  </HeadingPairs>
  <TitlesOfParts>
    <vt:vector size="39" baseType="lpstr">
      <vt:lpstr>RECAP</vt:lpstr>
      <vt:lpstr>LOT 00</vt:lpstr>
      <vt:lpstr>LOT 01</vt:lpstr>
      <vt:lpstr>LOT 02</vt:lpstr>
      <vt:lpstr>LOT 03</vt:lpstr>
      <vt:lpstr>LOT 04</vt:lpstr>
      <vt:lpstr>LOT 05</vt:lpstr>
      <vt:lpstr>LOT 06</vt:lpstr>
      <vt:lpstr>LOT 07</vt:lpstr>
      <vt:lpstr>LOT 08</vt:lpstr>
      <vt:lpstr>LOT 09</vt:lpstr>
      <vt:lpstr>LOT 13</vt:lpstr>
      <vt:lpstr>LOT 10</vt:lpstr>
      <vt:lpstr>LOT 11</vt:lpstr>
      <vt:lpstr>LOT 12</vt:lpstr>
      <vt:lpstr>LOT 14</vt:lpstr>
      <vt:lpstr>'LOT 13'!Cfour</vt:lpstr>
      <vt:lpstr>'LOT 13'!Cmo</vt:lpstr>
      <vt:lpstr>'LOT 13'!Cst</vt:lpstr>
      <vt:lpstr>'LOT 01'!Impression_des_titres</vt:lpstr>
      <vt:lpstr>'LOT 03'!Impression_des_titres</vt:lpstr>
      <vt:lpstr>'LOT 04'!Impression_des_titres</vt:lpstr>
      <vt:lpstr>'LOT 05'!Impression_des_titres</vt:lpstr>
      <vt:lpstr>'LOT 06'!Impression_des_titres</vt:lpstr>
      <vt:lpstr>'LOT 07'!Impression_des_titres</vt:lpstr>
      <vt:lpstr>'LOT 08'!Impression_des_titres</vt:lpstr>
      <vt:lpstr>'LOT 09'!Impression_des_titres</vt:lpstr>
      <vt:lpstr>'LOT 10'!Impression_des_titres</vt:lpstr>
      <vt:lpstr>'LOT 14'!Impression_des_titres</vt:lpstr>
      <vt:lpstr>RECAP!Impression_des_titres</vt:lpstr>
      <vt:lpstr>'LOT 01'!Zone_d_impression</vt:lpstr>
      <vt:lpstr>'LOT 05'!Zone_d_impression</vt:lpstr>
      <vt:lpstr>'LOT 06'!Zone_d_impression</vt:lpstr>
      <vt:lpstr>'LOT 07'!Zone_d_impression</vt:lpstr>
      <vt:lpstr>'LOT 08'!Zone_d_impression</vt:lpstr>
      <vt:lpstr>'LOT 09'!Zone_d_impression</vt:lpstr>
      <vt:lpstr>'LOT 10'!Zone_d_impression</vt:lpstr>
      <vt:lpstr>'LOT 14'!Zone_d_impression</vt:lpstr>
      <vt:lpstr>RECAP!Zone_d_impression</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Hugues</dc:creator>
  <cp:keywords/>
  <dc:description/>
  <cp:lastModifiedBy>Hamza MAALAOUI</cp:lastModifiedBy>
  <cp:revision/>
  <dcterms:created xsi:type="dcterms:W3CDTF">2011-11-20T17:05:54Z</dcterms:created>
  <dcterms:modified xsi:type="dcterms:W3CDTF">2026-05-22T12:52:31Z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0x010100831459CE1FBA2C44844F9BE042661912</vt:lpwstr>
  </property>
  <property fmtid="{D5CDD505-2E9C-101B-9397-08002B2CF9AE}" pid="3" name="MediaServiceImageTags">
    <vt:lpwstr/>
  </property>
</Properties>
</file>